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prkmx-my.sharepoint.com/personal/lcuellar_prk_com_mx/Documents/AUDITORIA DE GESTION OPERATIVO/TOP5/"/>
    </mc:Choice>
  </mc:AlternateContent>
  <xr:revisionPtr revIDLastSave="0" documentId="8_{D91BFD04-FDFA-422D-89DB-B99A708E633E}" xr6:coauthVersionLast="47" xr6:coauthVersionMax="47" xr10:uidLastSave="{00000000-0000-0000-0000-000000000000}"/>
  <bookViews>
    <workbookView xWindow="-120" yWindow="-120" windowWidth="20730" windowHeight="11040" firstSheet="12" activeTab="12" xr2:uid="{00000000-000D-0000-FFFF-FFFF00000000}"/>
  </bookViews>
  <sheets>
    <sheet name="HORARIOS_ENE_2026" sheetId="6" r:id="rId1"/>
    <sheet name="ESTADISTICAS" sheetId="23" r:id="rId2"/>
    <sheet name="HORARIOS_DIC_2025" sheetId="1" r:id="rId3"/>
    <sheet name="DICIEMBRE 2025" sheetId="9" r:id="rId4"/>
    <sheet name="ENERO 2026" sheetId="15" r:id="rId5"/>
    <sheet name="TOP FEBRERO 2026" sheetId="14" r:id="rId6"/>
    <sheet name="FEBRERO 2026" sheetId="19" r:id="rId7"/>
    <sheet name="MARZO 2026" sheetId="21" r:id="rId8"/>
    <sheet name=" TOP ABRIL 2026" sheetId="22" r:id="rId9"/>
    <sheet name="TOP MARZO 2026" sheetId="20" r:id="rId10"/>
    <sheet name="MAYO 2026" sheetId="24" r:id="rId11"/>
    <sheet name="JUNIO 2026" sheetId="28" r:id="rId12"/>
    <sheet name="JULIO 2026" sheetId="27" r:id="rId13"/>
  </sheets>
  <definedNames>
    <definedName name="_xlnm._FilterDatabase" localSheetId="8" hidden="1">' TOP ABRIL 2026'!$A$1:$BN$101</definedName>
    <definedName name="_xlnm._FilterDatabase" localSheetId="1" hidden="1">ESTADISTICAS!$B$3:$J$103</definedName>
    <definedName name="_xlnm._FilterDatabase" localSheetId="3" hidden="1">'DICIEMBRE 2025'!$B$2:$J$98</definedName>
    <definedName name="_xlnm._FilterDatabase" localSheetId="6" hidden="1">'FEBRERO 2026'!$B$2:$U$100</definedName>
    <definedName name="_xlnm._FilterDatabase" localSheetId="2" hidden="1">HORARIOS_DIC_2025!$A$1:$BN$98</definedName>
    <definedName name="_xlnm._FilterDatabase" localSheetId="0" hidden="1">HORARIOS_ENE_2026!$A$1:$BN$98</definedName>
    <definedName name="_xlnm._FilterDatabase" localSheetId="7" hidden="1">'MARZO 2026'!$B$4:$J$4</definedName>
    <definedName name="_xlnm._FilterDatabase" localSheetId="5" hidden="1">'TOP FEBRERO 2026'!$A$1:$BJ$99</definedName>
    <definedName name="_xlnm._FilterDatabase" localSheetId="9" hidden="1">'TOP MARZO 2026'!$A$1:$BP$202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4" i="27" l="1"/>
  <c r="BO5" i="27"/>
  <c r="BO6" i="27"/>
  <c r="BO7" i="27"/>
  <c r="BO8" i="27"/>
  <c r="BO9" i="27"/>
  <c r="BO10" i="27"/>
  <c r="BO11" i="27"/>
  <c r="BO12" i="27"/>
  <c r="BO13" i="27"/>
  <c r="BO14" i="27"/>
  <c r="BO15" i="27"/>
  <c r="BO16" i="27"/>
  <c r="BO17" i="27"/>
  <c r="BO18" i="27"/>
  <c r="BO19" i="27"/>
  <c r="BO20" i="27"/>
  <c r="BO21" i="27"/>
  <c r="BO22" i="27"/>
  <c r="BO23" i="27"/>
  <c r="BO24" i="27"/>
  <c r="BO25" i="27"/>
  <c r="BO26" i="27"/>
  <c r="BO27" i="27"/>
  <c r="BO28" i="27"/>
  <c r="BO29" i="27"/>
  <c r="BO30" i="27"/>
  <c r="BO31" i="27"/>
  <c r="BO32" i="27"/>
  <c r="BO33" i="27"/>
  <c r="BO34" i="27"/>
  <c r="BO35" i="27"/>
  <c r="BO36" i="27"/>
  <c r="BO37" i="27"/>
  <c r="BO38" i="27"/>
  <c r="BO39" i="27"/>
  <c r="BO40" i="27"/>
  <c r="BO41" i="27"/>
  <c r="BO42" i="27"/>
  <c r="BO43" i="27"/>
  <c r="BO44" i="27"/>
  <c r="BO45" i="27"/>
  <c r="BO46" i="27"/>
  <c r="BO47" i="27"/>
  <c r="BO48" i="27"/>
  <c r="BO49" i="27"/>
  <c r="BO50" i="27"/>
  <c r="BO51" i="27"/>
  <c r="BO52" i="27"/>
  <c r="BO53" i="27"/>
  <c r="BO54" i="27"/>
  <c r="BO55" i="27"/>
  <c r="BO56" i="27"/>
  <c r="BO57" i="27"/>
  <c r="BO58" i="27"/>
  <c r="BO59" i="27"/>
  <c r="BO60" i="27"/>
  <c r="BO61" i="27"/>
  <c r="BO62" i="27"/>
  <c r="BO63" i="27"/>
  <c r="BO64" i="27"/>
  <c r="BO65" i="27"/>
  <c r="BO66" i="27"/>
  <c r="BO67" i="27"/>
  <c r="BO68" i="27"/>
  <c r="BO69" i="27"/>
  <c r="BO70" i="27"/>
  <c r="BO71" i="27"/>
  <c r="BO72" i="27"/>
  <c r="BO73" i="27"/>
  <c r="BO74" i="27"/>
  <c r="BO75" i="27"/>
  <c r="BO76" i="27"/>
  <c r="BO77" i="27"/>
  <c r="BO78" i="27"/>
  <c r="BO79" i="27"/>
  <c r="BO80" i="27"/>
  <c r="BO81" i="27"/>
  <c r="BO82" i="27"/>
  <c r="BO83" i="27"/>
  <c r="BO84" i="27"/>
  <c r="BO85" i="27"/>
  <c r="BO86" i="27"/>
  <c r="BO87" i="27"/>
  <c r="BO88" i="27"/>
  <c r="BO89" i="27"/>
  <c r="BO90" i="27"/>
  <c r="BO91" i="27"/>
  <c r="BO92" i="27"/>
  <c r="BO93" i="27"/>
  <c r="BO94" i="27"/>
  <c r="BO95" i="27"/>
  <c r="BO96" i="27"/>
  <c r="BO97" i="27"/>
  <c r="BO98" i="27"/>
  <c r="BO99" i="27"/>
  <c r="BO100" i="27"/>
  <c r="BO101" i="27"/>
  <c r="BO3" i="27"/>
  <c r="BN4" i="27"/>
  <c r="BN5" i="27"/>
  <c r="BN6" i="27"/>
  <c r="BN7" i="27"/>
  <c r="BN8" i="27"/>
  <c r="BN9" i="27"/>
  <c r="BN10" i="27"/>
  <c r="BN11" i="27"/>
  <c r="BN12" i="27"/>
  <c r="BN13" i="27"/>
  <c r="BN14" i="27"/>
  <c r="BN15" i="27"/>
  <c r="BN16" i="27"/>
  <c r="BN17" i="27"/>
  <c r="BN18" i="27"/>
  <c r="BN19" i="27"/>
  <c r="BN20" i="27"/>
  <c r="BN21" i="27"/>
  <c r="BN22" i="27"/>
  <c r="BN23" i="27"/>
  <c r="BN24" i="27"/>
  <c r="BN25" i="27"/>
  <c r="BN26" i="27"/>
  <c r="BN27" i="27"/>
  <c r="BN28" i="27"/>
  <c r="BN29" i="27"/>
  <c r="BN30" i="27"/>
  <c r="BN31" i="27"/>
  <c r="BN32" i="27"/>
  <c r="BN33" i="27"/>
  <c r="BN34" i="27"/>
  <c r="BN35" i="27"/>
  <c r="BN36" i="27"/>
  <c r="BN37" i="27"/>
  <c r="BN38" i="27"/>
  <c r="BN39" i="27"/>
  <c r="BN40" i="27"/>
  <c r="BN41" i="27"/>
  <c r="BN42" i="27"/>
  <c r="BN43" i="27"/>
  <c r="BN44" i="27"/>
  <c r="BN45" i="27"/>
  <c r="BN46" i="27"/>
  <c r="BN47" i="27"/>
  <c r="BN48" i="27"/>
  <c r="BN49" i="27"/>
  <c r="BN50" i="27"/>
  <c r="BN51" i="27"/>
  <c r="BN52" i="27"/>
  <c r="BN53" i="27"/>
  <c r="BN54" i="27"/>
  <c r="BN55" i="27"/>
  <c r="BN56" i="27"/>
  <c r="BN57" i="27"/>
  <c r="BN58" i="27"/>
  <c r="BN59" i="27"/>
  <c r="BN60" i="27"/>
  <c r="BN61" i="27"/>
  <c r="BN62" i="27"/>
  <c r="BN63" i="27"/>
  <c r="BN64" i="27"/>
  <c r="BN65" i="27"/>
  <c r="BN66" i="27"/>
  <c r="BN67" i="27"/>
  <c r="BN68" i="27"/>
  <c r="BN69" i="27"/>
  <c r="BN70" i="27"/>
  <c r="BN71" i="27"/>
  <c r="BN72" i="27"/>
  <c r="BN73" i="27"/>
  <c r="BN74" i="27"/>
  <c r="BN75" i="27"/>
  <c r="BN76" i="27"/>
  <c r="BN77" i="27"/>
  <c r="BN78" i="27"/>
  <c r="BN79" i="27"/>
  <c r="BN80" i="27"/>
  <c r="BN81" i="27"/>
  <c r="BN82" i="27"/>
  <c r="BN83" i="27"/>
  <c r="BN84" i="27"/>
  <c r="BN85" i="27"/>
  <c r="BN86" i="27"/>
  <c r="BN87" i="27"/>
  <c r="BN88" i="27"/>
  <c r="BN89" i="27"/>
  <c r="BN90" i="27"/>
  <c r="BN91" i="27"/>
  <c r="BN92" i="27"/>
  <c r="BN93" i="27"/>
  <c r="BN94" i="27"/>
  <c r="BN95" i="27"/>
  <c r="BN96" i="27"/>
  <c r="BN97" i="27"/>
  <c r="BN98" i="27"/>
  <c r="BN99" i="27"/>
  <c r="BN100" i="27"/>
  <c r="BN101" i="27"/>
  <c r="BN3" i="27"/>
  <c r="BN3" i="22"/>
  <c r="BM3" i="22"/>
  <c r="BL3" i="22"/>
  <c r="BP14" i="24"/>
  <c r="BO14" i="24"/>
  <c r="BN14" i="24"/>
  <c r="BP13" i="24"/>
  <c r="BO13" i="24"/>
  <c r="BN13" i="24"/>
  <c r="BP12" i="24"/>
  <c r="BO12" i="24"/>
  <c r="BN12" i="24"/>
  <c r="BP11" i="24"/>
  <c r="BO11" i="24"/>
  <c r="BN11" i="24"/>
  <c r="BP10" i="24"/>
  <c r="BO10" i="24"/>
  <c r="BN10" i="24"/>
  <c r="BP9" i="24"/>
  <c r="BO9" i="24"/>
  <c r="BN9" i="24"/>
  <c r="BP8" i="24"/>
  <c r="BO8" i="24"/>
  <c r="BN8" i="24"/>
  <c r="BP7" i="24"/>
  <c r="BO7" i="24"/>
  <c r="BN7" i="24"/>
  <c r="BP6" i="24"/>
  <c r="BO6" i="24"/>
  <c r="BN6" i="24"/>
  <c r="BP5" i="24"/>
  <c r="BO5" i="24"/>
  <c r="BN5" i="24"/>
  <c r="BP4" i="24"/>
  <c r="BO4" i="24"/>
  <c r="BN4" i="24"/>
  <c r="BP3" i="24"/>
  <c r="BO3" i="24"/>
  <c r="BN3" i="24"/>
  <c r="BM19" i="22"/>
  <c r="G21" i="23" s="1"/>
  <c r="H21" i="23"/>
  <c r="S16" i="23"/>
  <c r="S15" i="23"/>
  <c r="S14" i="23"/>
  <c r="S13" i="23"/>
  <c r="S12" i="23"/>
  <c r="S11" i="23"/>
  <c r="S10" i="23"/>
  <c r="S9" i="23"/>
  <c r="S7" i="23"/>
  <c r="S6" i="23"/>
  <c r="S5" i="23"/>
  <c r="BN101" i="22"/>
  <c r="BM101" i="22"/>
  <c r="BL101" i="22"/>
  <c r="BN100" i="22"/>
  <c r="BM100" i="22"/>
  <c r="G102" i="23" s="1"/>
  <c r="H102" i="23" s="1"/>
  <c r="BL100" i="22"/>
  <c r="E102" i="23" s="1"/>
  <c r="F102" i="23" s="1"/>
  <c r="BN99" i="22"/>
  <c r="BM99" i="22"/>
  <c r="BL99" i="22"/>
  <c r="BN98" i="22"/>
  <c r="BM98" i="22"/>
  <c r="G100" i="23" s="1"/>
  <c r="H100" i="23" s="1"/>
  <c r="BL98" i="22"/>
  <c r="E100" i="23" s="1"/>
  <c r="F100" i="23" s="1"/>
  <c r="BN97" i="22"/>
  <c r="BM97" i="22"/>
  <c r="G99" i="23" s="1"/>
  <c r="H99" i="23" s="1"/>
  <c r="BL97" i="22"/>
  <c r="E99" i="23" s="1"/>
  <c r="F99" i="23" s="1"/>
  <c r="BN96" i="22"/>
  <c r="BM96" i="22"/>
  <c r="BL96" i="22"/>
  <c r="BN95" i="22"/>
  <c r="BM95" i="22"/>
  <c r="G97" i="23" s="1"/>
  <c r="H97" i="23" s="1"/>
  <c r="BL95" i="22"/>
  <c r="E97" i="23" s="1"/>
  <c r="F97" i="23" s="1"/>
  <c r="BN94" i="22"/>
  <c r="BM94" i="22"/>
  <c r="G96" i="23" s="1"/>
  <c r="H96" i="23" s="1"/>
  <c r="BL94" i="22"/>
  <c r="E96" i="23" s="1"/>
  <c r="F96" i="23" s="1"/>
  <c r="BN93" i="22"/>
  <c r="BM93" i="22"/>
  <c r="G95" i="23" s="1"/>
  <c r="H95" i="23" s="1"/>
  <c r="BL93" i="22"/>
  <c r="E95" i="23" s="1"/>
  <c r="F95" i="23" s="1"/>
  <c r="BN92" i="22"/>
  <c r="BM92" i="22"/>
  <c r="G94" i="23" s="1"/>
  <c r="H94" i="23" s="1"/>
  <c r="BL92" i="22"/>
  <c r="E94" i="23" s="1"/>
  <c r="F94" i="23" s="1"/>
  <c r="BN91" i="22"/>
  <c r="BM91" i="22"/>
  <c r="G93" i="23" s="1"/>
  <c r="H93" i="23" s="1"/>
  <c r="BL91" i="22"/>
  <c r="E93" i="23" s="1"/>
  <c r="F93" i="23" s="1"/>
  <c r="BN90" i="22"/>
  <c r="BM90" i="22"/>
  <c r="G92" i="23" s="1"/>
  <c r="H92" i="23" s="1"/>
  <c r="BL90" i="22"/>
  <c r="E92" i="23" s="1"/>
  <c r="BN89" i="22"/>
  <c r="BM89" i="22"/>
  <c r="BL89" i="22"/>
  <c r="BN88" i="22"/>
  <c r="BM88" i="22"/>
  <c r="BL88" i="22"/>
  <c r="BN87" i="22"/>
  <c r="BM87" i="22"/>
  <c r="G89" i="23" s="1"/>
  <c r="H89" i="23" s="1"/>
  <c r="BL87" i="22"/>
  <c r="E89" i="23" s="1"/>
  <c r="F89" i="23" s="1"/>
  <c r="BN86" i="22"/>
  <c r="BM86" i="22"/>
  <c r="BL86" i="22"/>
  <c r="BN85" i="22"/>
  <c r="BM85" i="22"/>
  <c r="BL85" i="22"/>
  <c r="BN84" i="22"/>
  <c r="BM84" i="22"/>
  <c r="BL84" i="22"/>
  <c r="BN83" i="22"/>
  <c r="BM83" i="22"/>
  <c r="BL83" i="22"/>
  <c r="BN82" i="22"/>
  <c r="BM82" i="22"/>
  <c r="G84" i="23" s="1"/>
  <c r="H84" i="23" s="1"/>
  <c r="BL82" i="22"/>
  <c r="E84" i="23" s="1"/>
  <c r="F84" i="23" s="1"/>
  <c r="BN81" i="22"/>
  <c r="BM81" i="22"/>
  <c r="G83" i="23" s="1"/>
  <c r="H83" i="23" s="1"/>
  <c r="BL81" i="22"/>
  <c r="E83" i="23" s="1"/>
  <c r="F83" i="23" s="1"/>
  <c r="BN80" i="22"/>
  <c r="BM80" i="22"/>
  <c r="G82" i="23" s="1"/>
  <c r="H82" i="23" s="1"/>
  <c r="BL80" i="22"/>
  <c r="E82" i="23" s="1"/>
  <c r="F82" i="23" s="1"/>
  <c r="BN79" i="22"/>
  <c r="BM79" i="22"/>
  <c r="BL79" i="22"/>
  <c r="BN78" i="22"/>
  <c r="BM78" i="22"/>
  <c r="BL78" i="22"/>
  <c r="BN77" i="22"/>
  <c r="BM77" i="22"/>
  <c r="G79" i="23" s="1"/>
  <c r="H79" i="23" s="1"/>
  <c r="BL77" i="22"/>
  <c r="E79" i="23" s="1"/>
  <c r="F79" i="23" s="1"/>
  <c r="BN76" i="22"/>
  <c r="BM76" i="22"/>
  <c r="G78" i="23" s="1"/>
  <c r="H78" i="23" s="1"/>
  <c r="BL76" i="22"/>
  <c r="E78" i="23" s="1"/>
  <c r="F78" i="23" s="1"/>
  <c r="BN75" i="22"/>
  <c r="BM75" i="22"/>
  <c r="G77" i="23" s="1"/>
  <c r="H77" i="23" s="1"/>
  <c r="BL75" i="22"/>
  <c r="E77" i="23" s="1"/>
  <c r="F77" i="23" s="1"/>
  <c r="BN74" i="22"/>
  <c r="BM74" i="22"/>
  <c r="G76" i="23" s="1"/>
  <c r="H76" i="23" s="1"/>
  <c r="BL74" i="22"/>
  <c r="E76" i="23" s="1"/>
  <c r="F76" i="23" s="1"/>
  <c r="BN73" i="22"/>
  <c r="BM73" i="22"/>
  <c r="G75" i="23" s="1"/>
  <c r="H75" i="23" s="1"/>
  <c r="BL73" i="22"/>
  <c r="E75" i="23" s="1"/>
  <c r="BN72" i="22"/>
  <c r="BM72" i="22"/>
  <c r="G74" i="23" s="1"/>
  <c r="H74" i="23" s="1"/>
  <c r="BL72" i="22"/>
  <c r="E74" i="23" s="1"/>
  <c r="BN71" i="22"/>
  <c r="BM71" i="22"/>
  <c r="BL71" i="22"/>
  <c r="BN70" i="22"/>
  <c r="BM70" i="22"/>
  <c r="G72" i="23" s="1"/>
  <c r="H72" i="23" s="1"/>
  <c r="BL70" i="22"/>
  <c r="E72" i="23" s="1"/>
  <c r="F72" i="23" s="1"/>
  <c r="BN69" i="22"/>
  <c r="BM69" i="22"/>
  <c r="BL69" i="22"/>
  <c r="BN68" i="22"/>
  <c r="BM68" i="22"/>
  <c r="G70" i="23" s="1"/>
  <c r="H70" i="23" s="1"/>
  <c r="BL68" i="22"/>
  <c r="E70" i="23" s="1"/>
  <c r="F70" i="23" s="1"/>
  <c r="BN67" i="22"/>
  <c r="BM67" i="22"/>
  <c r="BL67" i="22"/>
  <c r="BN66" i="22"/>
  <c r="BM66" i="22"/>
  <c r="G68" i="23" s="1"/>
  <c r="H68" i="23" s="1"/>
  <c r="BL66" i="22"/>
  <c r="E68" i="23" s="1"/>
  <c r="F68" i="23" s="1"/>
  <c r="BN65" i="22"/>
  <c r="BM65" i="22"/>
  <c r="BL65" i="22"/>
  <c r="BN64" i="22"/>
  <c r="BM64" i="22"/>
  <c r="G66" i="23" s="1"/>
  <c r="H66" i="23" s="1"/>
  <c r="BL64" i="22"/>
  <c r="E66" i="23" s="1"/>
  <c r="F66" i="23" s="1"/>
  <c r="BN63" i="22"/>
  <c r="BM63" i="22"/>
  <c r="G65" i="23" s="1"/>
  <c r="H65" i="23" s="1"/>
  <c r="BL63" i="22"/>
  <c r="E65" i="23" s="1"/>
  <c r="F65" i="23" s="1"/>
  <c r="BN62" i="22"/>
  <c r="BM62" i="22"/>
  <c r="G64" i="23" s="1"/>
  <c r="H64" i="23" s="1"/>
  <c r="BL62" i="22"/>
  <c r="E64" i="23" s="1"/>
  <c r="F64" i="23" s="1"/>
  <c r="BN61" i="22"/>
  <c r="BM61" i="22"/>
  <c r="G63" i="23" s="1"/>
  <c r="H63" i="23" s="1"/>
  <c r="BL61" i="22"/>
  <c r="E63" i="23" s="1"/>
  <c r="F63" i="23" s="1"/>
  <c r="BN60" i="22"/>
  <c r="BM60" i="22"/>
  <c r="BL60" i="22"/>
  <c r="BN59" i="22"/>
  <c r="BM59" i="22"/>
  <c r="G61" i="23" s="1"/>
  <c r="H61" i="23" s="1"/>
  <c r="BL59" i="22"/>
  <c r="E61" i="23" s="1"/>
  <c r="F61" i="23" s="1"/>
  <c r="BN58" i="22"/>
  <c r="BM58" i="22"/>
  <c r="G60" i="23" s="1"/>
  <c r="H60" i="23" s="1"/>
  <c r="BL58" i="22"/>
  <c r="E60" i="23" s="1"/>
  <c r="F60" i="23" s="1"/>
  <c r="BN57" i="22"/>
  <c r="BM57" i="22"/>
  <c r="BL57" i="22"/>
  <c r="BN56" i="22"/>
  <c r="BM56" i="22"/>
  <c r="BL56" i="22"/>
  <c r="BN55" i="22"/>
  <c r="BM55" i="22"/>
  <c r="G57" i="23" s="1"/>
  <c r="H57" i="23" s="1"/>
  <c r="BL55" i="22"/>
  <c r="E57" i="23" s="1"/>
  <c r="F57" i="23" s="1"/>
  <c r="BN54" i="22"/>
  <c r="BM54" i="22"/>
  <c r="BL54" i="22"/>
  <c r="BN53" i="22"/>
  <c r="BM53" i="22"/>
  <c r="G55" i="23" s="1"/>
  <c r="H55" i="23" s="1"/>
  <c r="BL53" i="22"/>
  <c r="E55" i="23" s="1"/>
  <c r="F55" i="23" s="1"/>
  <c r="BN52" i="22"/>
  <c r="BM52" i="22"/>
  <c r="BL52" i="22"/>
  <c r="BN51" i="22"/>
  <c r="BM51" i="22"/>
  <c r="BL51" i="22"/>
  <c r="BN50" i="22"/>
  <c r="BM50" i="22"/>
  <c r="BL50" i="22"/>
  <c r="BN49" i="22"/>
  <c r="BM49" i="22"/>
  <c r="BL49" i="22"/>
  <c r="BN48" i="22"/>
  <c r="BM48" i="22"/>
  <c r="G50" i="23" s="1"/>
  <c r="H50" i="23" s="1"/>
  <c r="BL48" i="22"/>
  <c r="E50" i="23" s="1"/>
  <c r="F50" i="23" s="1"/>
  <c r="BN47" i="22"/>
  <c r="BM47" i="22"/>
  <c r="BL47" i="22"/>
  <c r="BN46" i="22"/>
  <c r="BM46" i="22"/>
  <c r="G48" i="23" s="1"/>
  <c r="H48" i="23" s="1"/>
  <c r="BL46" i="22"/>
  <c r="E48" i="23" s="1"/>
  <c r="F48" i="23" s="1"/>
  <c r="BN45" i="22"/>
  <c r="BM45" i="22"/>
  <c r="G47" i="23" s="1"/>
  <c r="H47" i="23" s="1"/>
  <c r="BL45" i="22"/>
  <c r="E47" i="23" s="1"/>
  <c r="F47" i="23" s="1"/>
  <c r="BN44" i="22"/>
  <c r="BM44" i="22"/>
  <c r="G46" i="23" s="1"/>
  <c r="H46" i="23" s="1"/>
  <c r="BL44" i="22"/>
  <c r="E46" i="23" s="1"/>
  <c r="F46" i="23" s="1"/>
  <c r="BN43" i="22"/>
  <c r="BM43" i="22"/>
  <c r="G45" i="23" s="1"/>
  <c r="H45" i="23" s="1"/>
  <c r="BL43" i="22"/>
  <c r="E45" i="23" s="1"/>
  <c r="F45" i="23" s="1"/>
  <c r="BN42" i="22"/>
  <c r="BM42" i="22"/>
  <c r="BL42" i="22"/>
  <c r="BN41" i="22"/>
  <c r="BM41" i="22"/>
  <c r="G43" i="23" s="1"/>
  <c r="H43" i="23" s="1"/>
  <c r="BL41" i="22"/>
  <c r="E43" i="23" s="1"/>
  <c r="F43" i="23" s="1"/>
  <c r="BN40" i="22"/>
  <c r="BM40" i="22"/>
  <c r="BL40" i="22"/>
  <c r="BN39" i="22"/>
  <c r="BM39" i="22"/>
  <c r="G41" i="23" s="1"/>
  <c r="H41" i="23" s="1"/>
  <c r="BL39" i="22"/>
  <c r="E41" i="23" s="1"/>
  <c r="F41" i="23" s="1"/>
  <c r="BN38" i="22"/>
  <c r="BM38" i="22"/>
  <c r="G39" i="23" s="1"/>
  <c r="H39" i="23" s="1"/>
  <c r="BL38" i="22"/>
  <c r="E39" i="23" s="1"/>
  <c r="F39" i="23" s="1"/>
  <c r="BN37" i="22"/>
  <c r="BM37" i="22"/>
  <c r="BL37" i="22"/>
  <c r="BN36" i="22"/>
  <c r="BM36" i="22"/>
  <c r="G38" i="23" s="1"/>
  <c r="H38" i="23" s="1"/>
  <c r="BL36" i="22"/>
  <c r="E38" i="23" s="1"/>
  <c r="F38" i="23" s="1"/>
  <c r="BN35" i="22"/>
  <c r="BM35" i="22"/>
  <c r="BL35" i="22"/>
  <c r="BN34" i="22"/>
  <c r="BM34" i="22"/>
  <c r="G36" i="23" s="1"/>
  <c r="H36" i="23" s="1"/>
  <c r="BL34" i="22"/>
  <c r="BN33" i="22"/>
  <c r="BM33" i="22"/>
  <c r="BL33" i="22"/>
  <c r="BN32" i="22"/>
  <c r="BM32" i="22"/>
  <c r="G34" i="23" s="1"/>
  <c r="H34" i="23" s="1"/>
  <c r="BL32" i="22"/>
  <c r="E34" i="23" s="1"/>
  <c r="F34" i="23" s="1"/>
  <c r="BN31" i="22"/>
  <c r="BM31" i="22"/>
  <c r="G33" i="23" s="1"/>
  <c r="H33" i="23" s="1"/>
  <c r="BL31" i="22"/>
  <c r="E33" i="23" s="1"/>
  <c r="F33" i="23" s="1"/>
  <c r="BN30" i="22"/>
  <c r="BM30" i="22"/>
  <c r="G32" i="23" s="1"/>
  <c r="H32" i="23" s="1"/>
  <c r="BL30" i="22"/>
  <c r="E32" i="23" s="1"/>
  <c r="F32" i="23" s="1"/>
  <c r="BN29" i="22"/>
  <c r="BM29" i="22"/>
  <c r="G31" i="23" s="1"/>
  <c r="H31" i="23" s="1"/>
  <c r="BL29" i="22"/>
  <c r="E31" i="23" s="1"/>
  <c r="F31" i="23" s="1"/>
  <c r="BN28" i="22"/>
  <c r="BM28" i="22"/>
  <c r="G30" i="23" s="1"/>
  <c r="H30" i="23" s="1"/>
  <c r="BL28" i="22"/>
  <c r="E30" i="23" s="1"/>
  <c r="F30" i="23" s="1"/>
  <c r="BN27" i="22"/>
  <c r="BM27" i="22"/>
  <c r="BL27" i="22"/>
  <c r="BN26" i="22"/>
  <c r="BM26" i="22"/>
  <c r="BL26" i="22"/>
  <c r="BN25" i="22"/>
  <c r="BM25" i="22"/>
  <c r="BL25" i="22"/>
  <c r="BN24" i="22"/>
  <c r="BM24" i="22"/>
  <c r="BL24" i="22"/>
  <c r="BN23" i="22"/>
  <c r="BM23" i="22"/>
  <c r="BL23" i="22"/>
  <c r="BN22" i="22"/>
  <c r="BM22" i="22"/>
  <c r="BL22" i="22"/>
  <c r="BN21" i="22"/>
  <c r="BM21" i="22"/>
  <c r="G23" i="23" s="1"/>
  <c r="H23" i="23" s="1"/>
  <c r="BL21" i="22"/>
  <c r="E23" i="23" s="1"/>
  <c r="F23" i="23" s="1"/>
  <c r="BN20" i="22"/>
  <c r="BM20" i="22"/>
  <c r="G22" i="23" s="1"/>
  <c r="H22" i="23" s="1"/>
  <c r="BL20" i="22"/>
  <c r="E22" i="23" s="1"/>
  <c r="F22" i="23" s="1"/>
  <c r="BN19" i="22"/>
  <c r="BL19" i="22"/>
  <c r="E21" i="23" s="1"/>
  <c r="F21" i="23" s="1"/>
  <c r="BN18" i="22"/>
  <c r="BM18" i="22"/>
  <c r="BL18" i="22"/>
  <c r="BN17" i="22"/>
  <c r="BM17" i="22"/>
  <c r="BL17" i="22"/>
  <c r="BN16" i="22"/>
  <c r="BM16" i="22"/>
  <c r="G18" i="23" s="1"/>
  <c r="H18" i="23" s="1"/>
  <c r="BL16" i="22"/>
  <c r="E18" i="23" s="1"/>
  <c r="F18" i="23" s="1"/>
  <c r="BN15" i="22"/>
  <c r="BM15" i="22"/>
  <c r="BL15" i="22"/>
  <c r="BN14" i="22"/>
  <c r="BM14" i="22"/>
  <c r="BL14" i="22"/>
  <c r="BN13" i="22"/>
  <c r="BM13" i="22"/>
  <c r="BL13" i="22"/>
  <c r="BN12" i="22"/>
  <c r="BL12" i="22"/>
  <c r="BN11" i="22"/>
  <c r="BM11" i="22"/>
  <c r="BL11" i="22"/>
  <c r="BN10" i="22"/>
  <c r="BM10" i="22"/>
  <c r="BL10" i="22"/>
  <c r="BN9" i="22"/>
  <c r="BM9" i="22"/>
  <c r="BL9" i="22"/>
  <c r="BN8" i="22"/>
  <c r="BM8" i="22"/>
  <c r="BL8" i="22"/>
  <c r="BN7" i="22"/>
  <c r="BM7" i="22"/>
  <c r="BL7" i="22"/>
  <c r="BN6" i="22"/>
  <c r="BM6" i="22"/>
  <c r="BL6" i="22"/>
  <c r="BN5" i="22"/>
  <c r="BM5" i="22"/>
  <c r="G7" i="23" s="1"/>
  <c r="H7" i="23" s="1"/>
  <c r="BL5" i="22"/>
  <c r="E7" i="23" s="1"/>
  <c r="F7" i="23" s="1"/>
  <c r="BN4" i="22"/>
  <c r="BM4" i="22"/>
  <c r="BL4" i="22"/>
  <c r="G5" i="23"/>
  <c r="H5" i="23" s="1"/>
  <c r="E5" i="23"/>
  <c r="F5" i="23" s="1"/>
  <c r="S15" i="19"/>
  <c r="S14" i="19"/>
  <c r="S13" i="19"/>
  <c r="S12" i="19"/>
  <c r="S11" i="19"/>
  <c r="S10" i="19"/>
  <c r="S9" i="19"/>
  <c r="S8" i="19"/>
  <c r="S6" i="19"/>
  <c r="S5" i="19"/>
  <c r="S4" i="19"/>
  <c r="S16" i="21"/>
  <c r="S15" i="21"/>
  <c r="S14" i="21"/>
  <c r="S13" i="21"/>
  <c r="S12" i="21"/>
  <c r="S11" i="21"/>
  <c r="S10" i="21"/>
  <c r="S9" i="21"/>
  <c r="S7" i="21"/>
  <c r="S6" i="21"/>
  <c r="S5" i="21"/>
  <c r="BN78" i="20"/>
  <c r="E80" i="21" s="1"/>
  <c r="BO78" i="20"/>
  <c r="G80" i="21" s="1"/>
  <c r="H80" i="21" s="1"/>
  <c r="BP78" i="20"/>
  <c r="BN3" i="20"/>
  <c r="BO3" i="20"/>
  <c r="BP3" i="20"/>
  <c r="BN93" i="20"/>
  <c r="E95" i="21" s="1"/>
  <c r="BO93" i="20"/>
  <c r="G95" i="21" s="1"/>
  <c r="H95" i="21" s="1"/>
  <c r="BP93" i="20"/>
  <c r="BP202" i="20"/>
  <c r="BO202" i="20"/>
  <c r="BN202" i="20"/>
  <c r="BP201" i="20"/>
  <c r="BO201" i="20"/>
  <c r="BN201" i="20"/>
  <c r="BP200" i="20"/>
  <c r="BO200" i="20"/>
  <c r="BN200" i="20"/>
  <c r="BP199" i="20"/>
  <c r="BO199" i="20"/>
  <c r="BN199" i="20"/>
  <c r="BP198" i="20"/>
  <c r="BO198" i="20"/>
  <c r="BN198" i="20"/>
  <c r="BP197" i="20"/>
  <c r="BO197" i="20"/>
  <c r="BN197" i="20"/>
  <c r="BP196" i="20"/>
  <c r="BO196" i="20"/>
  <c r="BN196" i="20"/>
  <c r="BP195" i="20"/>
  <c r="BO195" i="20"/>
  <c r="BN195" i="20"/>
  <c r="BP194" i="20"/>
  <c r="BO194" i="20"/>
  <c r="BN194" i="20"/>
  <c r="BP193" i="20"/>
  <c r="BO193" i="20"/>
  <c r="BN193" i="20"/>
  <c r="BP192" i="20"/>
  <c r="BO192" i="20"/>
  <c r="BN192" i="20"/>
  <c r="BP191" i="20"/>
  <c r="BO191" i="20"/>
  <c r="BN191" i="20"/>
  <c r="BP190" i="20"/>
  <c r="BO190" i="20"/>
  <c r="BN190" i="20"/>
  <c r="BP189" i="20"/>
  <c r="BO189" i="20"/>
  <c r="BN189" i="20"/>
  <c r="BP188" i="20"/>
  <c r="BO188" i="20"/>
  <c r="BN188" i="20"/>
  <c r="BP187" i="20"/>
  <c r="BO187" i="20"/>
  <c r="BN187" i="20"/>
  <c r="BP186" i="20"/>
  <c r="BO186" i="20"/>
  <c r="BN186" i="20"/>
  <c r="BP185" i="20"/>
  <c r="BO185" i="20"/>
  <c r="BN185" i="20"/>
  <c r="BP184" i="20"/>
  <c r="BO184" i="20"/>
  <c r="BN184" i="20"/>
  <c r="BP183" i="20"/>
  <c r="BO183" i="20"/>
  <c r="BN183" i="20"/>
  <c r="BP182" i="20"/>
  <c r="BO182" i="20"/>
  <c r="BN182" i="20"/>
  <c r="BP181" i="20"/>
  <c r="BO181" i="20"/>
  <c r="BN181" i="20"/>
  <c r="BP180" i="20"/>
  <c r="BO180" i="20"/>
  <c r="BN180" i="20"/>
  <c r="BP179" i="20"/>
  <c r="BO179" i="20"/>
  <c r="BN179" i="20"/>
  <c r="BP178" i="20"/>
  <c r="BO178" i="20"/>
  <c r="BN178" i="20"/>
  <c r="BP177" i="20"/>
  <c r="BO177" i="20"/>
  <c r="BN177" i="20"/>
  <c r="BP176" i="20"/>
  <c r="BO176" i="20"/>
  <c r="BN176" i="20"/>
  <c r="BP175" i="20"/>
  <c r="BO175" i="20"/>
  <c r="BN175" i="20"/>
  <c r="BP174" i="20"/>
  <c r="BO174" i="20"/>
  <c r="BN174" i="20"/>
  <c r="BP173" i="20"/>
  <c r="BO173" i="20"/>
  <c r="BN173" i="20"/>
  <c r="BP172" i="20"/>
  <c r="BO172" i="20"/>
  <c r="BN172" i="20"/>
  <c r="BP171" i="20"/>
  <c r="BO171" i="20"/>
  <c r="BN171" i="20"/>
  <c r="BP170" i="20"/>
  <c r="BO170" i="20"/>
  <c r="BN170" i="20"/>
  <c r="BP169" i="20"/>
  <c r="BO169" i="20"/>
  <c r="BN169" i="20"/>
  <c r="BP168" i="20"/>
  <c r="BO168" i="20"/>
  <c r="BN168" i="20"/>
  <c r="BP167" i="20"/>
  <c r="BO167" i="20"/>
  <c r="BN167" i="20"/>
  <c r="BP166" i="20"/>
  <c r="BO166" i="20"/>
  <c r="BN166" i="20"/>
  <c r="BP165" i="20"/>
  <c r="BO165" i="20"/>
  <c r="BN165" i="20"/>
  <c r="BP164" i="20"/>
  <c r="BO164" i="20"/>
  <c r="BN164" i="20"/>
  <c r="BP163" i="20"/>
  <c r="BO163" i="20"/>
  <c r="BN163" i="20"/>
  <c r="BP162" i="20"/>
  <c r="BO162" i="20"/>
  <c r="BN162" i="20"/>
  <c r="BP161" i="20"/>
  <c r="BO161" i="20"/>
  <c r="BN161" i="20"/>
  <c r="BP160" i="20"/>
  <c r="BO160" i="20"/>
  <c r="BN160" i="20"/>
  <c r="BP159" i="20"/>
  <c r="BO159" i="20"/>
  <c r="BN159" i="20"/>
  <c r="BP158" i="20"/>
  <c r="BO158" i="20"/>
  <c r="BN158" i="20"/>
  <c r="BP157" i="20"/>
  <c r="BO157" i="20"/>
  <c r="BN157" i="20"/>
  <c r="BP156" i="20"/>
  <c r="BO156" i="20"/>
  <c r="BN156" i="20"/>
  <c r="BP155" i="20"/>
  <c r="BO155" i="20"/>
  <c r="BN155" i="20"/>
  <c r="BP154" i="20"/>
  <c r="BO154" i="20"/>
  <c r="BN154" i="20"/>
  <c r="BP153" i="20"/>
  <c r="BO153" i="20"/>
  <c r="BN153" i="20"/>
  <c r="BP152" i="20"/>
  <c r="BO152" i="20"/>
  <c r="BN152" i="20"/>
  <c r="BP151" i="20"/>
  <c r="BO151" i="20"/>
  <c r="BN151" i="20"/>
  <c r="BP150" i="20"/>
  <c r="BO150" i="20"/>
  <c r="BN150" i="20"/>
  <c r="BP149" i="20"/>
  <c r="BO149" i="20"/>
  <c r="BN149" i="20"/>
  <c r="BP148" i="20"/>
  <c r="BO148" i="20"/>
  <c r="BN148" i="20"/>
  <c r="BP147" i="20"/>
  <c r="BO147" i="20"/>
  <c r="BN147" i="20"/>
  <c r="BP146" i="20"/>
  <c r="BO146" i="20"/>
  <c r="BN146" i="20"/>
  <c r="BP145" i="20"/>
  <c r="BO145" i="20"/>
  <c r="BN145" i="20"/>
  <c r="BP144" i="20"/>
  <c r="BO144" i="20"/>
  <c r="BN144" i="20"/>
  <c r="BP143" i="20"/>
  <c r="BO143" i="20"/>
  <c r="BN143" i="20"/>
  <c r="BP142" i="20"/>
  <c r="BO142" i="20"/>
  <c r="BN142" i="20"/>
  <c r="BP141" i="20"/>
  <c r="BO141" i="20"/>
  <c r="BN141" i="20"/>
  <c r="BP140" i="20"/>
  <c r="BO140" i="20"/>
  <c r="BN140" i="20"/>
  <c r="BP139" i="20"/>
  <c r="BO139" i="20"/>
  <c r="BN139" i="20"/>
  <c r="BP138" i="20"/>
  <c r="BO138" i="20"/>
  <c r="BN138" i="20"/>
  <c r="BP137" i="20"/>
  <c r="BO137" i="20"/>
  <c r="BN137" i="20"/>
  <c r="BP136" i="20"/>
  <c r="BO136" i="20"/>
  <c r="BN136" i="20"/>
  <c r="BP135" i="20"/>
  <c r="BO135" i="20"/>
  <c r="BN135" i="20"/>
  <c r="BP134" i="20"/>
  <c r="BO134" i="20"/>
  <c r="BN134" i="20"/>
  <c r="BP133" i="20"/>
  <c r="BO133" i="20"/>
  <c r="BN133" i="20"/>
  <c r="BP132" i="20"/>
  <c r="BO132" i="20"/>
  <c r="BN132" i="20"/>
  <c r="BP131" i="20"/>
  <c r="BO131" i="20"/>
  <c r="BN131" i="20"/>
  <c r="BP130" i="20"/>
  <c r="BO130" i="20"/>
  <c r="BN130" i="20"/>
  <c r="BP129" i="20"/>
  <c r="BO129" i="20"/>
  <c r="BN129" i="20"/>
  <c r="BP128" i="20"/>
  <c r="BO128" i="20"/>
  <c r="BN128" i="20"/>
  <c r="BP127" i="20"/>
  <c r="BO127" i="20"/>
  <c r="BN127" i="20"/>
  <c r="BP126" i="20"/>
  <c r="BO126" i="20"/>
  <c r="BN126" i="20"/>
  <c r="BP125" i="20"/>
  <c r="BO125" i="20"/>
  <c r="BN125" i="20"/>
  <c r="BP124" i="20"/>
  <c r="BO124" i="20"/>
  <c r="BN124" i="20"/>
  <c r="BP123" i="20"/>
  <c r="BO123" i="20"/>
  <c r="BN123" i="20"/>
  <c r="BP122" i="20"/>
  <c r="BO122" i="20"/>
  <c r="BN122" i="20"/>
  <c r="BP121" i="20"/>
  <c r="BO121" i="20"/>
  <c r="BN121" i="20"/>
  <c r="BP120" i="20"/>
  <c r="BO120" i="20"/>
  <c r="BN120" i="20"/>
  <c r="BP119" i="20"/>
  <c r="BO119" i="20"/>
  <c r="BN119" i="20"/>
  <c r="BP118" i="20"/>
  <c r="BO118" i="20"/>
  <c r="BN118" i="20"/>
  <c r="BP117" i="20"/>
  <c r="BO117" i="20"/>
  <c r="BN117" i="20"/>
  <c r="BP116" i="20"/>
  <c r="BO116" i="20"/>
  <c r="BN116" i="20"/>
  <c r="BP115" i="20"/>
  <c r="BO115" i="20"/>
  <c r="BN115" i="20"/>
  <c r="BP114" i="20"/>
  <c r="BO114" i="20"/>
  <c r="BN114" i="20"/>
  <c r="BP113" i="20"/>
  <c r="BO113" i="20"/>
  <c r="BN113" i="20"/>
  <c r="BP112" i="20"/>
  <c r="BO112" i="20"/>
  <c r="BN112" i="20"/>
  <c r="BP111" i="20"/>
  <c r="BO111" i="20"/>
  <c r="BN111" i="20"/>
  <c r="BP110" i="20"/>
  <c r="BO110" i="20"/>
  <c r="BN110" i="20"/>
  <c r="BP109" i="20"/>
  <c r="BO109" i="20"/>
  <c r="BN109" i="20"/>
  <c r="BP108" i="20"/>
  <c r="BO108" i="20"/>
  <c r="BN108" i="20"/>
  <c r="BP107" i="20"/>
  <c r="BO107" i="20"/>
  <c r="BN107" i="20"/>
  <c r="BP106" i="20"/>
  <c r="BO106" i="20"/>
  <c r="BN106" i="20"/>
  <c r="BP105" i="20"/>
  <c r="BO105" i="20"/>
  <c r="BN105" i="20"/>
  <c r="BP104" i="20"/>
  <c r="BO104" i="20"/>
  <c r="BN104" i="20"/>
  <c r="BP103" i="20"/>
  <c r="BO103" i="20"/>
  <c r="BN103" i="20"/>
  <c r="BP102" i="20"/>
  <c r="BO102" i="20"/>
  <c r="BN102" i="20"/>
  <c r="BP101" i="20"/>
  <c r="BO101" i="20"/>
  <c r="BN101" i="20"/>
  <c r="BP100" i="20"/>
  <c r="BO100" i="20"/>
  <c r="G102" i="21" s="1"/>
  <c r="H102" i="21" s="1"/>
  <c r="BN100" i="20"/>
  <c r="E102" i="21" s="1"/>
  <c r="F102" i="21" s="1"/>
  <c r="BP99" i="20"/>
  <c r="BO99" i="20"/>
  <c r="BN99" i="20"/>
  <c r="BP98" i="20"/>
  <c r="BO98" i="20"/>
  <c r="G100" i="21" s="1"/>
  <c r="H100" i="21" s="1"/>
  <c r="BN98" i="20"/>
  <c r="E100" i="21" s="1"/>
  <c r="F100" i="21" s="1"/>
  <c r="BP97" i="20"/>
  <c r="BO97" i="20"/>
  <c r="G99" i="21" s="1"/>
  <c r="H99" i="21" s="1"/>
  <c r="BN97" i="20"/>
  <c r="E99" i="21" s="1"/>
  <c r="F99" i="21" s="1"/>
  <c r="BP96" i="20"/>
  <c r="BO96" i="20"/>
  <c r="BN96" i="20"/>
  <c r="BP95" i="20"/>
  <c r="BO95" i="20"/>
  <c r="G97" i="21" s="1"/>
  <c r="H97" i="21" s="1"/>
  <c r="BN95" i="20"/>
  <c r="BP94" i="20"/>
  <c r="BO94" i="20"/>
  <c r="G96" i="21" s="1"/>
  <c r="H96" i="21" s="1"/>
  <c r="BN94" i="20"/>
  <c r="E96" i="21" s="1"/>
  <c r="F96" i="21" s="1"/>
  <c r="BP92" i="20"/>
  <c r="BO92" i="20"/>
  <c r="G94" i="21" s="1"/>
  <c r="H94" i="21" s="1"/>
  <c r="BN92" i="20"/>
  <c r="E94" i="21" s="1"/>
  <c r="F94" i="21" s="1"/>
  <c r="BP91" i="20"/>
  <c r="BO91" i="20"/>
  <c r="G93" i="21" s="1"/>
  <c r="H93" i="21" s="1"/>
  <c r="BN91" i="20"/>
  <c r="E93" i="21" s="1"/>
  <c r="F93" i="21" s="1"/>
  <c r="BP90" i="20"/>
  <c r="BO90" i="20"/>
  <c r="G92" i="21" s="1"/>
  <c r="H92" i="21" s="1"/>
  <c r="BN90" i="20"/>
  <c r="E92" i="21" s="1"/>
  <c r="BP89" i="20"/>
  <c r="BO89" i="20"/>
  <c r="BN89" i="20"/>
  <c r="BP88" i="20"/>
  <c r="BO88" i="20"/>
  <c r="BN88" i="20"/>
  <c r="BP87" i="20"/>
  <c r="BO87" i="20"/>
  <c r="G89" i="21" s="1"/>
  <c r="H89" i="21" s="1"/>
  <c r="BN87" i="20"/>
  <c r="E89" i="21" s="1"/>
  <c r="F89" i="21" s="1"/>
  <c r="BP86" i="20"/>
  <c r="BO86" i="20"/>
  <c r="BN86" i="20"/>
  <c r="BP85" i="20"/>
  <c r="BO85" i="20"/>
  <c r="BN85" i="20"/>
  <c r="BP84" i="20"/>
  <c r="BO84" i="20"/>
  <c r="BN84" i="20"/>
  <c r="BP83" i="20"/>
  <c r="BO83" i="20"/>
  <c r="BN83" i="20"/>
  <c r="BP82" i="20"/>
  <c r="BO82" i="20"/>
  <c r="G84" i="21" s="1"/>
  <c r="H84" i="21" s="1"/>
  <c r="BN82" i="20"/>
  <c r="E84" i="21" s="1"/>
  <c r="F84" i="21" s="1"/>
  <c r="BP81" i="20"/>
  <c r="BO81" i="20"/>
  <c r="G83" i="21" s="1"/>
  <c r="H83" i="21" s="1"/>
  <c r="BN81" i="20"/>
  <c r="E83" i="21" s="1"/>
  <c r="F83" i="21" s="1"/>
  <c r="BP80" i="20"/>
  <c r="BO80" i="20"/>
  <c r="G82" i="21" s="1"/>
  <c r="H82" i="21" s="1"/>
  <c r="BN80" i="20"/>
  <c r="E82" i="21" s="1"/>
  <c r="F82" i="21" s="1"/>
  <c r="BP79" i="20"/>
  <c r="BO79" i="20"/>
  <c r="G81" i="21" s="1"/>
  <c r="H81" i="21" s="1"/>
  <c r="BN79" i="20"/>
  <c r="E81" i="21" s="1"/>
  <c r="F81" i="21" s="1"/>
  <c r="BP77" i="20"/>
  <c r="BO77" i="20"/>
  <c r="G79" i="21" s="1"/>
  <c r="H79" i="21" s="1"/>
  <c r="BN77" i="20"/>
  <c r="E79" i="21" s="1"/>
  <c r="F79" i="21" s="1"/>
  <c r="BP76" i="20"/>
  <c r="BO76" i="20"/>
  <c r="G78" i="21" s="1"/>
  <c r="H78" i="21" s="1"/>
  <c r="BN76" i="20"/>
  <c r="E78" i="21" s="1"/>
  <c r="F78" i="21" s="1"/>
  <c r="BP75" i="20"/>
  <c r="BO75" i="20"/>
  <c r="G77" i="21" s="1"/>
  <c r="H77" i="21" s="1"/>
  <c r="BN75" i="20"/>
  <c r="E77" i="21" s="1"/>
  <c r="F77" i="21" s="1"/>
  <c r="BP74" i="20"/>
  <c r="BO74" i="20"/>
  <c r="G76" i="21" s="1"/>
  <c r="H76" i="21" s="1"/>
  <c r="BN74" i="20"/>
  <c r="E76" i="21" s="1"/>
  <c r="F76" i="21" s="1"/>
  <c r="BP73" i="20"/>
  <c r="BO73" i="20"/>
  <c r="G75" i="21" s="1"/>
  <c r="H75" i="21" s="1"/>
  <c r="BN73" i="20"/>
  <c r="E75" i="21" s="1"/>
  <c r="F75" i="21" s="1"/>
  <c r="BP72" i="20"/>
  <c r="BO72" i="20"/>
  <c r="G74" i="21" s="1"/>
  <c r="H74" i="21" s="1"/>
  <c r="BN72" i="20"/>
  <c r="E74" i="21" s="1"/>
  <c r="F74" i="21" s="1"/>
  <c r="BP71" i="20"/>
  <c r="BO71" i="20"/>
  <c r="BN71" i="20"/>
  <c r="BP70" i="20"/>
  <c r="BO70" i="20"/>
  <c r="G72" i="21" s="1"/>
  <c r="H72" i="21" s="1"/>
  <c r="BN70" i="20"/>
  <c r="E72" i="21" s="1"/>
  <c r="F72" i="21" s="1"/>
  <c r="BP69" i="20"/>
  <c r="BO69" i="20"/>
  <c r="BN69" i="20"/>
  <c r="BP68" i="20"/>
  <c r="BO68" i="20"/>
  <c r="G70" i="21" s="1"/>
  <c r="H70" i="21" s="1"/>
  <c r="BN68" i="20"/>
  <c r="E70" i="21" s="1"/>
  <c r="F70" i="21" s="1"/>
  <c r="BP67" i="20"/>
  <c r="BO67" i="20"/>
  <c r="BN67" i="20"/>
  <c r="BP66" i="20"/>
  <c r="BO66" i="20"/>
  <c r="G68" i="21" s="1"/>
  <c r="H68" i="21" s="1"/>
  <c r="BN66" i="20"/>
  <c r="E68" i="21" s="1"/>
  <c r="F68" i="21" s="1"/>
  <c r="BP65" i="20"/>
  <c r="BO65" i="20"/>
  <c r="BN65" i="20"/>
  <c r="BP64" i="20"/>
  <c r="BO64" i="20"/>
  <c r="G66" i="21" s="1"/>
  <c r="H66" i="21" s="1"/>
  <c r="BN64" i="20"/>
  <c r="E66" i="21" s="1"/>
  <c r="F66" i="21" s="1"/>
  <c r="BP63" i="20"/>
  <c r="BO63" i="20"/>
  <c r="G65" i="21" s="1"/>
  <c r="H65" i="21" s="1"/>
  <c r="BN63" i="20"/>
  <c r="E65" i="21" s="1"/>
  <c r="F65" i="21" s="1"/>
  <c r="BP62" i="20"/>
  <c r="BO62" i="20"/>
  <c r="G64" i="21" s="1"/>
  <c r="H64" i="21" s="1"/>
  <c r="BN62" i="20"/>
  <c r="E64" i="21" s="1"/>
  <c r="F64" i="21" s="1"/>
  <c r="BP61" i="20"/>
  <c r="BO61" i="20"/>
  <c r="G63" i="21" s="1"/>
  <c r="H63" i="21" s="1"/>
  <c r="BN61" i="20"/>
  <c r="E63" i="21" s="1"/>
  <c r="F63" i="21" s="1"/>
  <c r="BP60" i="20"/>
  <c r="BO60" i="20"/>
  <c r="BN60" i="20"/>
  <c r="BP59" i="20"/>
  <c r="BO59" i="20"/>
  <c r="G61" i="21" s="1"/>
  <c r="H61" i="21" s="1"/>
  <c r="BN59" i="20"/>
  <c r="E61" i="21" s="1"/>
  <c r="F61" i="21" s="1"/>
  <c r="BP58" i="20"/>
  <c r="BO58" i="20"/>
  <c r="G60" i="21" s="1"/>
  <c r="H60" i="21" s="1"/>
  <c r="BN58" i="20"/>
  <c r="E60" i="21" s="1"/>
  <c r="F60" i="21" s="1"/>
  <c r="BP57" i="20"/>
  <c r="BO57" i="20"/>
  <c r="BN57" i="20"/>
  <c r="BP56" i="20"/>
  <c r="BO56" i="20"/>
  <c r="BN56" i="20"/>
  <c r="BP55" i="20"/>
  <c r="BO55" i="20"/>
  <c r="BN55" i="20"/>
  <c r="BP54" i="20"/>
  <c r="BO54" i="20"/>
  <c r="BN54" i="20"/>
  <c r="BP53" i="20"/>
  <c r="BO53" i="20"/>
  <c r="G55" i="21" s="1"/>
  <c r="H55" i="21" s="1"/>
  <c r="BN53" i="20"/>
  <c r="E55" i="21" s="1"/>
  <c r="F55" i="21" s="1"/>
  <c r="BP52" i="20"/>
  <c r="BO52" i="20"/>
  <c r="BN52" i="20"/>
  <c r="BP51" i="20"/>
  <c r="BO51" i="20"/>
  <c r="BN51" i="20"/>
  <c r="BP50" i="20"/>
  <c r="BO50" i="20"/>
  <c r="BN50" i="20"/>
  <c r="BP49" i="20"/>
  <c r="BO49" i="20"/>
  <c r="BN49" i="20"/>
  <c r="BP48" i="20"/>
  <c r="BO48" i="20"/>
  <c r="G50" i="21" s="1"/>
  <c r="H50" i="21" s="1"/>
  <c r="BN48" i="20"/>
  <c r="E50" i="21" s="1"/>
  <c r="F50" i="21" s="1"/>
  <c r="BP47" i="20"/>
  <c r="BO47" i="20"/>
  <c r="BN47" i="20"/>
  <c r="BP46" i="20"/>
  <c r="BO46" i="20"/>
  <c r="G48" i="21" s="1"/>
  <c r="H48" i="21" s="1"/>
  <c r="BN46" i="20"/>
  <c r="E48" i="21" s="1"/>
  <c r="F48" i="21" s="1"/>
  <c r="BP45" i="20"/>
  <c r="BO45" i="20"/>
  <c r="G47" i="21" s="1"/>
  <c r="H47" i="21" s="1"/>
  <c r="BN45" i="20"/>
  <c r="E47" i="21" s="1"/>
  <c r="F47" i="21" s="1"/>
  <c r="BP44" i="20"/>
  <c r="BO44" i="20"/>
  <c r="G46" i="21" s="1"/>
  <c r="H46" i="21" s="1"/>
  <c r="BN44" i="20"/>
  <c r="E46" i="21" s="1"/>
  <c r="F46" i="21" s="1"/>
  <c r="BP43" i="20"/>
  <c r="BO43" i="20"/>
  <c r="G45" i="21" s="1"/>
  <c r="H45" i="21" s="1"/>
  <c r="BN43" i="20"/>
  <c r="E45" i="21" s="1"/>
  <c r="F45" i="21" s="1"/>
  <c r="BP42" i="20"/>
  <c r="BO42" i="20"/>
  <c r="BN42" i="20"/>
  <c r="BP41" i="20"/>
  <c r="BO41" i="20"/>
  <c r="G43" i="21" s="1"/>
  <c r="H43" i="21" s="1"/>
  <c r="BN41" i="20"/>
  <c r="E43" i="21" s="1"/>
  <c r="F43" i="21" s="1"/>
  <c r="BP40" i="20"/>
  <c r="BO40" i="20"/>
  <c r="BN40" i="20"/>
  <c r="BP39" i="20"/>
  <c r="BO39" i="20"/>
  <c r="BN39" i="20"/>
  <c r="BP38" i="20"/>
  <c r="BO38" i="20"/>
  <c r="BN38" i="20"/>
  <c r="BP37" i="20"/>
  <c r="BO37" i="20"/>
  <c r="BN37" i="20"/>
  <c r="BP36" i="20"/>
  <c r="BO36" i="20"/>
  <c r="G38" i="21" s="1"/>
  <c r="H38" i="21" s="1"/>
  <c r="BN36" i="20"/>
  <c r="E38" i="21" s="1"/>
  <c r="F38" i="21" s="1"/>
  <c r="BP35" i="20"/>
  <c r="BO35" i="20"/>
  <c r="BN35" i="20"/>
  <c r="BP34" i="20"/>
  <c r="BO34" i="20"/>
  <c r="G36" i="21" s="1"/>
  <c r="H36" i="21" s="1"/>
  <c r="BN34" i="20"/>
  <c r="E36" i="21" s="1"/>
  <c r="F36" i="21" s="1"/>
  <c r="BP33" i="20"/>
  <c r="BO33" i="20"/>
  <c r="BN33" i="20"/>
  <c r="BP32" i="20"/>
  <c r="BO32" i="20"/>
  <c r="G34" i="21" s="1"/>
  <c r="H34" i="21" s="1"/>
  <c r="BN32" i="20"/>
  <c r="E34" i="21" s="1"/>
  <c r="F34" i="21" s="1"/>
  <c r="BP31" i="20"/>
  <c r="BO31" i="20"/>
  <c r="G33" i="21" s="1"/>
  <c r="H33" i="21" s="1"/>
  <c r="BN31" i="20"/>
  <c r="E33" i="21" s="1"/>
  <c r="BP30" i="20"/>
  <c r="BO30" i="20"/>
  <c r="G32" i="21" s="1"/>
  <c r="H32" i="21" s="1"/>
  <c r="BN30" i="20"/>
  <c r="E32" i="21" s="1"/>
  <c r="BP29" i="20"/>
  <c r="BO29" i="20"/>
  <c r="G31" i="21" s="1"/>
  <c r="H31" i="21" s="1"/>
  <c r="BN29" i="20"/>
  <c r="E31" i="21" s="1"/>
  <c r="BP28" i="20"/>
  <c r="BO28" i="20"/>
  <c r="G30" i="21" s="1"/>
  <c r="H30" i="21" s="1"/>
  <c r="BN28" i="20"/>
  <c r="E30" i="21" s="1"/>
  <c r="F30" i="21" s="1"/>
  <c r="BP27" i="20"/>
  <c r="BO27" i="20"/>
  <c r="BN27" i="20"/>
  <c r="BP26" i="20"/>
  <c r="BO26" i="20"/>
  <c r="BN26" i="20"/>
  <c r="BP25" i="20"/>
  <c r="BO25" i="20"/>
  <c r="BN25" i="20"/>
  <c r="BP24" i="20"/>
  <c r="BO24" i="20"/>
  <c r="BN24" i="20"/>
  <c r="BP23" i="20"/>
  <c r="BO23" i="20"/>
  <c r="BN23" i="20"/>
  <c r="BP22" i="20"/>
  <c r="BO22" i="20"/>
  <c r="BN22" i="20"/>
  <c r="BP21" i="20"/>
  <c r="BO21" i="20"/>
  <c r="G23" i="21" s="1"/>
  <c r="H23" i="21" s="1"/>
  <c r="BN21" i="20"/>
  <c r="E23" i="21" s="1"/>
  <c r="F23" i="21" s="1"/>
  <c r="BP20" i="20"/>
  <c r="BO20" i="20"/>
  <c r="G22" i="21" s="1"/>
  <c r="H22" i="21" s="1"/>
  <c r="BN20" i="20"/>
  <c r="E22" i="21" s="1"/>
  <c r="F22" i="21" s="1"/>
  <c r="BP19" i="20"/>
  <c r="BO19" i="20"/>
  <c r="G21" i="21" s="1"/>
  <c r="H21" i="21" s="1"/>
  <c r="BN19" i="20"/>
  <c r="E21" i="21" s="1"/>
  <c r="F21" i="21" s="1"/>
  <c r="BP18" i="20"/>
  <c r="BO18" i="20"/>
  <c r="BN18" i="20"/>
  <c r="BP17" i="20"/>
  <c r="BO17" i="20"/>
  <c r="BN17" i="20"/>
  <c r="BP16" i="20"/>
  <c r="BO16" i="20"/>
  <c r="BN16" i="20"/>
  <c r="E18" i="21" s="1"/>
  <c r="F18" i="21" s="1"/>
  <c r="BP15" i="20"/>
  <c r="BO15" i="20"/>
  <c r="BN15" i="20"/>
  <c r="BP14" i="20"/>
  <c r="BO14" i="20"/>
  <c r="BN14" i="20"/>
  <c r="BP13" i="20"/>
  <c r="BO13" i="20"/>
  <c r="BN13" i="20"/>
  <c r="BP12" i="20"/>
  <c r="BO12" i="20"/>
  <c r="BN12" i="20"/>
  <c r="BP11" i="20"/>
  <c r="BO11" i="20"/>
  <c r="BN11" i="20"/>
  <c r="BP10" i="20"/>
  <c r="BO10" i="20"/>
  <c r="G12" i="21" s="1"/>
  <c r="H12" i="21" s="1"/>
  <c r="BN10" i="20"/>
  <c r="E12" i="21" s="1"/>
  <c r="F12" i="21" s="1"/>
  <c r="BP9" i="20"/>
  <c r="BO9" i="20"/>
  <c r="BN9" i="20"/>
  <c r="BP8" i="20"/>
  <c r="BO8" i="20"/>
  <c r="BN8" i="20"/>
  <c r="BP7" i="20"/>
  <c r="BO7" i="20"/>
  <c r="BN7" i="20"/>
  <c r="BP6" i="20"/>
  <c r="BO6" i="20"/>
  <c r="BN6" i="20"/>
  <c r="BP5" i="20"/>
  <c r="BO5" i="20"/>
  <c r="G7" i="21" s="1"/>
  <c r="H7" i="21" s="1"/>
  <c r="BN5" i="20"/>
  <c r="E7" i="21" s="1"/>
  <c r="F7" i="21" s="1"/>
  <c r="BP4" i="20"/>
  <c r="BO4" i="20"/>
  <c r="BN4" i="20"/>
  <c r="BH44" i="14"/>
  <c r="E45" i="19" s="1"/>
  <c r="BI44" i="14"/>
  <c r="G45" i="19" s="1"/>
  <c r="BJ44" i="14"/>
  <c r="H45" i="19"/>
  <c r="F45" i="19"/>
  <c r="I45" i="19"/>
  <c r="J45" i="19" s="1"/>
  <c r="K100" i="19"/>
  <c r="M100" i="19"/>
  <c r="N100" i="19" s="1"/>
  <c r="BH91" i="14"/>
  <c r="E92" i="19" s="1"/>
  <c r="BI91" i="14"/>
  <c r="G92" i="19" s="1"/>
  <c r="H92" i="19" s="1"/>
  <c r="BJ91" i="14"/>
  <c r="J4" i="15"/>
  <c r="BH3" i="14"/>
  <c r="BI3" i="14"/>
  <c r="BJ3" i="14"/>
  <c r="K20" i="19"/>
  <c r="M20" i="19"/>
  <c r="N20" i="19" s="1"/>
  <c r="K21" i="19"/>
  <c r="M21" i="19"/>
  <c r="N21" i="19" s="1"/>
  <c r="K29" i="19"/>
  <c r="M29" i="19"/>
  <c r="N29" i="19" s="1"/>
  <c r="K30" i="19"/>
  <c r="M30" i="19"/>
  <c r="N30" i="19" s="1"/>
  <c r="K31" i="19"/>
  <c r="M31" i="19"/>
  <c r="N31" i="19" s="1"/>
  <c r="K32" i="19"/>
  <c r="M32" i="19"/>
  <c r="N32" i="19" s="1"/>
  <c r="K37" i="19"/>
  <c r="M37" i="19"/>
  <c r="N37" i="19" s="1"/>
  <c r="K44" i="19"/>
  <c r="M44" i="19"/>
  <c r="N44" i="19" s="1"/>
  <c r="K45" i="19"/>
  <c r="M45" i="19"/>
  <c r="N45" i="19" s="1"/>
  <c r="K46" i="19"/>
  <c r="K59" i="19"/>
  <c r="M59" i="19"/>
  <c r="N59" i="19" s="1"/>
  <c r="K60" i="19"/>
  <c r="M60" i="19"/>
  <c r="N60" i="19" s="1"/>
  <c r="K62" i="19"/>
  <c r="M62" i="19"/>
  <c r="N62" i="19" s="1"/>
  <c r="K63" i="19"/>
  <c r="M63" i="19"/>
  <c r="N63" i="19" s="1"/>
  <c r="K64" i="19"/>
  <c r="M64" i="19"/>
  <c r="N64" i="19" s="1"/>
  <c r="K73" i="19"/>
  <c r="M73" i="19"/>
  <c r="N73" i="19" s="1"/>
  <c r="K74" i="19"/>
  <c r="M74" i="19"/>
  <c r="N74" i="19" s="1"/>
  <c r="K75" i="19"/>
  <c r="M75" i="19"/>
  <c r="N75" i="19" s="1"/>
  <c r="K76" i="19"/>
  <c r="M76" i="19"/>
  <c r="N76" i="19" s="1"/>
  <c r="K77" i="19"/>
  <c r="M77" i="19"/>
  <c r="N77" i="19" s="1"/>
  <c r="K78" i="19"/>
  <c r="M78" i="19"/>
  <c r="N78" i="19" s="1"/>
  <c r="K79" i="19"/>
  <c r="M79" i="19"/>
  <c r="N79" i="19" s="1"/>
  <c r="K80" i="19"/>
  <c r="M80" i="19"/>
  <c r="N80" i="19" s="1"/>
  <c r="K81" i="19"/>
  <c r="M81" i="19"/>
  <c r="N81" i="19" s="1"/>
  <c r="K90" i="19"/>
  <c r="M90" i="19"/>
  <c r="N90" i="19" s="1"/>
  <c r="K91" i="19"/>
  <c r="M91" i="19"/>
  <c r="N91" i="19" s="1"/>
  <c r="K92" i="19"/>
  <c r="M92" i="19"/>
  <c r="N92" i="19" s="1"/>
  <c r="K93" i="19"/>
  <c r="M93" i="19"/>
  <c r="N93" i="19" s="1"/>
  <c r="K94" i="19"/>
  <c r="M94" i="19"/>
  <c r="N94" i="19" s="1"/>
  <c r="K95" i="19"/>
  <c r="M95" i="19"/>
  <c r="N95" i="19" s="1"/>
  <c r="K96" i="19"/>
  <c r="M96" i="19"/>
  <c r="N96" i="19" s="1"/>
  <c r="K97" i="19"/>
  <c r="M97" i="19"/>
  <c r="N97" i="19" s="1"/>
  <c r="K98" i="19"/>
  <c r="M98" i="19"/>
  <c r="N98" i="19" s="1"/>
  <c r="K99" i="19"/>
  <c r="M99" i="19"/>
  <c r="N99" i="19" s="1"/>
  <c r="M4" i="19"/>
  <c r="N4" i="19" s="1"/>
  <c r="K4" i="19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BJ99" i="14"/>
  <c r="BI99" i="14"/>
  <c r="G100" i="19" s="1"/>
  <c r="H100" i="19" s="1"/>
  <c r="BH99" i="14"/>
  <c r="E100" i="19" s="1"/>
  <c r="BJ98" i="14"/>
  <c r="BI98" i="14"/>
  <c r="G99" i="19" s="1"/>
  <c r="H99" i="19" s="1"/>
  <c r="BH98" i="14"/>
  <c r="E99" i="19" s="1"/>
  <c r="BJ97" i="14"/>
  <c r="BI97" i="14"/>
  <c r="G98" i="19" s="1"/>
  <c r="H98" i="19" s="1"/>
  <c r="BH97" i="14"/>
  <c r="E98" i="19" s="1"/>
  <c r="BJ96" i="14"/>
  <c r="BI96" i="14"/>
  <c r="G97" i="19" s="1"/>
  <c r="BH96" i="14"/>
  <c r="E97" i="19" s="1"/>
  <c r="F97" i="19" s="1"/>
  <c r="BJ95" i="14"/>
  <c r="BI95" i="14"/>
  <c r="G96" i="19" s="1"/>
  <c r="H96" i="19" s="1"/>
  <c r="BH95" i="14"/>
  <c r="E96" i="19" s="1"/>
  <c r="BJ94" i="14"/>
  <c r="BI94" i="14"/>
  <c r="G95" i="19" s="1"/>
  <c r="H95" i="19" s="1"/>
  <c r="BH94" i="14"/>
  <c r="E95" i="19" s="1"/>
  <c r="BJ93" i="14"/>
  <c r="BI93" i="14"/>
  <c r="G94" i="19" s="1"/>
  <c r="H94" i="19" s="1"/>
  <c r="BH93" i="14"/>
  <c r="E94" i="19" s="1"/>
  <c r="BJ92" i="14"/>
  <c r="BI92" i="14"/>
  <c r="G93" i="19" s="1"/>
  <c r="H93" i="19" s="1"/>
  <c r="BH92" i="14"/>
  <c r="E93" i="19" s="1"/>
  <c r="BJ90" i="14"/>
  <c r="BI90" i="14"/>
  <c r="G91" i="19" s="1"/>
  <c r="BH90" i="14"/>
  <c r="E91" i="19" s="1"/>
  <c r="F91" i="19" s="1"/>
  <c r="BJ89" i="14"/>
  <c r="BI89" i="14"/>
  <c r="G90" i="19" s="1"/>
  <c r="BH89" i="14"/>
  <c r="E90" i="19" s="1"/>
  <c r="F90" i="19" s="1"/>
  <c r="BJ88" i="14"/>
  <c r="BI88" i="14"/>
  <c r="BH88" i="14"/>
  <c r="BJ87" i="14"/>
  <c r="BI87" i="14"/>
  <c r="BH87" i="14"/>
  <c r="BJ86" i="14"/>
  <c r="BI86" i="14"/>
  <c r="G87" i="19" s="1"/>
  <c r="H87" i="19" s="1"/>
  <c r="BH86" i="14"/>
  <c r="E87" i="19" s="1"/>
  <c r="BJ85" i="14"/>
  <c r="BI85" i="14"/>
  <c r="BH85" i="14"/>
  <c r="BJ84" i="14"/>
  <c r="BI84" i="14"/>
  <c r="BH84" i="14"/>
  <c r="BJ83" i="14"/>
  <c r="BI83" i="14"/>
  <c r="BH83" i="14"/>
  <c r="BJ82" i="14"/>
  <c r="BI82" i="14"/>
  <c r="BH82" i="14"/>
  <c r="BJ81" i="14"/>
  <c r="BI81" i="14"/>
  <c r="BH81" i="14"/>
  <c r="E82" i="19" s="1"/>
  <c r="F82" i="19" s="1"/>
  <c r="BJ80" i="14"/>
  <c r="BI80" i="14"/>
  <c r="G81" i="19" s="1"/>
  <c r="H81" i="19" s="1"/>
  <c r="BH80" i="14"/>
  <c r="E81" i="19" s="1"/>
  <c r="BJ79" i="14"/>
  <c r="BI79" i="14"/>
  <c r="G80" i="19" s="1"/>
  <c r="H80" i="19" s="1"/>
  <c r="BH79" i="14"/>
  <c r="E80" i="19" s="1"/>
  <c r="BJ78" i="14"/>
  <c r="BI78" i="14"/>
  <c r="G79" i="19" s="1"/>
  <c r="H79" i="19" s="1"/>
  <c r="BH78" i="14"/>
  <c r="E79" i="19" s="1"/>
  <c r="BJ77" i="14"/>
  <c r="BI77" i="14"/>
  <c r="G78" i="19" s="1"/>
  <c r="H78" i="19" s="1"/>
  <c r="BH77" i="14"/>
  <c r="E78" i="19" s="1"/>
  <c r="BJ76" i="14"/>
  <c r="BI76" i="14"/>
  <c r="G77" i="19" s="1"/>
  <c r="H77" i="19" s="1"/>
  <c r="BH76" i="14"/>
  <c r="E77" i="19" s="1"/>
  <c r="BJ75" i="14"/>
  <c r="BI75" i="14"/>
  <c r="G76" i="19" s="1"/>
  <c r="BH75" i="14"/>
  <c r="E76" i="19" s="1"/>
  <c r="F76" i="19" s="1"/>
  <c r="BJ74" i="14"/>
  <c r="BI74" i="14"/>
  <c r="G75" i="19" s="1"/>
  <c r="BH74" i="14"/>
  <c r="E75" i="19" s="1"/>
  <c r="F75" i="19" s="1"/>
  <c r="BJ73" i="14"/>
  <c r="BI73" i="14"/>
  <c r="G74" i="19" s="1"/>
  <c r="BH73" i="14"/>
  <c r="E74" i="19" s="1"/>
  <c r="F74" i="19" s="1"/>
  <c r="BJ72" i="14"/>
  <c r="BI72" i="14"/>
  <c r="G73" i="19" s="1"/>
  <c r="BH72" i="14"/>
  <c r="E73" i="19" s="1"/>
  <c r="F73" i="19" s="1"/>
  <c r="BJ71" i="14"/>
  <c r="BI71" i="14"/>
  <c r="BH71" i="14"/>
  <c r="BJ70" i="14"/>
  <c r="BI70" i="14"/>
  <c r="G71" i="19" s="1"/>
  <c r="BH70" i="14"/>
  <c r="E71" i="19" s="1"/>
  <c r="F71" i="19" s="1"/>
  <c r="BJ69" i="14"/>
  <c r="BI69" i="14"/>
  <c r="BH69" i="14"/>
  <c r="BJ68" i="14"/>
  <c r="BI68" i="14"/>
  <c r="G69" i="19" s="1"/>
  <c r="H69" i="19" s="1"/>
  <c r="BH68" i="14"/>
  <c r="E69" i="19" s="1"/>
  <c r="BJ67" i="14"/>
  <c r="BI67" i="14"/>
  <c r="BH67" i="14"/>
  <c r="BJ66" i="14"/>
  <c r="BI66" i="14"/>
  <c r="G67" i="19" s="1"/>
  <c r="BH66" i="14"/>
  <c r="E67" i="19" s="1"/>
  <c r="F67" i="19" s="1"/>
  <c r="BJ65" i="14"/>
  <c r="BI65" i="14"/>
  <c r="BH65" i="14"/>
  <c r="BJ64" i="14"/>
  <c r="BI64" i="14"/>
  <c r="G65" i="19" s="1"/>
  <c r="BH64" i="14"/>
  <c r="BJ63" i="14"/>
  <c r="BI63" i="14"/>
  <c r="G64" i="19" s="1"/>
  <c r="BH63" i="14"/>
  <c r="E64" i="19" s="1"/>
  <c r="F64" i="19" s="1"/>
  <c r="BJ62" i="14"/>
  <c r="BI62" i="14"/>
  <c r="G63" i="19" s="1"/>
  <c r="BH62" i="14"/>
  <c r="E63" i="19" s="1"/>
  <c r="F63" i="19" s="1"/>
  <c r="BJ61" i="14"/>
  <c r="BI61" i="14"/>
  <c r="G62" i="19" s="1"/>
  <c r="BH61" i="14"/>
  <c r="E62" i="19" s="1"/>
  <c r="F62" i="19" s="1"/>
  <c r="BJ60" i="14"/>
  <c r="BI60" i="14"/>
  <c r="BH60" i="14"/>
  <c r="BJ59" i="14"/>
  <c r="BI59" i="14"/>
  <c r="BH59" i="14"/>
  <c r="E60" i="19" s="1"/>
  <c r="BJ58" i="14"/>
  <c r="BI58" i="14"/>
  <c r="BH58" i="14"/>
  <c r="E59" i="19" s="1"/>
  <c r="F59" i="19" s="1"/>
  <c r="BJ57" i="14"/>
  <c r="BI57" i="14"/>
  <c r="BH57" i="14"/>
  <c r="BJ56" i="14"/>
  <c r="BI56" i="14"/>
  <c r="BH56" i="14"/>
  <c r="BJ55" i="14"/>
  <c r="BI55" i="14"/>
  <c r="G56" i="19" s="1"/>
  <c r="BH55" i="14"/>
  <c r="E56" i="19" s="1"/>
  <c r="F56" i="19" s="1"/>
  <c r="BJ54" i="14"/>
  <c r="BI54" i="14"/>
  <c r="BH54" i="14"/>
  <c r="BJ53" i="14"/>
  <c r="BI53" i="14"/>
  <c r="BH53" i="14"/>
  <c r="BJ52" i="14"/>
  <c r="BI52" i="14"/>
  <c r="BH52" i="14"/>
  <c r="BJ51" i="14"/>
  <c r="BI51" i="14"/>
  <c r="BH51" i="14"/>
  <c r="BJ50" i="14"/>
  <c r="BI50" i="14"/>
  <c r="BH50" i="14"/>
  <c r="BJ49" i="14"/>
  <c r="BI49" i="14"/>
  <c r="BH49" i="14"/>
  <c r="BJ48" i="14"/>
  <c r="BI48" i="14"/>
  <c r="G49" i="19" s="1"/>
  <c r="BH48" i="14"/>
  <c r="E49" i="19" s="1"/>
  <c r="F49" i="19" s="1"/>
  <c r="BJ47" i="14"/>
  <c r="BI47" i="14"/>
  <c r="BH47" i="14"/>
  <c r="BJ46" i="14"/>
  <c r="BI46" i="14"/>
  <c r="G47" i="19" s="1"/>
  <c r="BH46" i="14"/>
  <c r="E47" i="19" s="1"/>
  <c r="F47" i="19" s="1"/>
  <c r="BJ45" i="14"/>
  <c r="BI45" i="14"/>
  <c r="BH45" i="14"/>
  <c r="E46" i="19" s="1"/>
  <c r="F46" i="19" s="1"/>
  <c r="BJ43" i="14"/>
  <c r="BI43" i="14"/>
  <c r="G44" i="19" s="1"/>
  <c r="H44" i="19" s="1"/>
  <c r="BH43" i="14"/>
  <c r="E44" i="19" s="1"/>
  <c r="BJ42" i="14"/>
  <c r="BI42" i="14"/>
  <c r="BH42" i="14"/>
  <c r="BJ41" i="14"/>
  <c r="BI41" i="14"/>
  <c r="G42" i="19" s="1"/>
  <c r="H42" i="19" s="1"/>
  <c r="BH41" i="14"/>
  <c r="E42" i="19" s="1"/>
  <c r="BJ40" i="14"/>
  <c r="BI40" i="14"/>
  <c r="BH40" i="14"/>
  <c r="BJ39" i="14"/>
  <c r="BI39" i="14"/>
  <c r="G40" i="19" s="1"/>
  <c r="H40" i="19" s="1"/>
  <c r="BH39" i="14"/>
  <c r="E40" i="19" s="1"/>
  <c r="BJ38" i="14"/>
  <c r="BI38" i="14"/>
  <c r="BH38" i="14"/>
  <c r="BJ37" i="14"/>
  <c r="BI37" i="14"/>
  <c r="G38" i="19" s="1"/>
  <c r="H38" i="19" s="1"/>
  <c r="BH37" i="14"/>
  <c r="E38" i="19" s="1"/>
  <c r="BJ36" i="14"/>
  <c r="BI36" i="14"/>
  <c r="G37" i="19" s="1"/>
  <c r="H37" i="19" s="1"/>
  <c r="BH36" i="14"/>
  <c r="E37" i="19" s="1"/>
  <c r="BJ35" i="14"/>
  <c r="BI35" i="14"/>
  <c r="BH35" i="14"/>
  <c r="BJ34" i="14"/>
  <c r="BI34" i="14"/>
  <c r="G35" i="19" s="1"/>
  <c r="H35" i="19" s="1"/>
  <c r="BH34" i="14"/>
  <c r="E35" i="19" s="1"/>
  <c r="BJ33" i="14"/>
  <c r="BI33" i="14"/>
  <c r="BH33" i="14"/>
  <c r="BJ32" i="14"/>
  <c r="BI32" i="14"/>
  <c r="G33" i="19" s="1"/>
  <c r="H33" i="19" s="1"/>
  <c r="BH32" i="14"/>
  <c r="E33" i="19" s="1"/>
  <c r="BJ31" i="14"/>
  <c r="BI31" i="14"/>
  <c r="G32" i="19" s="1"/>
  <c r="H32" i="19" s="1"/>
  <c r="BH31" i="14"/>
  <c r="E32" i="19" s="1"/>
  <c r="BJ30" i="14"/>
  <c r="BI30" i="14"/>
  <c r="G31" i="19" s="1"/>
  <c r="H31" i="19" s="1"/>
  <c r="BH30" i="14"/>
  <c r="E31" i="19" s="1"/>
  <c r="BJ29" i="14"/>
  <c r="BI29" i="14"/>
  <c r="G30" i="19" s="1"/>
  <c r="H30" i="19" s="1"/>
  <c r="BH29" i="14"/>
  <c r="E30" i="19" s="1"/>
  <c r="BJ28" i="14"/>
  <c r="BI28" i="14"/>
  <c r="G29" i="19" s="1"/>
  <c r="H29" i="19" s="1"/>
  <c r="BH28" i="14"/>
  <c r="E29" i="19" s="1"/>
  <c r="BJ27" i="14"/>
  <c r="BI27" i="14"/>
  <c r="BH27" i="14"/>
  <c r="BJ26" i="14"/>
  <c r="BI26" i="14"/>
  <c r="BH26" i="14"/>
  <c r="BJ25" i="14"/>
  <c r="BI25" i="14"/>
  <c r="BH25" i="14"/>
  <c r="BJ24" i="14"/>
  <c r="BI24" i="14"/>
  <c r="BH24" i="14"/>
  <c r="BJ23" i="14"/>
  <c r="BI23" i="14"/>
  <c r="BH23" i="14"/>
  <c r="BJ22" i="14"/>
  <c r="BI22" i="14"/>
  <c r="BH22" i="14"/>
  <c r="BJ21" i="14"/>
  <c r="BI21" i="14"/>
  <c r="G22" i="19" s="1"/>
  <c r="H22" i="19" s="1"/>
  <c r="BH21" i="14"/>
  <c r="E22" i="19" s="1"/>
  <c r="BJ20" i="14"/>
  <c r="BI20" i="14"/>
  <c r="G21" i="19" s="1"/>
  <c r="H21" i="19" s="1"/>
  <c r="BH20" i="14"/>
  <c r="E21" i="19" s="1"/>
  <c r="BJ19" i="14"/>
  <c r="BI19" i="14"/>
  <c r="G20" i="19" s="1"/>
  <c r="H20" i="19" s="1"/>
  <c r="BH19" i="14"/>
  <c r="E20" i="19" s="1"/>
  <c r="BJ18" i="14"/>
  <c r="BI18" i="14"/>
  <c r="BH18" i="14"/>
  <c r="BJ17" i="14"/>
  <c r="BI17" i="14"/>
  <c r="BH17" i="14"/>
  <c r="BJ16" i="14"/>
  <c r="BI16" i="14"/>
  <c r="G17" i="19" s="1"/>
  <c r="H17" i="19" s="1"/>
  <c r="BH16" i="14"/>
  <c r="E17" i="19" s="1"/>
  <c r="BJ15" i="14"/>
  <c r="BI15" i="14"/>
  <c r="BH15" i="14"/>
  <c r="BJ14" i="14"/>
  <c r="BI14" i="14"/>
  <c r="BH14" i="14"/>
  <c r="BJ13" i="14"/>
  <c r="BI13" i="14"/>
  <c r="BH13" i="14"/>
  <c r="BJ12" i="14"/>
  <c r="BI12" i="14"/>
  <c r="BH12" i="14"/>
  <c r="BJ11" i="14"/>
  <c r="BI11" i="14"/>
  <c r="BH11" i="14"/>
  <c r="BJ10" i="14"/>
  <c r="BI10" i="14"/>
  <c r="G11" i="19" s="1"/>
  <c r="H11" i="19" s="1"/>
  <c r="BH10" i="14"/>
  <c r="E11" i="19" s="1"/>
  <c r="BJ9" i="14"/>
  <c r="BI9" i="14"/>
  <c r="BH9" i="14"/>
  <c r="BJ8" i="14"/>
  <c r="BI8" i="14"/>
  <c r="BH8" i="14"/>
  <c r="BJ7" i="14"/>
  <c r="BI7" i="14"/>
  <c r="BH7" i="14"/>
  <c r="BJ6" i="14"/>
  <c r="BI6" i="14"/>
  <c r="BH6" i="14"/>
  <c r="BJ5" i="14"/>
  <c r="BI5" i="14"/>
  <c r="G6" i="19" s="1"/>
  <c r="H6" i="19" s="1"/>
  <c r="BH5" i="14"/>
  <c r="E6" i="19" s="1"/>
  <c r="BJ4" i="14"/>
  <c r="BI4" i="14"/>
  <c r="BH4" i="14"/>
  <c r="J91" i="9"/>
  <c r="J92" i="9"/>
  <c r="J93" i="9"/>
  <c r="J94" i="9"/>
  <c r="J95" i="9"/>
  <c r="J96" i="9"/>
  <c r="J97" i="9"/>
  <c r="J98" i="9"/>
  <c r="I91" i="9"/>
  <c r="I92" i="9"/>
  <c r="I93" i="9"/>
  <c r="I94" i="9"/>
  <c r="I95" i="9"/>
  <c r="I96" i="9"/>
  <c r="I97" i="9"/>
  <c r="I98" i="9"/>
  <c r="H92" i="9"/>
  <c r="H93" i="9"/>
  <c r="H94" i="9"/>
  <c r="H95" i="9"/>
  <c r="H96" i="9"/>
  <c r="H97" i="9"/>
  <c r="H98" i="9"/>
  <c r="H91" i="9"/>
  <c r="F92" i="9"/>
  <c r="F93" i="9"/>
  <c r="F94" i="9"/>
  <c r="F95" i="9"/>
  <c r="F96" i="9"/>
  <c r="F97" i="9"/>
  <c r="F98" i="9"/>
  <c r="F91" i="9"/>
  <c r="J90" i="9"/>
  <c r="H90" i="9"/>
  <c r="I90" i="9"/>
  <c r="F90" i="9"/>
  <c r="I81" i="9"/>
  <c r="J81" i="9" s="1"/>
  <c r="I82" i="9"/>
  <c r="J82" i="9" s="1"/>
  <c r="I83" i="9"/>
  <c r="J83" i="9" s="1"/>
  <c r="I84" i="9"/>
  <c r="J84" i="9" s="1"/>
  <c r="I85" i="9"/>
  <c r="J85" i="9" s="1"/>
  <c r="I86" i="9"/>
  <c r="J86" i="9" s="1"/>
  <c r="I87" i="9"/>
  <c r="J87" i="9" s="1"/>
  <c r="I88" i="9"/>
  <c r="J88" i="9" s="1"/>
  <c r="I89" i="9"/>
  <c r="J89" i="9" s="1"/>
  <c r="H81" i="9"/>
  <c r="H82" i="9"/>
  <c r="H83" i="9"/>
  <c r="H84" i="9"/>
  <c r="H85" i="9"/>
  <c r="H86" i="9"/>
  <c r="H87" i="9"/>
  <c r="H88" i="9"/>
  <c r="H89" i="9"/>
  <c r="F81" i="9"/>
  <c r="F82" i="9"/>
  <c r="F83" i="9"/>
  <c r="F84" i="9"/>
  <c r="F85" i="9"/>
  <c r="F86" i="9"/>
  <c r="F87" i="9"/>
  <c r="F88" i="9"/>
  <c r="F89" i="9"/>
  <c r="I76" i="9"/>
  <c r="J76" i="9" s="1"/>
  <c r="I77" i="9"/>
  <c r="J77" i="9" s="1"/>
  <c r="I78" i="9"/>
  <c r="J78" i="9" s="1"/>
  <c r="I79" i="9"/>
  <c r="J79" i="9" s="1"/>
  <c r="I80" i="9"/>
  <c r="J80" i="9" s="1"/>
  <c r="H76" i="9"/>
  <c r="H77" i="9"/>
  <c r="H78" i="9"/>
  <c r="H79" i="9"/>
  <c r="H80" i="9"/>
  <c r="F76" i="9"/>
  <c r="F77" i="9"/>
  <c r="F78" i="9"/>
  <c r="F79" i="9"/>
  <c r="F80" i="9"/>
  <c r="I68" i="9"/>
  <c r="J68" i="9" s="1"/>
  <c r="I69" i="9"/>
  <c r="J69" i="9" s="1"/>
  <c r="I70" i="9"/>
  <c r="J70" i="9" s="1"/>
  <c r="I71" i="9"/>
  <c r="J71" i="9" s="1"/>
  <c r="I72" i="9"/>
  <c r="J72" i="9" s="1"/>
  <c r="I73" i="9"/>
  <c r="J73" i="9" s="1"/>
  <c r="I74" i="9"/>
  <c r="J74" i="9" s="1"/>
  <c r="I75" i="9"/>
  <c r="J75" i="9" s="1"/>
  <c r="H68" i="9"/>
  <c r="H69" i="9"/>
  <c r="H70" i="9"/>
  <c r="H71" i="9"/>
  <c r="H72" i="9"/>
  <c r="H73" i="9"/>
  <c r="H74" i="9"/>
  <c r="H75" i="9"/>
  <c r="F68" i="9"/>
  <c r="F69" i="9"/>
  <c r="F70" i="9"/>
  <c r="F71" i="9"/>
  <c r="F72" i="9"/>
  <c r="F73" i="9"/>
  <c r="F74" i="9"/>
  <c r="F75" i="9"/>
  <c r="I61" i="9"/>
  <c r="J61" i="9" s="1"/>
  <c r="I62" i="9"/>
  <c r="J62" i="9" s="1"/>
  <c r="I63" i="9"/>
  <c r="J63" i="9" s="1"/>
  <c r="I64" i="9"/>
  <c r="J64" i="9" s="1"/>
  <c r="I65" i="9"/>
  <c r="J65" i="9" s="1"/>
  <c r="I66" i="9"/>
  <c r="J66" i="9" s="1"/>
  <c r="I67" i="9"/>
  <c r="J67" i="9" s="1"/>
  <c r="H61" i="9"/>
  <c r="H62" i="9"/>
  <c r="H63" i="9"/>
  <c r="H64" i="9"/>
  <c r="H65" i="9"/>
  <c r="H66" i="9"/>
  <c r="H67" i="9"/>
  <c r="F61" i="9"/>
  <c r="F62" i="9"/>
  <c r="F63" i="9"/>
  <c r="F64" i="9"/>
  <c r="F65" i="9"/>
  <c r="F66" i="9"/>
  <c r="F67" i="9"/>
  <c r="I46" i="9"/>
  <c r="J46" i="9" s="1"/>
  <c r="I47" i="9"/>
  <c r="J47" i="9" s="1"/>
  <c r="I48" i="9"/>
  <c r="J48" i="9" s="1"/>
  <c r="I49" i="9"/>
  <c r="J49" i="9" s="1"/>
  <c r="I50" i="9"/>
  <c r="J50" i="9" s="1"/>
  <c r="I51" i="9"/>
  <c r="J51" i="9" s="1"/>
  <c r="I52" i="9"/>
  <c r="J52" i="9" s="1"/>
  <c r="I53" i="9"/>
  <c r="J53" i="9" s="1"/>
  <c r="I54" i="9"/>
  <c r="J54" i="9" s="1"/>
  <c r="I55" i="9"/>
  <c r="J55" i="9" s="1"/>
  <c r="I56" i="9"/>
  <c r="J56" i="9" s="1"/>
  <c r="I57" i="9"/>
  <c r="J57" i="9" s="1"/>
  <c r="I58" i="9"/>
  <c r="J58" i="9" s="1"/>
  <c r="I59" i="9"/>
  <c r="J59" i="9" s="1"/>
  <c r="I60" i="9"/>
  <c r="J60" i="9" s="1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I37" i="9"/>
  <c r="J37" i="9" s="1"/>
  <c r="I38" i="9"/>
  <c r="J38" i="9" s="1"/>
  <c r="I39" i="9"/>
  <c r="J39" i="9" s="1"/>
  <c r="I40" i="9"/>
  <c r="J40" i="9" s="1"/>
  <c r="I41" i="9"/>
  <c r="J41" i="9" s="1"/>
  <c r="I42" i="9"/>
  <c r="J42" i="9" s="1"/>
  <c r="I43" i="9"/>
  <c r="J43" i="9" s="1"/>
  <c r="I44" i="9"/>
  <c r="J44" i="9" s="1"/>
  <c r="I45" i="9"/>
  <c r="J45" i="9" s="1"/>
  <c r="H37" i="9"/>
  <c r="H38" i="9"/>
  <c r="H39" i="9"/>
  <c r="H40" i="9"/>
  <c r="H41" i="9"/>
  <c r="H42" i="9"/>
  <c r="H43" i="9"/>
  <c r="H44" i="9"/>
  <c r="H45" i="9"/>
  <c r="F37" i="9"/>
  <c r="F38" i="9"/>
  <c r="F39" i="9"/>
  <c r="F40" i="9"/>
  <c r="F41" i="9"/>
  <c r="F42" i="9"/>
  <c r="F43" i="9"/>
  <c r="F44" i="9"/>
  <c r="F45" i="9"/>
  <c r="I31" i="9"/>
  <c r="J31" i="9" s="1"/>
  <c r="I32" i="9"/>
  <c r="J32" i="9" s="1"/>
  <c r="I33" i="9"/>
  <c r="J33" i="9" s="1"/>
  <c r="I34" i="9"/>
  <c r="J34" i="9" s="1"/>
  <c r="I35" i="9"/>
  <c r="J35" i="9" s="1"/>
  <c r="I36" i="9"/>
  <c r="J36" i="9" s="1"/>
  <c r="H31" i="9"/>
  <c r="H32" i="9"/>
  <c r="H33" i="9"/>
  <c r="H34" i="9"/>
  <c r="H35" i="9"/>
  <c r="H36" i="9"/>
  <c r="F31" i="9"/>
  <c r="F32" i="9"/>
  <c r="F33" i="9"/>
  <c r="F34" i="9"/>
  <c r="F35" i="9"/>
  <c r="F36" i="9"/>
  <c r="I20" i="9"/>
  <c r="J20" i="9" s="1"/>
  <c r="I21" i="9"/>
  <c r="J21" i="9" s="1"/>
  <c r="I22" i="9"/>
  <c r="J22" i="9" s="1"/>
  <c r="I23" i="9"/>
  <c r="J23" i="9" s="1"/>
  <c r="I24" i="9"/>
  <c r="J24" i="9" s="1"/>
  <c r="I25" i="9"/>
  <c r="J25" i="9" s="1"/>
  <c r="I26" i="9"/>
  <c r="J26" i="9" s="1"/>
  <c r="I27" i="9"/>
  <c r="J27" i="9" s="1"/>
  <c r="I28" i="9"/>
  <c r="J28" i="9" s="1"/>
  <c r="I29" i="9"/>
  <c r="J29" i="9" s="1"/>
  <c r="I30" i="9"/>
  <c r="J30" i="9" s="1"/>
  <c r="H20" i="9"/>
  <c r="H21" i="9"/>
  <c r="H22" i="9"/>
  <c r="H23" i="9"/>
  <c r="H24" i="9"/>
  <c r="H25" i="9"/>
  <c r="H26" i="9"/>
  <c r="H27" i="9"/>
  <c r="H28" i="9"/>
  <c r="H29" i="9"/>
  <c r="H30" i="9"/>
  <c r="F20" i="9"/>
  <c r="F21" i="9"/>
  <c r="F22" i="9"/>
  <c r="F23" i="9"/>
  <c r="F24" i="9"/>
  <c r="F25" i="9"/>
  <c r="F26" i="9"/>
  <c r="F27" i="9"/>
  <c r="F28" i="9"/>
  <c r="F29" i="9"/>
  <c r="F30" i="9"/>
  <c r="I5" i="9"/>
  <c r="J5" i="9" s="1"/>
  <c r="I6" i="9"/>
  <c r="J6" i="9" s="1"/>
  <c r="I7" i="9"/>
  <c r="J7" i="9" s="1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J14" i="9" s="1"/>
  <c r="I15" i="9"/>
  <c r="J15" i="9" s="1"/>
  <c r="I16" i="9"/>
  <c r="J16" i="9" s="1"/>
  <c r="I17" i="9"/>
  <c r="J17" i="9" s="1"/>
  <c r="I18" i="9"/>
  <c r="J18" i="9" s="1"/>
  <c r="I19" i="9"/>
  <c r="J19" i="9" s="1"/>
  <c r="I4" i="9"/>
  <c r="J4" i="9" s="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4" i="9"/>
  <c r="F13" i="9"/>
  <c r="F6" i="9"/>
  <c r="F7" i="9"/>
  <c r="F8" i="9"/>
  <c r="F9" i="9"/>
  <c r="F10" i="9"/>
  <c r="F11" i="9"/>
  <c r="F12" i="9"/>
  <c r="F14" i="9"/>
  <c r="F15" i="9"/>
  <c r="F16" i="9"/>
  <c r="F17" i="9"/>
  <c r="F18" i="9"/>
  <c r="F19" i="9"/>
  <c r="F5" i="9"/>
  <c r="F4" i="9"/>
  <c r="BN91" i="6"/>
  <c r="BN90" i="6"/>
  <c r="BN89" i="6"/>
  <c r="BN88" i="6"/>
  <c r="BN87" i="6"/>
  <c r="BN86" i="6"/>
  <c r="BN85" i="6"/>
  <c r="BN84" i="6"/>
  <c r="BN83" i="6"/>
  <c r="BN82" i="6"/>
  <c r="BN81" i="6"/>
  <c r="BN80" i="6"/>
  <c r="BN79" i="6"/>
  <c r="BN78" i="6"/>
  <c r="BN77" i="6"/>
  <c r="BN76" i="6"/>
  <c r="BN75" i="6"/>
  <c r="BN74" i="6"/>
  <c r="BN73" i="6"/>
  <c r="BN72" i="6"/>
  <c r="BN71" i="6"/>
  <c r="BN70" i="6"/>
  <c r="BN69" i="6"/>
  <c r="BN68" i="6"/>
  <c r="BN67" i="6"/>
  <c r="BN66" i="6"/>
  <c r="BN65" i="6"/>
  <c r="BN64" i="6"/>
  <c r="BN63" i="6"/>
  <c r="BN62" i="6"/>
  <c r="BN61" i="6"/>
  <c r="BN60" i="6"/>
  <c r="BN59" i="6"/>
  <c r="BN58" i="6"/>
  <c r="BN57" i="6"/>
  <c r="BN56" i="6"/>
  <c r="BN55" i="6"/>
  <c r="BN54" i="6"/>
  <c r="BN53" i="6"/>
  <c r="BN52" i="6"/>
  <c r="BN51" i="6"/>
  <c r="BN50" i="6"/>
  <c r="BN49" i="6"/>
  <c r="BN48" i="6"/>
  <c r="BN47" i="6"/>
  <c r="BN46" i="6"/>
  <c r="BN45" i="6"/>
  <c r="BN44" i="6"/>
  <c r="BN43" i="6"/>
  <c r="BN42" i="6"/>
  <c r="BN41" i="6"/>
  <c r="BN40" i="6"/>
  <c r="BN39" i="6"/>
  <c r="BN38" i="6"/>
  <c r="BN37" i="6"/>
  <c r="BN36" i="6"/>
  <c r="BN34" i="6"/>
  <c r="BN33" i="6"/>
  <c r="BN32" i="6"/>
  <c r="BN31" i="6"/>
  <c r="BN30" i="6"/>
  <c r="BN29" i="6"/>
  <c r="BN28" i="6"/>
  <c r="BN27" i="6"/>
  <c r="BN26" i="6"/>
  <c r="BN25" i="6"/>
  <c r="BN24" i="6"/>
  <c r="BN23" i="6"/>
  <c r="BN22" i="6"/>
  <c r="BN21" i="6"/>
  <c r="BN20" i="6"/>
  <c r="BN19" i="6"/>
  <c r="BN18" i="6"/>
  <c r="BN17" i="6"/>
  <c r="BN16" i="6"/>
  <c r="BN15" i="6"/>
  <c r="BN14" i="6"/>
  <c r="BN13" i="6"/>
  <c r="BN12" i="6"/>
  <c r="BN11" i="6"/>
  <c r="BN10" i="6"/>
  <c r="BN9" i="6"/>
  <c r="BN8" i="6"/>
  <c r="BN7" i="6"/>
  <c r="BN6" i="6"/>
  <c r="BN5" i="6"/>
  <c r="BN4" i="6"/>
  <c r="BN3" i="6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BN4" i="1"/>
  <c r="E12" i="23" l="1"/>
  <c r="F12" i="23" s="1"/>
  <c r="E12" i="22"/>
  <c r="BM12" i="22" s="1"/>
  <c r="G12" i="23"/>
  <c r="H12" i="23" s="1"/>
  <c r="E36" i="23"/>
  <c r="F36" i="23" s="1"/>
  <c r="I74" i="23"/>
  <c r="J74" i="23" s="1"/>
  <c r="F74" i="23"/>
  <c r="I75" i="23"/>
  <c r="J75" i="23" s="1"/>
  <c r="F75" i="23"/>
  <c r="E81" i="23"/>
  <c r="F81" i="23" s="1"/>
  <c r="E80" i="23"/>
  <c r="F80" i="23" s="1"/>
  <c r="G81" i="23"/>
  <c r="H81" i="23" s="1"/>
  <c r="G80" i="23"/>
  <c r="H80" i="23" s="1"/>
  <c r="I5" i="23"/>
  <c r="J5" i="23" s="1"/>
  <c r="I7" i="23"/>
  <c r="J7" i="23" s="1"/>
  <c r="I12" i="23"/>
  <c r="J12" i="23" s="1"/>
  <c r="I18" i="23"/>
  <c r="J18" i="23" s="1"/>
  <c r="I21" i="23"/>
  <c r="J21" i="23" s="1"/>
  <c r="I22" i="23"/>
  <c r="J22" i="23" s="1"/>
  <c r="I23" i="23"/>
  <c r="J23" i="23" s="1"/>
  <c r="I30" i="23"/>
  <c r="J30" i="23" s="1"/>
  <c r="I31" i="23"/>
  <c r="J31" i="23" s="1"/>
  <c r="I32" i="23"/>
  <c r="J32" i="23" s="1"/>
  <c r="I33" i="23"/>
  <c r="J33" i="23" s="1"/>
  <c r="I34" i="23"/>
  <c r="J34" i="23" s="1"/>
  <c r="I36" i="23"/>
  <c r="J36" i="23" s="1"/>
  <c r="I38" i="23"/>
  <c r="J38" i="23" s="1"/>
  <c r="I39" i="23"/>
  <c r="J39" i="23" s="1"/>
  <c r="I41" i="23"/>
  <c r="J41" i="23" s="1"/>
  <c r="I43" i="23"/>
  <c r="J43" i="23" s="1"/>
  <c r="I45" i="23"/>
  <c r="J45" i="23" s="1"/>
  <c r="I46" i="23"/>
  <c r="J46" i="23" s="1"/>
  <c r="I47" i="23"/>
  <c r="J47" i="23" s="1"/>
  <c r="I48" i="23"/>
  <c r="J48" i="23" s="1"/>
  <c r="I50" i="23"/>
  <c r="J50" i="23" s="1"/>
  <c r="I55" i="23"/>
  <c r="J55" i="23" s="1"/>
  <c r="I57" i="23"/>
  <c r="J57" i="23" s="1"/>
  <c r="I60" i="23"/>
  <c r="J60" i="23" s="1"/>
  <c r="I61" i="23"/>
  <c r="J61" i="23" s="1"/>
  <c r="I63" i="23"/>
  <c r="I64" i="23"/>
  <c r="J64" i="23" s="1"/>
  <c r="I65" i="23"/>
  <c r="J65" i="23" s="1"/>
  <c r="I66" i="23"/>
  <c r="J66" i="23" s="1"/>
  <c r="I68" i="23"/>
  <c r="J68" i="23" s="1"/>
  <c r="I70" i="23"/>
  <c r="J70" i="23" s="1"/>
  <c r="I72" i="23"/>
  <c r="J72" i="23" s="1"/>
  <c r="I76" i="23"/>
  <c r="J76" i="23" s="1"/>
  <c r="I77" i="23"/>
  <c r="J77" i="23" s="1"/>
  <c r="I78" i="23"/>
  <c r="J78" i="23" s="1"/>
  <c r="I79" i="23"/>
  <c r="J79" i="23" s="1"/>
  <c r="I80" i="23"/>
  <c r="J80" i="23" s="1"/>
  <c r="I81" i="23"/>
  <c r="J81" i="23" s="1"/>
  <c r="I82" i="23"/>
  <c r="J82" i="23" s="1"/>
  <c r="I83" i="23"/>
  <c r="J83" i="23" s="1"/>
  <c r="I84" i="23"/>
  <c r="I89" i="23"/>
  <c r="J89" i="23" s="1"/>
  <c r="I92" i="23"/>
  <c r="J92" i="23" s="1"/>
  <c r="F92" i="23"/>
  <c r="I93" i="23"/>
  <c r="J93" i="23" s="1"/>
  <c r="I94" i="23"/>
  <c r="J94" i="23" s="1"/>
  <c r="I95" i="23"/>
  <c r="J95" i="23" s="1"/>
  <c r="I96" i="23"/>
  <c r="J96" i="23" s="1"/>
  <c r="I97" i="23"/>
  <c r="J97" i="23" s="1"/>
  <c r="I99" i="23"/>
  <c r="J99" i="23" s="1"/>
  <c r="I100" i="23"/>
  <c r="J100" i="23" s="1"/>
  <c r="I102" i="23"/>
  <c r="J102" i="23" s="1"/>
  <c r="G18" i="21"/>
  <c r="H18" i="21" s="1"/>
  <c r="E39" i="21"/>
  <c r="F39" i="21" s="1"/>
  <c r="G39" i="21"/>
  <c r="H39" i="21" s="1"/>
  <c r="E41" i="21"/>
  <c r="F41" i="21" s="1"/>
  <c r="G41" i="21"/>
  <c r="H41" i="21" s="1"/>
  <c r="E57" i="21"/>
  <c r="F57" i="21" s="1"/>
  <c r="G57" i="21"/>
  <c r="H57" i="21" s="1"/>
  <c r="E97" i="21"/>
  <c r="F97" i="21" s="1"/>
  <c r="G5" i="21"/>
  <c r="H5" i="21" s="1"/>
  <c r="E5" i="21"/>
  <c r="F95" i="21"/>
  <c r="I95" i="21"/>
  <c r="J95" i="21" s="1"/>
  <c r="F80" i="21"/>
  <c r="I80" i="21"/>
  <c r="J80" i="21" s="1"/>
  <c r="I5" i="21"/>
  <c r="J5" i="21" s="1"/>
  <c r="F5" i="21"/>
  <c r="I31" i="21"/>
  <c r="J31" i="21" s="1"/>
  <c r="F31" i="21"/>
  <c r="I32" i="21"/>
  <c r="J32" i="21" s="1"/>
  <c r="F32" i="21"/>
  <c r="I33" i="21"/>
  <c r="J33" i="21" s="1"/>
  <c r="F33" i="21"/>
  <c r="I7" i="21"/>
  <c r="J7" i="21" s="1"/>
  <c r="I12" i="21"/>
  <c r="J12" i="21" s="1"/>
  <c r="I18" i="21"/>
  <c r="J18" i="21" s="1"/>
  <c r="I21" i="21"/>
  <c r="J21" i="21" s="1"/>
  <c r="I22" i="21"/>
  <c r="J22" i="21" s="1"/>
  <c r="I23" i="21"/>
  <c r="J23" i="21" s="1"/>
  <c r="I30" i="21"/>
  <c r="J30" i="21" s="1"/>
  <c r="I34" i="21"/>
  <c r="J34" i="21" s="1"/>
  <c r="I36" i="21"/>
  <c r="J36" i="21" s="1"/>
  <c r="I38" i="21"/>
  <c r="J38" i="21" s="1"/>
  <c r="I39" i="21"/>
  <c r="J39" i="21" s="1"/>
  <c r="I41" i="21"/>
  <c r="J41" i="21" s="1"/>
  <c r="I43" i="21"/>
  <c r="J43" i="21" s="1"/>
  <c r="I45" i="21"/>
  <c r="J45" i="21" s="1"/>
  <c r="I46" i="21"/>
  <c r="J46" i="21" s="1"/>
  <c r="I47" i="21"/>
  <c r="J47" i="21" s="1"/>
  <c r="I48" i="21"/>
  <c r="J48" i="21" s="1"/>
  <c r="I50" i="21"/>
  <c r="J50" i="21" s="1"/>
  <c r="I55" i="21"/>
  <c r="J55" i="21" s="1"/>
  <c r="I57" i="21"/>
  <c r="J57" i="21" s="1"/>
  <c r="I60" i="21"/>
  <c r="J60" i="21" s="1"/>
  <c r="I61" i="21"/>
  <c r="J61" i="21" s="1"/>
  <c r="I63" i="21"/>
  <c r="J63" i="21" s="1"/>
  <c r="T16" i="21" s="1"/>
  <c r="I64" i="21"/>
  <c r="J64" i="21" s="1"/>
  <c r="I65" i="21"/>
  <c r="J65" i="21" s="1"/>
  <c r="I66" i="21"/>
  <c r="J66" i="21" s="1"/>
  <c r="I68" i="21"/>
  <c r="J68" i="21" s="1"/>
  <c r="T10" i="21" s="1"/>
  <c r="I70" i="21"/>
  <c r="J70" i="21" s="1"/>
  <c r="I72" i="21"/>
  <c r="J72" i="21" s="1"/>
  <c r="I74" i="21"/>
  <c r="J74" i="21" s="1"/>
  <c r="I75" i="21"/>
  <c r="J75" i="21" s="1"/>
  <c r="I76" i="21"/>
  <c r="J76" i="21" s="1"/>
  <c r="I77" i="21"/>
  <c r="J77" i="21" s="1"/>
  <c r="I78" i="21"/>
  <c r="J78" i="21" s="1"/>
  <c r="I79" i="21"/>
  <c r="J79" i="21" s="1"/>
  <c r="I81" i="21"/>
  <c r="J81" i="21" s="1"/>
  <c r="I82" i="21"/>
  <c r="J82" i="21" s="1"/>
  <c r="I83" i="21"/>
  <c r="J83" i="21" s="1"/>
  <c r="I84" i="21"/>
  <c r="J84" i="21" s="1"/>
  <c r="T13" i="21" s="1"/>
  <c r="I89" i="21"/>
  <c r="J89" i="21" s="1"/>
  <c r="I92" i="21"/>
  <c r="J92" i="21" s="1"/>
  <c r="F92" i="21"/>
  <c r="I93" i="21"/>
  <c r="J93" i="21" s="1"/>
  <c r="I94" i="21"/>
  <c r="J94" i="21" s="1"/>
  <c r="T14" i="21" s="1"/>
  <c r="I96" i="21"/>
  <c r="J96" i="21" s="1"/>
  <c r="I97" i="21"/>
  <c r="J97" i="21" s="1"/>
  <c r="I99" i="21"/>
  <c r="J99" i="21" s="1"/>
  <c r="I100" i="21"/>
  <c r="J100" i="21" s="1"/>
  <c r="I102" i="21"/>
  <c r="J102" i="21" s="1"/>
  <c r="E54" i="19"/>
  <c r="F54" i="19" s="1"/>
  <c r="G54" i="19"/>
  <c r="G82" i="19"/>
  <c r="F93" i="19"/>
  <c r="I93" i="19"/>
  <c r="J93" i="19" s="1"/>
  <c r="F98" i="19"/>
  <c r="I98" i="19"/>
  <c r="J98" i="19" s="1"/>
  <c r="E65" i="19"/>
  <c r="F65" i="19" s="1"/>
  <c r="F94" i="19"/>
  <c r="I94" i="19"/>
  <c r="J94" i="19" s="1"/>
  <c r="H97" i="19"/>
  <c r="I97" i="19"/>
  <c r="J97" i="19" s="1"/>
  <c r="F95" i="19"/>
  <c r="I95" i="19"/>
  <c r="J95" i="19" s="1"/>
  <c r="F99" i="19"/>
  <c r="I99" i="19"/>
  <c r="J99" i="19" s="1"/>
  <c r="F92" i="19"/>
  <c r="I92" i="19"/>
  <c r="J92" i="19" s="1"/>
  <c r="H90" i="19"/>
  <c r="I90" i="19"/>
  <c r="J90" i="19" s="1"/>
  <c r="F69" i="19"/>
  <c r="I69" i="19"/>
  <c r="J69" i="19" s="1"/>
  <c r="F100" i="19"/>
  <c r="I100" i="19"/>
  <c r="J100" i="19" s="1"/>
  <c r="F87" i="19"/>
  <c r="I87" i="19"/>
  <c r="J87" i="19" s="1"/>
  <c r="F79" i="19"/>
  <c r="I79" i="19"/>
  <c r="J79" i="19" s="1"/>
  <c r="F96" i="19"/>
  <c r="I96" i="19"/>
  <c r="F81" i="19"/>
  <c r="I81" i="19"/>
  <c r="J81" i="19" s="1"/>
  <c r="F80" i="19"/>
  <c r="I80" i="19"/>
  <c r="J80" i="19" s="1"/>
  <c r="F78" i="19"/>
  <c r="I78" i="19"/>
  <c r="J78" i="19" s="1"/>
  <c r="F77" i="19"/>
  <c r="I77" i="19"/>
  <c r="H67" i="19"/>
  <c r="I67" i="19"/>
  <c r="H64" i="19"/>
  <c r="I64" i="19"/>
  <c r="J64" i="19" s="1"/>
  <c r="G60" i="19"/>
  <c r="H60" i="19" s="1"/>
  <c r="G59" i="19"/>
  <c r="H49" i="19"/>
  <c r="I49" i="19"/>
  <c r="J49" i="19" s="1"/>
  <c r="H75" i="19"/>
  <c r="I75" i="19"/>
  <c r="J75" i="19" s="1"/>
  <c r="H63" i="19"/>
  <c r="I63" i="19"/>
  <c r="J63" i="19" s="1"/>
  <c r="H76" i="19"/>
  <c r="I76" i="19"/>
  <c r="J76" i="19" s="1"/>
  <c r="H65" i="19"/>
  <c r="I65" i="19"/>
  <c r="H62" i="19"/>
  <c r="I62" i="19"/>
  <c r="J62" i="19" s="1"/>
  <c r="H47" i="19"/>
  <c r="I47" i="19"/>
  <c r="J47" i="19" s="1"/>
  <c r="H74" i="19"/>
  <c r="I74" i="19"/>
  <c r="J74" i="19" s="1"/>
  <c r="H73" i="19"/>
  <c r="I73" i="19"/>
  <c r="J73" i="19" s="1"/>
  <c r="H82" i="19"/>
  <c r="I82" i="19"/>
  <c r="H91" i="19"/>
  <c r="I91" i="19"/>
  <c r="H71" i="19"/>
  <c r="I71" i="19"/>
  <c r="H56" i="19"/>
  <c r="I56" i="19"/>
  <c r="J56" i="19" s="1"/>
  <c r="H54" i="19"/>
  <c r="I54" i="19"/>
  <c r="J54" i="19" s="1"/>
  <c r="F60" i="19"/>
  <c r="I60" i="19"/>
  <c r="J60" i="19" s="1"/>
  <c r="L99" i="19"/>
  <c r="O99" i="19"/>
  <c r="P99" i="19" s="1"/>
  <c r="L98" i="19"/>
  <c r="O98" i="19"/>
  <c r="P98" i="19" s="1"/>
  <c r="L97" i="19"/>
  <c r="O97" i="19"/>
  <c r="P97" i="19" s="1"/>
  <c r="L96" i="19"/>
  <c r="O96" i="19"/>
  <c r="P96" i="19" s="1"/>
  <c r="L95" i="19"/>
  <c r="O95" i="19"/>
  <c r="P95" i="19" s="1"/>
  <c r="L94" i="19"/>
  <c r="O94" i="19"/>
  <c r="P94" i="19" s="1"/>
  <c r="O93" i="19"/>
  <c r="P93" i="19" s="1"/>
  <c r="T14" i="19" s="1"/>
  <c r="L93" i="19"/>
  <c r="O92" i="19"/>
  <c r="P92" i="19" s="1"/>
  <c r="L92" i="19"/>
  <c r="O91" i="19"/>
  <c r="L91" i="19"/>
  <c r="L90" i="19"/>
  <c r="O90" i="19"/>
  <c r="P90" i="19" s="1"/>
  <c r="M87" i="19"/>
  <c r="N87" i="19" s="1"/>
  <c r="K87" i="19"/>
  <c r="M82" i="19"/>
  <c r="N82" i="19" s="1"/>
  <c r="K82" i="19"/>
  <c r="L81" i="19"/>
  <c r="O81" i="19"/>
  <c r="P81" i="19" s="1"/>
  <c r="L80" i="19"/>
  <c r="O80" i="19"/>
  <c r="P80" i="19" s="1"/>
  <c r="L79" i="19"/>
  <c r="O79" i="19"/>
  <c r="L78" i="19"/>
  <c r="O78" i="19"/>
  <c r="P78" i="19" s="1"/>
  <c r="O77" i="19"/>
  <c r="P77" i="19" s="1"/>
  <c r="T11" i="19" s="1"/>
  <c r="L77" i="19"/>
  <c r="O76" i="19"/>
  <c r="P76" i="19" s="1"/>
  <c r="L76" i="19"/>
  <c r="O75" i="19"/>
  <c r="P75" i="19" s="1"/>
  <c r="L75" i="19"/>
  <c r="O74" i="19"/>
  <c r="P74" i="19" s="1"/>
  <c r="L74" i="19"/>
  <c r="O73" i="19"/>
  <c r="L73" i="19"/>
  <c r="M71" i="19"/>
  <c r="N71" i="19" s="1"/>
  <c r="K71" i="19"/>
  <c r="M69" i="19"/>
  <c r="N69" i="19" s="1"/>
  <c r="K69" i="19"/>
  <c r="M67" i="19"/>
  <c r="N67" i="19" s="1"/>
  <c r="K67" i="19"/>
  <c r="M65" i="19"/>
  <c r="N65" i="19" s="1"/>
  <c r="K65" i="19"/>
  <c r="O64" i="19"/>
  <c r="P64" i="19" s="1"/>
  <c r="L64" i="19"/>
  <c r="O63" i="19"/>
  <c r="P63" i="19" s="1"/>
  <c r="T9" i="19" s="1"/>
  <c r="L63" i="19"/>
  <c r="L62" i="19"/>
  <c r="O62" i="19"/>
  <c r="O60" i="19"/>
  <c r="P60" i="19" s="1"/>
  <c r="L60" i="19"/>
  <c r="O59" i="19"/>
  <c r="P59" i="19" s="1"/>
  <c r="L59" i="19"/>
  <c r="M56" i="19"/>
  <c r="N56" i="19" s="1"/>
  <c r="K56" i="19"/>
  <c r="M54" i="19"/>
  <c r="N54" i="19" s="1"/>
  <c r="K54" i="19"/>
  <c r="M49" i="19"/>
  <c r="N49" i="19" s="1"/>
  <c r="K49" i="19"/>
  <c r="M47" i="19"/>
  <c r="N47" i="19" s="1"/>
  <c r="K47" i="19"/>
  <c r="M46" i="19"/>
  <c r="N46" i="19" s="1"/>
  <c r="G46" i="19"/>
  <c r="O46" i="19"/>
  <c r="P46" i="19" s="1"/>
  <c r="L46" i="19"/>
  <c r="O45" i="19"/>
  <c r="P45" i="19" s="1"/>
  <c r="L45" i="19"/>
  <c r="O44" i="19"/>
  <c r="P44" i="19" s="1"/>
  <c r="L44" i="19"/>
  <c r="M42" i="19"/>
  <c r="N42" i="19" s="1"/>
  <c r="K42" i="19"/>
  <c r="M40" i="19"/>
  <c r="N40" i="19" s="1"/>
  <c r="K40" i="19"/>
  <c r="M38" i="19"/>
  <c r="N38" i="19" s="1"/>
  <c r="K38" i="19"/>
  <c r="O37" i="19"/>
  <c r="P37" i="19" s="1"/>
  <c r="L37" i="19"/>
  <c r="M35" i="19"/>
  <c r="N35" i="19" s="1"/>
  <c r="K35" i="19"/>
  <c r="M33" i="19"/>
  <c r="N33" i="19" s="1"/>
  <c r="K33" i="19"/>
  <c r="O32" i="19"/>
  <c r="P32" i="19" s="1"/>
  <c r="L32" i="19"/>
  <c r="O31" i="19"/>
  <c r="P31" i="19" s="1"/>
  <c r="T6" i="19" s="1"/>
  <c r="L31" i="19"/>
  <c r="O30" i="19"/>
  <c r="P30" i="19" s="1"/>
  <c r="L30" i="19"/>
  <c r="O29" i="19"/>
  <c r="P29" i="19" s="1"/>
  <c r="L29" i="19"/>
  <c r="M22" i="19"/>
  <c r="N22" i="19" s="1"/>
  <c r="K22" i="19"/>
  <c r="O21" i="19"/>
  <c r="P21" i="19" s="1"/>
  <c r="L21" i="19"/>
  <c r="O20" i="19"/>
  <c r="P20" i="19" s="1"/>
  <c r="T5" i="19" s="1"/>
  <c r="U5" i="19" s="1"/>
  <c r="L20" i="19"/>
  <c r="M17" i="19"/>
  <c r="N17" i="19" s="1"/>
  <c r="K17" i="19"/>
  <c r="M11" i="19"/>
  <c r="N11" i="19" s="1"/>
  <c r="K11" i="19"/>
  <c r="M6" i="19"/>
  <c r="N6" i="19" s="1"/>
  <c r="K6" i="19"/>
  <c r="L100" i="19"/>
  <c r="O100" i="19"/>
  <c r="P100" i="19" s="1"/>
  <c r="F6" i="19"/>
  <c r="I6" i="19"/>
  <c r="J6" i="19" s="1"/>
  <c r="F11" i="19"/>
  <c r="I11" i="19"/>
  <c r="J11" i="19" s="1"/>
  <c r="F17" i="19"/>
  <c r="I17" i="19"/>
  <c r="J17" i="19" s="1"/>
  <c r="I20" i="19"/>
  <c r="J20" i="19" s="1"/>
  <c r="F20" i="19"/>
  <c r="F21" i="19"/>
  <c r="I21" i="19"/>
  <c r="J21" i="19" s="1"/>
  <c r="F22" i="19"/>
  <c r="I22" i="19"/>
  <c r="J22" i="19" s="1"/>
  <c r="F29" i="19"/>
  <c r="I29" i="19"/>
  <c r="J29" i="19" s="1"/>
  <c r="F30" i="19"/>
  <c r="I30" i="19"/>
  <c r="J30" i="19" s="1"/>
  <c r="F31" i="19"/>
  <c r="I31" i="19"/>
  <c r="J31" i="19" s="1"/>
  <c r="F32" i="19"/>
  <c r="I32" i="19"/>
  <c r="J32" i="19" s="1"/>
  <c r="F33" i="19"/>
  <c r="I33" i="19"/>
  <c r="J33" i="19" s="1"/>
  <c r="F35" i="19"/>
  <c r="I35" i="19"/>
  <c r="J35" i="19" s="1"/>
  <c r="F37" i="19"/>
  <c r="I37" i="19"/>
  <c r="J37" i="19" s="1"/>
  <c r="F38" i="19"/>
  <c r="I38" i="19"/>
  <c r="J38" i="19" s="1"/>
  <c r="F40" i="19"/>
  <c r="I40" i="19"/>
  <c r="J40" i="19" s="1"/>
  <c r="F42" i="19"/>
  <c r="I42" i="19"/>
  <c r="J42" i="19" s="1"/>
  <c r="F44" i="19"/>
  <c r="I44" i="19"/>
  <c r="J44" i="19" s="1"/>
  <c r="G4" i="19"/>
  <c r="H4" i="19" s="1"/>
  <c r="E4" i="19"/>
  <c r="O4" i="19"/>
  <c r="P4" i="19" s="1"/>
  <c r="T4" i="19" s="1"/>
  <c r="T16" i="19" s="1"/>
  <c r="L4" i="19"/>
  <c r="J63" i="23" l="1"/>
  <c r="U16" i="23" s="1"/>
  <c r="J84" i="23"/>
  <c r="U13" i="23" s="1"/>
  <c r="U15" i="23"/>
  <c r="U14" i="23"/>
  <c r="U12" i="23"/>
  <c r="U11" i="23"/>
  <c r="U10" i="23"/>
  <c r="U9" i="23"/>
  <c r="U8" i="23"/>
  <c r="U7" i="23"/>
  <c r="U6" i="23"/>
  <c r="U5" i="23"/>
  <c r="U17" i="23" s="1"/>
  <c r="T15" i="21"/>
  <c r="T12" i="21"/>
  <c r="T11" i="21"/>
  <c r="T9" i="21"/>
  <c r="T8" i="21"/>
  <c r="T6" i="21"/>
  <c r="T5" i="21"/>
  <c r="T7" i="21"/>
  <c r="T17" i="21" s="1"/>
  <c r="P62" i="19"/>
  <c r="T15" i="19" s="1"/>
  <c r="P73" i="19"/>
  <c r="P79" i="19"/>
  <c r="P91" i="19"/>
  <c r="T13" i="19" s="1"/>
  <c r="J71" i="19"/>
  <c r="J91" i="19"/>
  <c r="J82" i="19"/>
  <c r="J65" i="19"/>
  <c r="J67" i="19"/>
  <c r="J77" i="19"/>
  <c r="J96" i="19"/>
  <c r="H59" i="19"/>
  <c r="I59" i="19"/>
  <c r="J59" i="19" s="1"/>
  <c r="L6" i="19"/>
  <c r="O6" i="19"/>
  <c r="P6" i="19" s="1"/>
  <c r="L11" i="19"/>
  <c r="O11" i="19"/>
  <c r="P11" i="19" s="1"/>
  <c r="L17" i="19"/>
  <c r="O17" i="19"/>
  <c r="P17" i="19" s="1"/>
  <c r="O22" i="19"/>
  <c r="L22" i="19"/>
  <c r="O33" i="19"/>
  <c r="P33" i="19" s="1"/>
  <c r="L33" i="19"/>
  <c r="O35" i="19"/>
  <c r="P35" i="19" s="1"/>
  <c r="L35" i="19"/>
  <c r="O38" i="19"/>
  <c r="P38" i="19" s="1"/>
  <c r="T7" i="19" s="1"/>
  <c r="L38" i="19"/>
  <c r="O40" i="19"/>
  <c r="P40" i="19" s="1"/>
  <c r="L40" i="19"/>
  <c r="O42" i="19"/>
  <c r="P42" i="19" s="1"/>
  <c r="L42" i="19"/>
  <c r="H46" i="19"/>
  <c r="I46" i="19"/>
  <c r="J46" i="19" s="1"/>
  <c r="S7" i="19" s="1"/>
  <c r="O47" i="19"/>
  <c r="P47" i="19" s="1"/>
  <c r="T8" i="19" s="1"/>
  <c r="L47" i="19"/>
  <c r="O49" i="19"/>
  <c r="P49" i="19" s="1"/>
  <c r="L49" i="19"/>
  <c r="O54" i="19"/>
  <c r="P54" i="19" s="1"/>
  <c r="L54" i="19"/>
  <c r="O56" i="19"/>
  <c r="P56" i="19" s="1"/>
  <c r="L56" i="19"/>
  <c r="O65" i="19"/>
  <c r="P65" i="19" s="1"/>
  <c r="L65" i="19"/>
  <c r="O67" i="19"/>
  <c r="P67" i="19" s="1"/>
  <c r="U15" i="19" s="1"/>
  <c r="L67" i="19"/>
  <c r="O69" i="19"/>
  <c r="P69" i="19" s="1"/>
  <c r="T10" i="19" s="1"/>
  <c r="L69" i="19"/>
  <c r="O71" i="19"/>
  <c r="P71" i="19" s="1"/>
  <c r="L71" i="19"/>
  <c r="O82" i="19"/>
  <c r="L82" i="19"/>
  <c r="O87" i="19"/>
  <c r="P87" i="19" s="1"/>
  <c r="L87" i="19"/>
  <c r="U14" i="19"/>
  <c r="F4" i="19"/>
  <c r="I4" i="19"/>
  <c r="J4" i="19" s="1"/>
  <c r="S8" i="23" l="1"/>
  <c r="S17" i="23" s="1"/>
  <c r="S16" i="19"/>
  <c r="S8" i="21"/>
  <c r="S17" i="21" s="1"/>
  <c r="U11" i="19"/>
  <c r="P82" i="19"/>
  <c r="U10" i="19"/>
  <c r="U13" i="19"/>
  <c r="P22" i="19"/>
  <c r="U9" i="19"/>
  <c r="U6" i="19"/>
  <c r="U4" i="19"/>
  <c r="U16" i="19" s="1"/>
  <c r="T12" i="19" l="1"/>
  <c r="U12" i="19" s="1"/>
  <c r="U8" i="19"/>
  <c r="U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  <author>Guadalupe Yasmin Arriaga Juache</author>
    <author>Luis Enrique Cuellar Ruiz</author>
    <author>tc={B9C3EE53-D7AE-489B-B7A7-A251E1A263F5}</author>
    <author>tc={5B701857-4443-4AB1-B679-062AD9953F43}</author>
    <author>tc={A68B73A7-5E9B-4867-948A-26972A725366}</author>
    <author>tc={453CB5CF-67E8-4F1B-8868-2F7AD07060F2}</author>
    <author>tc={47A9FA20-7729-4CCB-A0B4-220F426141C3}</author>
    <author>tc={0A8E310F-D125-4BA4-8A0B-7B4ED4B50F84}</author>
    <author>tc={B43DE1E7-6D9A-44B6-97E6-D6BCED26A257}</author>
    <author>tc={777850EB-3BD3-4513-BA4C-7C05829D7C73}</author>
    <author>tc={A7707117-2296-4C76-9058-634A743248CD}</author>
    <author>tc={537A9E37-89A0-437B-823B-F686BE0EB39C}</author>
    <author>tc={1743DA7F-80DE-4A71-9A89-20646AF5839A}</author>
    <author>tc={C1AD5860-5FD8-4ED8-A493-C44FBC7B121E}</author>
    <author>tc={498C6C4F-8CE7-4B44-814C-8D2DE8BB8CA0}</author>
    <author>tc={591088ED-3EDD-4219-B677-365DA1D8254F}</author>
    <author>tc={4625D5AD-C519-49A8-8904-AB7DC3D1E331}</author>
    <author>tc={A6B5F729-93E7-4553-9B1F-7CE8D1CC496F}</author>
    <author>tc={8E662B0F-0FD0-4BBC-A3B0-FD8E5E2B5658}</author>
    <author>tc={43A5B38A-4310-401F-AC30-5376DF1CFB5C}</author>
    <author>tc={478B5C44-93E8-4EEF-B097-B8F12DF842AF}</author>
    <author>tc={AE074946-AFD8-4E18-8BA9-A880D1EB6178}</author>
    <author>tc={4A35F9C5-1A77-4B37-B11E-D818F1220436}</author>
    <author>tc={F25BE8C3-B425-4BA7-B1FC-96D1966ED860}</author>
    <author>tc={5FB92E93-315B-4E8C-AE12-41BAD6BA7146}</author>
    <author>tc={31DCCB53-2A33-4019-9BF8-0225D0381D07}</author>
    <author>tc={97EF4FAB-05CF-43F8-B000-AFDB187B64DD}</author>
    <author>tc={A139A61D-CFBD-4476-B8F0-D532723239F3}</author>
    <author>tc={DA7183FE-7A15-4AC4-B6BF-C6F88677736D}</author>
    <author>tc={D04DA704-C785-428C-8564-A6B0C118BE5B}</author>
    <author>tc={5E6FD79E-1239-4D06-91D3-E6A3EA405C35}</author>
    <author>tc={77B49FFC-8C72-4D00-8A29-9F6BEBC98223}</author>
    <author>tc={93B9D9FD-AA69-4145-A0A1-F67956A12D4B}</author>
    <author>tc={1F29B516-6EBA-496D-A3A0-3365AA167055}</author>
    <author>tc={53CBF3D3-3B16-42DD-BEDB-2FD8BBBD6163}</author>
    <author>tc={DF57154C-7013-46FD-8165-F4F415B0A271}</author>
    <author>tc={2F1D0C24-73E0-4817-973C-E0B6F630ED40}</author>
    <author>tc={542D39F7-2211-4F23-A6CF-F14B84BA07E5}</author>
    <author>tc={62C9F1EF-55F2-4668-BCC6-4EA45BC13832}</author>
    <author>tc={7A293667-FB22-4BC0-BCA1-6C699821E73D}</author>
    <author>tc={0655DBBE-2E2A-43B6-BFCA-2FBAF9F8C42B}</author>
    <author>tc={EF4CFDB5-DDAE-4FD4-82EC-A808F1899184}</author>
    <author>tc={04568CE5-8A00-4FFA-B4A9-3CD887293F3E}</author>
    <author>tc={497E6050-081C-46DC-AFF6-5D2FE213F7EF}</author>
    <author>tc={D90AFC72-3949-4E19-8A4E-CE6D9AA7F28D}</author>
    <author>tc={A4F03526-80D7-4BD9-B2C4-DED27EBCC6F7}</author>
    <author>tc={8F7B7A17-D1B2-4B0F-83A1-C594C3F63EE1}</author>
    <author>tc={62E6B4D6-9F92-4449-90B8-7EFE06A9F8FD}</author>
    <author>tc={369992A2-499F-4381-9149-4208C574F710}</author>
    <author>tc={81D35B6E-0A68-4B58-99CE-679D01CF3070}</author>
    <author>tc={AEAE26D0-A2B7-4C11-B3F6-CA3ADFE134CD}</author>
    <author>tc={8CE7FC91-C2EC-4F73-83EB-9269ECAB07F7}</author>
    <author>tc={A8055005-EE4C-4F81-8A34-F3C1E2893889}</author>
    <author>tc={FB59E004-A000-4C68-BF59-154150CD42D1}</author>
    <author>tc={32FC65F6-D99B-47A2-93BA-F283F955B1E0}</author>
    <author>tc={63FCF30C-D3B4-477F-9EB0-8CC05705CEA2}</author>
    <author>tc={74B1DD6A-9563-4908-9074-CB4155C2199F}</author>
    <author>tc={A9E9741B-3E3E-4F5C-96B3-6578300D7D35}</author>
    <author>tc={E14DAECD-42B7-4551-A668-9F3164336CE7}</author>
    <author>tc={F9A303F3-ED65-4461-A801-B4DC46B6A144}</author>
    <author>tc={2BA6F396-1962-4035-81FF-CF66972E827C}</author>
    <author>tc={57C2FE42-27EF-4ED6-92AB-AC13E62B86BB}</author>
    <author>tc={AA12B1E6-4391-4DCD-84AA-8E653E1FA885}</author>
    <author>tc={6F485C67-9BCC-4EF8-AC75-6BC2751EF142}</author>
    <author>tc={01298B3A-5C63-4194-AA1F-6AAC82C10A88}</author>
    <author>tc={04E88F49-D04E-4BB4-9B96-16CD09D394A8}</author>
    <author>tc={97F0D48F-0507-421C-ACE7-A51E69154E39}</author>
    <author>tc={ABAA4E9A-FAB7-426B-B88E-3153878E5FFD}</author>
    <author>tc={E652CBF5-9250-4EA1-B5FA-94D1EFF0248F}</author>
    <author>tc={70A25B31-53B5-4A5A-B3A1-948C868D9AA9}</author>
    <author>tc={F6E645D7-DECA-4EE3-94B5-D41AB2958E13}</author>
    <author>tc={F1598BF0-ECCE-4A84-93A4-67A3D89F15C2}</author>
    <author>tc={E3DA97CB-D733-4137-BF3F-88A4FDEE07B4}</author>
    <author>tc={282F05C4-FCA8-4126-A60F-2FDBC6568648}</author>
    <author>tc={F4615EF6-7026-4894-B780-10E7E00B94C8}</author>
    <author>tc={9EF63075-0A89-4DCB-8244-904767319CE4}</author>
    <author>tc={8B4E8EFB-DD81-4FC6-8C4D-3A29EE9FB44C}</author>
    <author>tc={47E7B057-D29F-4731-A457-764551ED2252}</author>
    <author>tc={A0475A93-9778-41DB-BB89-E756B364AB96}</author>
    <author>tc={6085B2CD-7E5C-4B02-B2B3-46C7DA0D2B70}</author>
    <author>tc={8BA6D7CD-3490-4A53-B219-3CC6627C6DCE}</author>
    <author>tc={FA83FDBA-8C8E-4574-A2A0-B8D2F6186E47}</author>
    <author>tc={7ADB1799-DD9F-451E-9383-18CA3339DA8C}</author>
    <author>tc={C2A19E55-12EB-495A-951B-E999E3F4E42A}</author>
    <author>tc={05EABCE1-90F2-482D-9916-69224DD08616}</author>
    <author>tc={1DC60872-FA41-4385-BC43-48699A8FA183}</author>
    <author>tc={2B67F6C2-D4C8-4D09-B49A-583588CEE55A}</author>
    <author>tc={1E8FB841-28DF-479E-844A-B1B0BF080EED}</author>
    <author>tc={830BA9B1-F44A-4714-BB77-B3EC6CAC4691}</author>
    <author>tc={61737532-438D-4020-AB07-D4D960B4C437}</author>
    <author>tc={1647F1F9-9D86-4862-9916-CA1959620D7A}</author>
    <author>tc={27C22D7C-CA76-4EDC-B3DB-C1C1E03A6A59}</author>
    <author>tc={6AB64932-70BF-4A83-A342-CC02FA6F2638}</author>
    <author>tc={5D00A84A-3448-48AA-9703-614D3F31F4ED}</author>
    <author>tc={16250599-73D6-46E9-825E-CC21672D55FC}</author>
    <author>tc={76DCBAA5-54B9-45F6-92BE-FD515C5DE71E}</author>
    <author>tc={3E94B1D5-0206-40A3-A8E8-5E9EA0C2C59F}</author>
    <author>tc={8C472591-B279-49A4-B53C-DE069C7D44E6}</author>
    <author>tc={E2405E23-8971-475D-8612-996729BDB5BD}</author>
    <author>tc={ACC56731-71AB-40E8-931D-3296EF96DF02}</author>
    <author>tc={BE049C2E-0258-4B65-B0C8-2198D94D5B5B}</author>
    <author>tc={DF05B969-FCF9-4FEF-96F6-923712382C49}</author>
    <author>tc={AA9E588C-C71C-49EC-B6D3-138CBC5EAFEE}</author>
    <author>tc={FAC4C77B-BFF7-45CB-AF82-B93155F74333}</author>
    <author>tc={4F40FE8F-3B7C-4D1F-9DC6-2EF9E3A5C1A4}</author>
    <author>tc={29CB8934-09EA-46BE-9F49-0CCF3110B590}</author>
    <author>tc={8AA8308A-51FC-48D6-A210-69BCF4134562}</author>
    <author>tc={57671564-9DE4-4872-8ED9-2800DC7D12E2}</author>
    <author>tc={983110DB-ACF5-4F64-81B8-37D56F7F7A74}</author>
    <author>tc={902FB587-5F6B-4B44-93BF-EF578394EE35}</author>
    <author>tc={082BC376-DF3C-459F-AF88-D3779F74B822}</author>
    <author>tc={858E59B1-7199-41AC-80E8-C984B41FF019}</author>
    <author>tc={CEDF7581-E75C-495A-977A-48DAE615B362}</author>
    <author>tc={A280157E-39DD-4F43-B1C4-74C13D541F07}</author>
    <author>tc={3C7D0AD0-7947-4559-A1F2-8860CFA211D9}</author>
    <author>tc={61C95F87-BFA0-4491-BB61-BEFDFC1F7468}</author>
    <author>tc={2B0FD590-17D7-46C8-ACCE-4DE3AB609B4B}</author>
    <author>tc={10F0220D-D88F-46CE-89AB-D572FF1E24C6}</author>
    <author>tc={EC048FD8-16D4-461D-8118-6450B20D3C25}</author>
    <author>tc={80E14151-F77D-440B-8F96-49AEF79813D4}</author>
    <author>tc={B2913816-A770-4569-92BB-EBA2CC9EE481}</author>
    <author>tc={63103CA6-5817-4B3E-938A-B989D75C8389}</author>
    <author>tc={CBD2FE59-7B39-4704-8A01-7CFC49EC9D5B}</author>
    <author>tc={49EB8F6C-3436-4D44-954C-83F77D1C34DF}</author>
    <author>tc={AB3AADD8-F3E4-4715-9C54-69374DDDF8E7}</author>
    <author>tc={3B6EB7F5-1BA0-47FC-A895-C17371E19EE5}</author>
    <author>tc={0C7BB101-971D-48ED-9C84-56B6FC01C399}</author>
    <author>tc={6225DE43-57BF-4C9A-8437-4F59594326B0}</author>
    <author>tc={705CDA3E-60BE-4BC9-B43E-7875F26C5878}</author>
    <author>tc={F7DBC067-77AF-4115-A080-143B6E155B49}</author>
    <author>tc={24D8804B-554D-4A9B-AEE5-9D1EE634DFEF}</author>
    <author>tc={E5ED752E-F62F-404C-9EB6-0B8423E705BA}</author>
    <author>tc={399B3E4E-4AA0-4D24-A156-24CBE7A0DEB8}</author>
    <author>tc={2C55A0E9-8BBF-47AF-9BA2-35990D045828}</author>
    <author>tc={91DE9942-29E9-425D-8872-C3E3C21EC7BD}</author>
    <author>tc={3AA325D6-FCA0-4706-B779-577CAD14F110}</author>
    <author>tc={A4721DAB-C4C8-41C9-84D2-01A3D137111C}</author>
    <author>tc={5B83A534-245E-4190-AAE5-288EDE56DA46}</author>
    <author>tc={07B7D3CD-C682-44ED-AB7D-8E91CF806111}</author>
    <author>tc={7D757431-2171-40A8-9D80-5CF2BB15D506}</author>
    <author>tc={0C926095-5C74-422B-8E93-E1737B1BEB97}</author>
    <author>tc={E2A86BF7-EB1B-492C-B6EB-B47903E67844}</author>
    <author>tc={705E81A2-C2CE-4341-A7E8-A6BCA8B35B8F}</author>
    <author>tc={EE9AED60-82BD-461D-839E-062186432642}</author>
    <author>tc={75422253-8A23-4738-B0CD-F3CDCFB6F415}</author>
    <author>tc={2255C7FB-9C41-42EA-8CD1-EE2CF9BADF5C}</author>
    <author>tc={C72920D3-3D1E-46B5-8CB6-DBDEEDF7F1C6}</author>
    <author>tc={245A7C89-BD1F-4028-9B22-DD745B9D9D88}</author>
    <author>tc={F2D8F4E0-F408-4245-AEFD-6ACF99CBFDE5}</author>
    <author>tc={36EB027A-45E0-41EC-9866-2E0D7309A034}</author>
    <author>tc={62D28F73-7E05-43C6-B5EC-108C91937861}</author>
    <author>tc={EA79B181-78D9-49AC-970A-FAA135027531}</author>
  </authors>
  <commentList>
    <comment ref="AE3" authorId="0" shapeId="0" xr:uid="{5D9DDC56-4243-4837-8994-B6589FCB5019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Ricardo 
</t>
        </r>
      </text>
    </comment>
    <comment ref="AF3" authorId="0" shapeId="0" xr:uid="{FB945789-A4B6-4AEB-8EC8-0375AC84A586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Sergio
</t>
        </r>
      </text>
    </comment>
    <comment ref="AG3" authorId="0" shapeId="0" xr:uid="{B426FA7B-BA20-46CA-A650-109E33CC6A9F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REUNION CON EL REGIONAL SERGIO 
</t>
        </r>
      </text>
    </comment>
    <comment ref="AN3" authorId="0" shapeId="0" xr:uid="{85B6F7D3-481B-4590-A91B-0B869316155F}">
      <text>
        <r>
          <rPr>
            <sz val="11"/>
            <color theme="1"/>
            <rFont val="Aptos Narrow"/>
            <family val="2"/>
            <scheme val="minor"/>
          </rPr>
          <t>Usuario desconocido:
Recorrido con el regional Sergio</t>
        </r>
      </text>
    </comment>
    <comment ref="AT3" authorId="1" shapeId="0" xr:uid="{5A899819-2BF8-4AB1-B2A6-3DBA0578428E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Sergio</t>
        </r>
      </text>
    </comment>
    <comment ref="BB3" authorId="1" shapeId="0" xr:uid="{2FEAC2A8-7A33-4C5B-A297-7A4598F76B49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Sergio
</t>
        </r>
      </text>
    </comment>
    <comment ref="AG5" authorId="0" shapeId="0" xr:uid="{3E018FA5-16F1-4D61-A77C-2C5499776767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REUNION CON EL REGIONAL SERGIO 
</t>
        </r>
      </text>
    </comment>
    <comment ref="AG10" authorId="0" shapeId="0" xr:uid="{BB6E25EB-C7BB-4C52-BBE4-556A4236F054}">
      <text>
        <r>
          <rPr>
            <sz val="11"/>
            <color theme="1"/>
            <rFont val="Aptos Narrow"/>
            <family val="2"/>
            <scheme val="minor"/>
          </rPr>
          <t>Usuario desconocido:
REUNION CON EL REGIONAL SERGIO</t>
        </r>
      </text>
    </comment>
    <comment ref="AR10" authorId="2" shapeId="0" xr:uid="{9CB7478D-6D7B-4682-AB36-7B029FC314F6}">
      <text>
        <r>
          <rPr>
            <sz val="11"/>
            <color theme="1"/>
            <rFont val="Aptos Narrow"/>
            <family val="2"/>
            <scheme val="minor"/>
          </rPr>
          <t xml:space="preserve">Luis Enrique Cuellar Ruiz:
AUDITORIA VIS
</t>
        </r>
      </text>
    </comment>
    <comment ref="AV10" authorId="3" shapeId="0" xr:uid="{B9C3EE53-D7AE-489B-B7A7-A251E1A263F5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REALIZADO, SE LE OLVIDO SU MOVI CORPORATIVO</t>
      </text>
    </comment>
    <comment ref="AW10" authorId="4" shapeId="0" xr:uid="{5B701857-4443-4AB1-B679-062AD995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REALIZADO, SE LE OLVIDO SU MOVI CORPORATIVO</t>
      </text>
    </comment>
    <comment ref="AG16" authorId="0" shapeId="0" xr:uid="{9B75DC3B-088D-4CEB-B22D-B8808B42994F}">
      <text>
        <r>
          <rPr>
            <sz val="11"/>
            <color theme="1"/>
            <rFont val="Aptos Narrow"/>
            <family val="2"/>
            <scheme val="minor"/>
          </rPr>
          <t>Usuario desconocido:
REUNION CON EL REGIONAL SERGIO</t>
        </r>
      </text>
    </comment>
    <comment ref="AP16" authorId="0" shapeId="0" xr:uid="{CAD4D10E-8305-46AE-9FC7-A631BBF4CA53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Sergio </t>
        </r>
      </text>
    </comment>
    <comment ref="AB19" authorId="0" shapeId="0" xr:uid="{4FFAE876-2343-4E6E-814F-3A545914D62C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Regional Roberto </t>
        </r>
      </text>
    </comment>
    <comment ref="AP19" authorId="0" shapeId="0" xr:uid="{DFAF4675-54E9-4672-9C09-DC82B6C31BA9}">
      <text>
        <r>
          <rPr>
            <sz val="11"/>
            <color theme="1"/>
            <rFont val="Aptos Narrow"/>
            <family val="2"/>
            <scheme val="minor"/>
          </rPr>
          <t>Usuario desconocido:
Recorrido con el regional Roberto</t>
        </r>
      </text>
    </comment>
    <comment ref="AT19" authorId="5" shapeId="0" xr:uid="{A68B73A7-5E9B-4867-948A-26972A725366}">
      <text>
        <t>[Threaded comment]
Your version of Excel allows you to read this threaded comment; however, any edits to it will get removed if the file is opened in a newer version of Excel. Learn more: https://go.microsoft.com/fwlink/?linkid=870924
Comment:
    Auditoria VIS</t>
      </text>
    </comment>
    <comment ref="Z20" authorId="6" shapeId="0" xr:uid="{453CB5CF-67E8-4F1B-8868-2F7AD07060F2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D20" authorId="0" shapeId="0" xr:uid="{F57E3C35-F27F-4165-9177-A5BEA4EABA29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por Seguridad 
</t>
        </r>
      </text>
    </comment>
    <comment ref="AR20" authorId="7" shapeId="0" xr:uid="{47A9FA20-7729-4CCB-A0B4-220F426141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recorrido sin JO</t>
      </text>
    </comment>
    <comment ref="AT20" authorId="8" shapeId="0" xr:uid="{0A8E310F-D125-4BA4-8A0B-7B4ED4B50F84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reportado por JO</t>
      </text>
    </comment>
    <comment ref="AU20" authorId="9" shapeId="0" xr:uid="{B43DE1E7-6D9A-44B6-97E6-D6BCED26A257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N21" authorId="0" shapeId="0" xr:uid="{64B6D5F5-8F62-4699-B604-45076EDFD4B4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Roberto </t>
        </r>
      </text>
    </comment>
    <comment ref="AC28" authorId="0" shapeId="0" xr:uid="{BCAFD444-10F6-4DA8-94BC-6FFB984A8DFD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Roberto </t>
        </r>
      </text>
    </comment>
    <comment ref="AE28" authorId="0" shapeId="0" xr:uid="{0761A767-0F4B-4D43-8A35-E8A6ACA26CEF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Roberto 
</t>
        </r>
      </text>
    </comment>
    <comment ref="AF28" authorId="10" shapeId="0" xr:uid="{777850EB-3BD3-4513-BA4C-7C05829D7C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G28" authorId="0" shapeId="0" xr:uid="{8D2C5D91-BFF7-49D7-A8D6-D621C581CE3A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Roberto </t>
        </r>
      </text>
    </comment>
    <comment ref="AI28" authorId="0" shapeId="0" xr:uid="{1B840C1C-150E-40FB-A2E9-90182F838E42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Roberto 
</t>
        </r>
      </text>
    </comment>
    <comment ref="AO28" authorId="0" shapeId="0" xr:uid="{042B74B6-B75F-41C7-ADC2-136D4A81733E}">
      <text>
        <r>
          <rPr>
            <sz val="11"/>
            <color theme="1"/>
            <rFont val="Aptos Narrow"/>
            <family val="2"/>
            <scheme val="minor"/>
          </rPr>
          <t>Usuario desconocido:
Recorrido con el regional Roberto</t>
        </r>
      </text>
    </comment>
    <comment ref="BB28" authorId="1" shapeId="0" xr:uid="{24B140BF-C1D5-41AF-89A7-8FFE7FCCD66E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
</t>
        </r>
      </text>
    </comment>
    <comment ref="AA29" authorId="11" shapeId="0" xr:uid="{A7707117-2296-4C76-9058-634A74324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F29" authorId="12" shapeId="0" xr:uid="{537A9E37-89A0-437B-823B-F686BE0EB3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P29" authorId="13" shapeId="0" xr:uid="{1743DA7F-80DE-4A71-9A89-20646AF5839A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G30" authorId="14" shapeId="0" xr:uid="{C1AD5860-5FD8-4ED8-A493-C44FBC7B1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 REENVIADO</t>
      </text>
    </comment>
    <comment ref="AR30" authorId="15" shapeId="0" xr:uid="{498C6C4F-8CE7-4B44-814C-8D2DE8BB8C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sin jefe op
</t>
      </text>
    </comment>
    <comment ref="Z31" authorId="0" shapeId="0" xr:uid="{45F26A4A-7C83-44EC-AF82-E8A1EB48648E}">
      <text>
        <r>
          <rPr>
            <sz val="11"/>
            <color theme="1"/>
            <rFont val="Aptos Narrow"/>
            <family val="2"/>
            <scheme val="minor"/>
          </rPr>
          <t>Usuario desconocido:
Recorrido con regional Eric</t>
        </r>
      </text>
    </comment>
    <comment ref="AD31" authorId="16" shapeId="0" xr:uid="{591088ED-3EDD-4219-B677-365DA1D8254F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F31" authorId="0" shapeId="0" xr:uid="{69D437B7-E8B1-4868-8FF0-F0E096EEAFC3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Divisional Julio
</t>
        </r>
      </text>
    </comment>
    <comment ref="AV31" authorId="1" shapeId="0" xr:uid="{41FEAB66-4019-4186-A432-66C02CA2FB8F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Eric</t>
        </r>
      </text>
    </comment>
    <comment ref="AP32" authorId="0" shapeId="0" xr:uid="{1D14A36A-C475-4BD7-84F6-6624F96D0827}">
      <text>
        <r>
          <rPr>
            <sz val="11"/>
            <color theme="1"/>
            <rFont val="Aptos Narrow"/>
            <family val="2"/>
            <scheme val="minor"/>
          </rPr>
          <t>Usuario desconocido:
Recorrido con el regional Eric</t>
        </r>
      </text>
    </comment>
    <comment ref="AR32" authorId="17" shapeId="0" xr:uid="{4625D5AD-C519-49A8-8904-AB7DC3D1E3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recirrido sin JO
</t>
      </text>
    </comment>
    <comment ref="AA34" authorId="18" shapeId="0" xr:uid="{A6B5F729-93E7-4553-9B1F-7CE8D1CC49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D34" authorId="19" shapeId="0" xr:uid="{8E662B0F-0FD0-4BBC-A3B0-FD8E5E2B5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E34" authorId="20" shapeId="0" xr:uid="{43A5B38A-4310-401F-AC30-5376DF1CFB5C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G34" authorId="21" shapeId="0" xr:uid="{478B5C44-93E8-4EEF-B097-B8F12DF842AF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D35" authorId="0" shapeId="0" xr:uid="{AEEE3589-8D2B-4F9B-B040-A2DB687BB454}">
      <text>
        <r>
          <rPr>
            <sz val="11"/>
            <color theme="1"/>
            <rFont val="Aptos Narrow"/>
            <family val="2"/>
            <scheme val="minor"/>
          </rPr>
          <t>Usuario desconocido:
Recorrido con el regional Eric</t>
        </r>
      </text>
    </comment>
    <comment ref="Z36" authorId="22" shapeId="0" xr:uid="{AE074946-AFD8-4E18-8BA9-A880D1EB6178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A36" authorId="23" shapeId="0" xr:uid="{4A35F9C5-1A77-4B37-B11E-D818F1220436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B36" authorId="24" shapeId="0" xr:uid="{F25BE8C3-B425-4BA7-B1FC-96D1966E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Vacante JO</t>
      </text>
    </comment>
    <comment ref="AR36" authorId="1" shapeId="0" xr:uid="{B688A2C8-8096-4C14-9B2A-EA846BF84833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auditor VIS y regional Eric</t>
        </r>
      </text>
    </comment>
    <comment ref="AU36" authorId="1" shapeId="0" xr:uid="{A2270012-AD9F-412C-926F-97A6AB027BAA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Eric</t>
        </r>
      </text>
    </comment>
    <comment ref="AS37" authorId="25" shapeId="0" xr:uid="{5FB92E93-315B-4E8C-AE12-41BAD6BA7146}">
      <text>
        <t>[Threaded comment]
Your version of Excel allows you to read this threaded comment; however, any edits to it will get removed if the file is opened in a newer version of Excel. Learn more: https://go.microsoft.com/fwlink/?linkid=870924
Comment:
    echo solo por trainee</t>
      </text>
    </comment>
    <comment ref="Z38" authorId="26" shapeId="0" xr:uid="{31DCCB53-2A33-4019-9BF8-0225D0381D0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I40" authorId="27" shapeId="0" xr:uid="{97EF4FAB-05CF-43F8-B000-AFDB187B64DD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Q40" authorId="0" shapeId="0" xr:uid="{F31A2AFD-29C5-431B-AA0F-14B34546072D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Salvador </t>
        </r>
      </text>
    </comment>
    <comment ref="AF41" authorId="0" shapeId="0" xr:uid="{1B360850-4D05-46A2-8D74-9ECA256C0D41}">
      <text>
        <r>
          <rPr>
            <sz val="11"/>
            <color theme="1"/>
            <rFont val="Aptos Narrow"/>
            <family val="2"/>
            <scheme val="minor"/>
          </rPr>
          <t>Usuario desconocido:
Recorrido con Divisonal Rodrigo y Regional Salvador, Seguridad P.</t>
        </r>
      </text>
    </comment>
    <comment ref="AI41" authorId="0" shapeId="0" xr:uid="{FCE9F769-5690-416B-9DB2-CEA98A266D92}">
      <text>
        <r>
          <rPr>
            <sz val="11"/>
            <color theme="1"/>
            <rFont val="Aptos Narrow"/>
            <family val="2"/>
            <scheme val="minor"/>
          </rPr>
          <t>Usuario desconocido:
Recorrido con el Divisional Rodrigo T.</t>
        </r>
      </text>
    </comment>
    <comment ref="AP41" authorId="0" shapeId="0" xr:uid="{EBD0FF2D-47B4-4BF4-AED9-B7B07CECF0DE}">
      <text>
        <r>
          <rPr>
            <sz val="11"/>
            <color theme="1"/>
            <rFont val="Aptos Narrow"/>
            <family val="2"/>
            <scheme val="minor"/>
          </rPr>
          <t>Usuario desconocido:
Top por el Divisional Rodrigo T.</t>
        </r>
      </text>
    </comment>
    <comment ref="AU41" authorId="1" shapeId="0" xr:uid="{394466A9-42BC-4BC8-9B47-2A86A78BDD1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Salvador CDM
</t>
        </r>
      </text>
    </comment>
    <comment ref="AV41" authorId="1" shapeId="0" xr:uid="{D08B826B-10E1-4C9F-8F7E-68B86059399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Asistencia en OPERAGUA </t>
        </r>
      </text>
    </comment>
    <comment ref="BB41" authorId="1" shapeId="0" xr:uid="{74A91903-DEFE-4EE2-967A-9C9F6570820E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Salvador </t>
        </r>
      </text>
    </comment>
    <comment ref="AB43" authorId="28" shapeId="0" xr:uid="{A139A61D-CFBD-4476-B8F0-D532723239F3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C43" authorId="29" shapeId="0" xr:uid="{DA7183FE-7A15-4AC4-B6BF-C6F88677736D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F43" authorId="30" shapeId="0" xr:uid="{D04DA704-C785-428C-8564-A6B0C118BE5B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G43" authorId="0" shapeId="0" xr:uid="{72B72532-2188-4851-854E-3CBFEC35CE8B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por el regional Salvador y JO
</t>
        </r>
      </text>
    </comment>
    <comment ref="AT43" authorId="31" shapeId="0" xr:uid="{5E6FD79E-1239-4D06-91D3-E6A3EA405C35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por JO</t>
      </text>
    </comment>
    <comment ref="BB43" authorId="32" shapeId="0" xr:uid="{77B49FFC-8C72-4D00-8A29-9F6BEBC98223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por JO</t>
      </text>
    </comment>
    <comment ref="AP44" authorId="0" shapeId="0" xr:uid="{DAC50D34-17EB-40B5-BDEE-A6B5F5019E3F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Salvador </t>
        </r>
      </text>
    </comment>
    <comment ref="AT45" authorId="1" shapeId="0" xr:uid="{2CBE18D0-ECC3-46E3-A504-6F93D5B67C47}">
      <text>
        <r>
          <rPr>
            <sz val="11"/>
            <color theme="1"/>
            <rFont val="Aptos Narrow"/>
            <family val="2"/>
            <scheme val="minor"/>
          </rPr>
          <t>Guadalupe Yasmin Arriaga Juache:
Recorridocon regional Salvador</t>
        </r>
      </text>
    </comment>
    <comment ref="AB46" authorId="33" shapeId="0" xr:uid="{93B9D9FD-AA69-4145-A0A1-F67956A12D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Final del top </t>
      </text>
    </comment>
    <comment ref="AC46" authorId="34" shapeId="0" xr:uid="{1F29B516-6EBA-496D-A3A0-3365AA1670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Concluido, sin chaleco </t>
      </text>
    </comment>
    <comment ref="AD46" authorId="35" shapeId="0" xr:uid="{53CBF3D3-3B16-42DD-BEDB-2FD8BBBD6163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E46" authorId="36" shapeId="0" xr:uid="{DF57154C-7013-46FD-8165-F4F415B0A271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F46" authorId="37" shapeId="0" xr:uid="{2F1D0C24-73E0-4817-973C-E0B6F630ED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G46" authorId="38" shapeId="0" xr:uid="{542D39F7-2211-4F23-A6CF-F14B84BA07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I46" authorId="39" shapeId="0" xr:uid="{62C9F1EF-55F2-4668-BCC6-4EA45BC138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Concluido, suele enviar el top finalizado </t>
      </text>
    </comment>
    <comment ref="AN46" authorId="40" shapeId="0" xr:uid="{7A293667-FB22-4BC0-BCA1-6C699821E73D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P46" authorId="41" shapeId="0" xr:uid="{0655DBBE-2E2A-43B6-BFCA-2FBAF9F8C42B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Q48" authorId="42" shapeId="0" xr:uid="{EF4CFDB5-DDAE-4FD4-82EC-A808F1899184}">
      <text>
        <t>[Threaded comment]
Your version of Excel allows you to read this threaded comment; however, any edits to it will get removed if the file is opened in a newer version of Excel. Learn more: https://go.microsoft.com/fwlink/?linkid=870924
Comment:
    Auditoria VIS</t>
      </text>
    </comment>
    <comment ref="AH53" authorId="43" shapeId="0" xr:uid="{04568CE5-8A00-4FFA-B4A9-3CD887293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B54" authorId="44" shapeId="0" xr:uid="{497E6050-081C-46DC-AFF6-5D2FE213F7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Recorrido con el regional Guillermo por temas de fuga </t>
      </text>
    </comment>
    <comment ref="AD54" authorId="0" shapeId="0" xr:uid="{40115CF0-33E8-4B45-9F17-6D0D7D159C2E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Guillermo 
</t>
        </r>
      </text>
    </comment>
    <comment ref="AE54" authorId="0" shapeId="0" xr:uid="{35F740EA-C953-41CD-ACCC-04A925206592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Guillermo 
</t>
        </r>
      </text>
    </comment>
    <comment ref="AU55" authorId="45" shapeId="0" xr:uid="{D90AFC72-3949-4E19-8A4E-CE6D9AA7F2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Recorrido por Allan Y Gustavo V.</t>
      </text>
    </comment>
    <comment ref="AF56" authorId="0" shapeId="0" xr:uid="{D825478A-2099-4E10-96B4-3EE25AC6FB7A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Guillermo y el adm Gustavo V.
</t>
        </r>
      </text>
    </comment>
    <comment ref="AA58" authorId="46" shapeId="0" xr:uid="{A4F03526-80D7-4BD9-B2C4-DED27EBCC6F7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envía final del top por el JO</t>
      </text>
    </comment>
    <comment ref="AB58" authorId="47" shapeId="0" xr:uid="{8F7B7A17-D1B2-4B0F-83A1-C594C3F63EE1}">
      <text>
        <t>[Threaded comment]
Your version of Excel allows you to read this threaded comment; however, any edits to it will get removed if the file is opened in a newer version of Excel. Learn more: https://go.microsoft.com/fwlink/?linkid=870924
Comment:
    Fin del recorrido con sus fotos</t>
      </text>
    </comment>
    <comment ref="AC58" authorId="48" shapeId="0" xr:uid="{62E6B4D6-9F92-4449-90B8-7EFE06A9F8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D58" authorId="49" shapeId="0" xr:uid="{369992A2-499F-4381-9149-4208C574F7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Concluido, el adm no sube foto de inicio del top </t>
      </text>
    </comment>
    <comment ref="AF58" authorId="50" shapeId="0" xr:uid="{81D35B6E-0A68-4B58-99CE-679D01CF30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G58" authorId="51" shapeId="0" xr:uid="{AEAE26D0-A2B7-4C11-B3F6-CA3ADFE134C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 el final de su top completo, pero no envía el inicio ni foto con su JO</t>
      </text>
    </comment>
    <comment ref="AU58" authorId="1" shapeId="0" xr:uid="{B836536F-A674-4C58-B080-EDEC11CEB2BA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Guillermo</t>
        </r>
      </text>
    </comment>
    <comment ref="AX58" authorId="52" shapeId="0" xr:uid="{8CE7FC91-C2EC-4F73-83EB-9269ECAB07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Recorrido por personal de mtto</t>
      </text>
    </comment>
    <comment ref="AC59" authorId="53" shapeId="0" xr:uid="{A8055005-EE4C-4F81-8A34-F3C1E2893889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JO, sin chaleco</t>
      </text>
    </comment>
    <comment ref="AF59" authorId="54" shapeId="0" xr:uid="{FB59E004-A000-4C68-BF59-154150CD42D1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uso del chaleco y sin JO</t>
      </text>
    </comment>
    <comment ref="AN59" authorId="55" shapeId="0" xr:uid="{32FC65F6-D99B-47A2-93BA-F283F955B1E0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Q59" authorId="56" shapeId="0" xr:uid="{63FCF30C-D3B4-477F-9EB0-8CC05705CEA2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Z61" authorId="57" shapeId="0" xr:uid="{74B1DD6A-9563-4908-9074-CB4155C2199F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B61" authorId="0" shapeId="0" xr:uid="{ABCC321C-8C28-457D-B618-A800E5384936}">
      <text>
        <r>
          <rPr>
            <sz val="11"/>
            <color theme="1"/>
            <rFont val="Aptos Narrow"/>
            <family val="2"/>
            <scheme val="minor"/>
          </rPr>
          <t>Usuario desconocido:
Recorrido con Regional Santiago</t>
        </r>
      </text>
    </comment>
    <comment ref="AD61" authorId="0" shapeId="0" xr:uid="{964CC906-90D2-4E1C-85C1-E447EB0F2B2F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Seguridad Maguen 
</t>
        </r>
      </text>
    </comment>
    <comment ref="AQ61" authorId="0" shapeId="0" xr:uid="{A2223423-5489-4148-9B91-54DFF01BC451}">
      <text>
        <r>
          <rPr>
            <sz val="11"/>
            <color theme="1"/>
            <rFont val="Aptos Narrow"/>
            <family val="2"/>
            <scheme val="minor"/>
          </rPr>
          <t>Usuario desconocido:
Recorrido con el regional Santiago</t>
        </r>
      </text>
    </comment>
    <comment ref="AR61" authorId="58" shapeId="0" xr:uid="{A9E9741B-3E3E-4F5C-96B3-6578300D7D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recorrido sin JO
</t>
      </text>
    </comment>
    <comment ref="AB62" authorId="59" shapeId="0" xr:uid="{E14DAECD-42B7-4551-A668-9F3164336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F62" authorId="60" shapeId="0" xr:uid="{F9A303F3-ED65-4461-A801-B4DC46B6A1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H62" authorId="61" shapeId="0" xr:uid="{2BA6F396-1962-4035-81FF-CF66972E827C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I62" authorId="62" shapeId="0" xr:uid="{57C2FE42-27EF-4ED6-92AB-AC13E62B8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O62" authorId="0" shapeId="0" xr:uid="{A45CFCC3-4645-42F7-8A66-6CD2D9A903D2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Divisional Rodrigo y nuevo adm </t>
        </r>
      </text>
    </comment>
    <comment ref="AP62" authorId="0" shapeId="0" xr:uid="{EF871509-4ED7-45C9-8B75-F5138CAAFF7F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Noe </t>
        </r>
      </text>
    </comment>
    <comment ref="AS62" authorId="2" shapeId="0" xr:uid="{D563B176-E80A-496C-87A5-2E02DF204C36}">
      <text>
        <r>
          <rPr>
            <sz val="11"/>
            <color theme="1"/>
            <rFont val="Aptos Narrow"/>
            <family val="2"/>
            <scheme val="minor"/>
          </rPr>
          <t xml:space="preserve">Luis Enrique Cuellar Ruiz:
RECORRIDO ECHO POR REGIONAL
</t>
        </r>
      </text>
    </comment>
    <comment ref="AV62" authorId="1" shapeId="0" xr:uid="{17368957-52A2-4EF0-A7C4-5AA44FADDA25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Noe </t>
        </r>
      </text>
    </comment>
    <comment ref="Z63" authorId="0" shapeId="0" xr:uid="{5A95B761-ACEE-458A-AE35-A996DF5A9BEA}">
      <text>
        <r>
          <rPr>
            <sz val="11"/>
            <color theme="1"/>
            <rFont val="Aptos Narrow"/>
            <family val="2"/>
            <scheme val="minor"/>
          </rPr>
          <t>Usuario desconocido:
Recorrido con Seguridad Patrimonial.</t>
        </r>
      </text>
    </comment>
    <comment ref="AC63" authorId="0" shapeId="0" xr:uid="{64EAB383-33E8-4EF2-A1D3-08F9A1031610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Guillermo 
</t>
        </r>
      </text>
    </comment>
    <comment ref="AD63" authorId="63" shapeId="0" xr:uid="{AA12B1E6-4391-4DCD-84AA-8E653E1FA8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F63" authorId="64" shapeId="0" xr:uid="{6F485C67-9BCC-4EF8-AC75-6BC2751EF142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H63" authorId="65" shapeId="0" xr:uid="{01298B3A-5C63-4194-AA1F-6AAC82C10A88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I63" authorId="66" shapeId="0" xr:uid="{04E88F49-D04E-4BB4-9B96-16CD09D394A8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O63" authorId="67" shapeId="0" xr:uid="{97F0D48F-0507-421C-ACE7-A51E69154E39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P63" authorId="68" shapeId="0" xr:uid="{ABAA4E9A-FAB7-426B-B88E-3153878E5FFD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Q63" authorId="69" shapeId="0" xr:uid="{E652CBF5-9250-4EA1-B5FA-94D1EFF0248F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R63" authorId="2" shapeId="0" xr:uid="{7A5804E4-CD32-4031-977B-CAAAC53EF532}">
      <text>
        <r>
          <rPr>
            <sz val="11"/>
            <color theme="1"/>
            <rFont val="Aptos Narrow"/>
            <family val="2"/>
            <scheme val="minor"/>
          </rPr>
          <t xml:space="preserve">Luis Enrique Cuellar Ruiz:
RECORRIDO CON EQUIPO MAGEN
</t>
        </r>
      </text>
    </comment>
    <comment ref="AU63" authorId="70" shapeId="0" xr:uid="{70A25B31-53B5-4A5A-B3A1-948C868D9AA9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B64" authorId="71" shapeId="0" xr:uid="{F6E645D7-DECA-4EE3-94B5-D41AB2958E13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G64" authorId="0" shapeId="0" xr:uid="{3E99E5BA-6578-4AF1-9D5C-2B7FE185887C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Noe </t>
        </r>
      </text>
    </comment>
    <comment ref="AH64" authorId="72" shapeId="0" xr:uid="{F1598BF0-ECCE-4A84-93A4-67A3D89F15C2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N64" authorId="73" shapeId="0" xr:uid="{E3DA97CB-D733-4137-BF3F-88A4FDEE07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por JO </t>
      </text>
    </comment>
    <comment ref="AP64" authorId="74" shapeId="0" xr:uid="{282F05C4-FCA8-4126-A60F-2FDBC6568648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A65" authorId="75" shapeId="0" xr:uid="{F4615EF6-7026-4894-B780-10E7E00B94C8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B65" authorId="76" shapeId="0" xr:uid="{9EF63075-0A89-4DCB-8244-904767319C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fin del recorrido con Erika Trejo </t>
      </text>
    </comment>
    <comment ref="AE65" authorId="77" shapeId="0" xr:uid="{8B4E8EFB-DD81-4FC6-8C4D-3A29EE9FB4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F65" authorId="0" shapeId="0" xr:uid="{29A6335A-26F0-4BEE-BD77-9525D9BD1361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Noe </t>
        </r>
      </text>
    </comment>
    <comment ref="AO65" authorId="78" shapeId="0" xr:uid="{47E7B057-D29F-4731-A457-764551ED225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T65" authorId="79" shapeId="0" xr:uid="{A0475A93-9778-41DB-BB89-E756B364AB96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por JO</t>
      </text>
    </comment>
    <comment ref="AV65" authorId="80" shapeId="0" xr:uid="{6085B2CD-7E5C-4B02-B2B3-46C7DA0D2B70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por JO</t>
      </text>
    </comment>
    <comment ref="Z66" authorId="81" shapeId="0" xr:uid="{8BA6D7CD-3490-4A53-B219-3CC6627C6DCE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B66" authorId="82" shapeId="0" xr:uid="{FA83FDBA-8C8E-4574-A2A0-B8D2F6186E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C66" authorId="83" shapeId="0" xr:uid="{7ADB1799-DD9F-451E-9383-18CA3339DA8C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D66" authorId="84" shapeId="0" xr:uid="{C2A19E55-12EB-495A-951B-E999E3F4E42A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F66" authorId="85" shapeId="0" xr:uid="{05EABCE1-90F2-482D-9916-69224DD08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H66" authorId="86" shapeId="0" xr:uid="{1DC60872-FA41-4385-BC43-48699A8FA183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K66" authorId="87" shapeId="0" xr:uid="{2B67F6C2-D4C8-4D09-B49A-583588CEE5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Q66" authorId="88" shapeId="0" xr:uid="{1E8FB841-28DF-479E-844A-B1B0BF080EED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W66" authorId="89" shapeId="0" xr:uid="{830BA9B1-F44A-4714-BB77-B3EC6CAC4691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por JO</t>
      </text>
    </comment>
    <comment ref="BB66" authorId="1" shapeId="0" xr:uid="{4F9AC735-3805-42D2-84E6-DEB62F29979F}">
      <text>
        <r>
          <rPr>
            <sz val="11"/>
            <color theme="1"/>
            <rFont val="Aptos Narrow"/>
            <family val="2"/>
            <scheme val="minor"/>
          </rPr>
          <t>Guadalupe Yasmin Arriaga Juache:
Top por regional Noe</t>
        </r>
      </text>
    </comment>
    <comment ref="AA68" authorId="90" shapeId="0" xr:uid="{61737532-438D-4020-AB07-D4D960B4C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B68" authorId="91" shapeId="0" xr:uid="{1647F1F9-9D86-4862-9916-CA1959620D7A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D68" authorId="0" shapeId="0" xr:uid="{9CC825F7-55FE-4568-AFF8-C8D15E840ADC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Seguridad Maguen 
</t>
        </r>
      </text>
    </comment>
    <comment ref="AU68" authorId="92" shapeId="0" xr:uid="{27C22D7C-CA76-4EDC-B3DB-C1C1E03A6A59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NO REALIZADO POR LLUVIA</t>
      </text>
    </comment>
    <comment ref="A70" authorId="93" shapeId="0" xr:uid="{6AB64932-70BF-4A83-A342-CC02FA6F2638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figura responsiva, pero se administra por clientes.</t>
      </text>
    </comment>
    <comment ref="AB70" authorId="94" shapeId="0" xr:uid="{5D00A84A-3448-48AA-9703-614D3F31F4ED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Fin del TOP, una foto</t>
      </text>
    </comment>
    <comment ref="AO70" authorId="95" shapeId="0" xr:uid="{16250599-73D6-46E9-825E-CC21672D55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subió una foto </t>
      </text>
    </comment>
    <comment ref="AU70" authorId="96" shapeId="0" xr:uid="{76DCBAA5-54B9-45F6-92BE-FD515C5DE71E}">
      <text>
        <t>[Threaded comment]
Your version of Excel allows you to read this threaded comment; however, any edits to it will get removed if the file is opened in a newer version of Excel. Learn more: https://go.microsoft.com/fwlink/?linkid=870924
Comment:
    Auditoría VIS</t>
      </text>
    </comment>
    <comment ref="AA71" authorId="97" shapeId="0" xr:uid="{3E94B1D5-0206-40A3-A8E8-5E9EA0C2C5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envió el final del top </t>
      </text>
    </comment>
    <comment ref="AR72" authorId="1" shapeId="0" xr:uid="{36BFF294-87DF-4F51-824C-C9C8C33F59BB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seguridiad </t>
        </r>
      </text>
    </comment>
    <comment ref="AA73" authorId="98" shapeId="0" xr:uid="{8C472591-B279-49A4-B53C-DE069C7D4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envía en final del recorrido </t>
      </text>
    </comment>
    <comment ref="AC73" authorId="99" shapeId="0" xr:uid="{E2405E23-8971-475D-8612-996729BDB5BD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P73" authorId="100" shapeId="0" xr:uid="{ACC56731-71AB-40E8-931D-3296EF96DF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D74" authorId="101" shapeId="0" xr:uid="{BE049C2E-0258-4B65-B0C8-2198D94D5B5B}">
      <text>
        <t>[Threaded comment]
Your version of Excel allows you to read this threaded comment; however, any edits to it will get removed if the file is opened in a newer version of Excel. Learn more: https://go.microsoft.com/fwlink/?linkid=870924
Comment:
    Visita de inspección a Vitro</t>
      </text>
    </comment>
    <comment ref="AH74" authorId="102" shapeId="0" xr:uid="{DF05B969-FCF9-4FEF-96F6-923712382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R74" authorId="103" shapeId="0" xr:uid="{AA9E588C-C71C-49EC-B6D3-138CBC5EAFEE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Z75" authorId="104" shapeId="0" xr:uid="{FAC4C77B-BFF7-45CB-AF82-B93155F74333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A75" authorId="105" shapeId="0" xr:uid="{4F40FE8F-3B7C-4D1F-9DC6-2EF9E3A5C1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Sin JO
</t>
      </text>
    </comment>
    <comment ref="AB76" authorId="106" shapeId="0" xr:uid="{29CB8934-09EA-46BE-9F49-0CCF3110B590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F76" authorId="0" shapeId="0" xr:uid="{5AB60B4D-EC64-40B4-96D2-722BAB43358A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Francisco
</t>
        </r>
      </text>
    </comment>
    <comment ref="BB76" authorId="1" shapeId="0" xr:uid="{92A9CD6D-D96B-47AA-8406-7CC20DD77EB7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Francisco Rosas y Divisional Rodolfo</t>
        </r>
      </text>
    </comment>
    <comment ref="Z77" authorId="107" shapeId="0" xr:uid="{8AA8308A-51FC-48D6-A210-69BCF41345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A77" authorId="108" shapeId="0" xr:uid="{57671564-9DE4-4872-8ED9-2800DC7D12E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C77" authorId="109" shapeId="0" xr:uid="{983110DB-ACF5-4F64-81B8-37D56F7F7A74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E77" authorId="110" shapeId="0" xr:uid="{902FB587-5F6B-4B44-93BF-EF578394EE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F77" authorId="111" shapeId="0" xr:uid="{082BC376-DF3C-459F-AF88-D3779F74B8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N77" authorId="112" shapeId="0" xr:uid="{858E59B1-7199-41AC-80E8-C984B41F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O77" authorId="113" shapeId="0" xr:uid="{CEDF7581-E75C-495A-977A-48DAE615B3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R77" authorId="114" shapeId="0" xr:uid="{A280157E-39DD-4F43-B1C4-74C13D541F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recorrido por JO
</t>
      </text>
    </comment>
    <comment ref="AX77" authorId="115" shapeId="0" xr:uid="{3C7D0AD0-7947-4559-A1F2-8860CFA211D9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por JO</t>
      </text>
    </comment>
    <comment ref="BB77" authorId="116" shapeId="0" xr:uid="{61C95F87-BFA0-4491-BB61-BEFDFC1F7468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por JO</t>
      </text>
    </comment>
    <comment ref="Z78" authorId="117" shapeId="0" xr:uid="{2B0FD590-17D7-46C8-ACCE-4DE3AB609B4B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F78" authorId="118" shapeId="0" xr:uid="{10F0220D-D88F-46CE-89AB-D572FF1E24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Manda foto del tanque elevado </t>
      </text>
    </comment>
    <comment ref="AJ78" authorId="119" shapeId="0" xr:uid="{EC048FD8-16D4-461D-8118-6450B20D3C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B79" authorId="120" shapeId="0" xr:uid="{80E14151-F77D-440B-8F96-49AEF79813D4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D79" authorId="121" shapeId="0" xr:uid="{B2913816-A770-4569-92BB-EBA2CC9EE481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N79" authorId="0" shapeId="0" xr:uid="{F31D2CB3-51FF-4C17-9257-0D3C8A7B4C0D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Francisco </t>
        </r>
      </text>
    </comment>
    <comment ref="AB80" authorId="122" shapeId="0" xr:uid="{63103CA6-5817-4B3E-938A-B989D75C8389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R80" authorId="1" shapeId="0" xr:uid="{E5613AB2-01E1-402E-8740-891389A81BEA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Divisional Rodolfo</t>
        </r>
      </text>
    </comment>
    <comment ref="AB86" authorId="123" shapeId="0" xr:uid="{CBD2FE59-7B39-4704-8A01-7CFC49EC9D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Solo en fin del Recorrido con sus fotos </t>
      </text>
    </comment>
    <comment ref="AD86" authorId="0" shapeId="0" xr:uid="{8C7A0E87-AE46-4389-9B1B-1A7194779CBC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Juan Basilio </t>
        </r>
      </text>
    </comment>
    <comment ref="AF86" authorId="0" shapeId="0" xr:uid="{68A03F19-74FD-4005-AA82-37D20BA357C8}">
      <text>
        <r>
          <rPr>
            <sz val="11"/>
            <color theme="1"/>
            <rFont val="Aptos Narrow"/>
            <family val="2"/>
            <scheme val="minor"/>
          </rPr>
          <t xml:space="preserve">Usuario desconocido:
Recorrido con el regional Juan y Francisco de Hoyos.
</t>
        </r>
      </text>
    </comment>
    <comment ref="AN86" authorId="124" shapeId="0" xr:uid="{49EB8F6C-3436-4D44-954C-83F77D1C34DF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F89" authorId="125" shapeId="0" xr:uid="{AB3AADD8-F3E4-4715-9C54-69374DDDF8E7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T89" authorId="1" shapeId="0" xr:uid="{B3E94705-880F-47C2-B21C-907D2242BF00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Divisional F. de Hoyos y Regional Juan Basilio</t>
        </r>
      </text>
    </comment>
    <comment ref="AA90" authorId="126" shapeId="0" xr:uid="{3B6EB7F5-1BA0-47FC-A895-C17371E19EE5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B90" authorId="127" shapeId="0" xr:uid="{0C7BB101-971D-48ED-9C84-56B6FC01C399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C90" authorId="128" shapeId="0" xr:uid="{6225DE43-57BF-4C9A-8437-4F59594326B0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I90" authorId="129" shapeId="0" xr:uid="{705CDA3E-60BE-4BC9-B43E-7875F26C5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T90" authorId="130" shapeId="0" xr:uid="{F7DBC067-77AF-4115-A080-143B6E155B49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AV90" authorId="131" shapeId="0" xr:uid="{24D8804B-554D-4A9B-AEE5-9D1EE634D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JO</t>
      </text>
    </comment>
    <comment ref="BB90" authorId="132" shapeId="0" xr:uid="{E5ED752E-F62F-404C-9EB6-0B8423E705BA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sin JO</t>
      </text>
    </comment>
    <comment ref="AB93" authorId="133" shapeId="0" xr:uid="{399B3E4E-4AA0-4D24-A156-24CBE7A0DEB8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foto de la vialidad, TOP Concluido con Adriana G.</t>
      </text>
    </comment>
    <comment ref="AR93" authorId="1" shapeId="0" xr:uid="{3989766B-B62A-4BAD-A2F0-DE5DA14495F6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la regional Adriana </t>
        </r>
      </text>
    </comment>
    <comment ref="Z95" authorId="0" shapeId="0" xr:uid="{ADE05798-F699-4777-A7E5-73E74A523A1E}">
      <text>
        <r>
          <rPr>
            <sz val="11"/>
            <color theme="1"/>
            <rFont val="Aptos Narrow"/>
            <family val="2"/>
            <scheme val="minor"/>
          </rPr>
          <t>Usuario desconocido:
Recorrido por Javir Guerra</t>
        </r>
      </text>
    </comment>
    <comment ref="AB95" authorId="134" shapeId="0" xr:uid="{2C55A0E9-8BBF-47AF-9BA2-35990D045828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D95" authorId="135" shapeId="0" xr:uid="{91DE9942-29E9-425D-8872-C3E3C21EC7BD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H95" authorId="136" shapeId="0" xr:uid="{3AA325D6-FCA0-4706-B779-577CAD14F1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sube el top completo </t>
      </text>
    </comment>
    <comment ref="AN95" authorId="137" shapeId="0" xr:uid="{A4721DAB-C4C8-41C9-84D2-01A3D137111C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Q95" authorId="138" shapeId="0" xr:uid="{5B83A534-245E-4190-AAE5-288EDE56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U95" authorId="139" shapeId="0" xr:uid="{07B7D3CD-C682-44ED-AB7D-8E91CF806111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sube dos fotos de su top</t>
      </text>
    </comment>
    <comment ref="Z96" authorId="0" shapeId="0" xr:uid="{907DCC96-09B8-424C-8033-F2057B1AF3E1}">
      <text>
        <r>
          <rPr>
            <sz val="11"/>
            <color theme="1"/>
            <rFont val="Aptos Narrow"/>
            <family val="2"/>
            <scheme val="minor"/>
          </rPr>
          <t>Usuario desconocido:
Recorrido por Javir Guerra</t>
        </r>
      </text>
    </comment>
    <comment ref="AA97" authorId="140" shapeId="0" xr:uid="{7D757431-2171-40A8-9D80-5CF2BB15D5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 Luis Álvarez </t>
      </text>
    </comment>
    <comment ref="AB97" authorId="141" shapeId="0" xr:uid="{0C926095-5C74-422B-8E93-E1737B1BEB97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C97" authorId="142" shapeId="0" xr:uid="{E2A86BF7-EB1B-492C-B6EB-B47903E67844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D97" authorId="143" shapeId="0" xr:uid="{705E81A2-C2CE-4341-A7E8-A6BCA8B35B8F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  <comment ref="AF97" authorId="144" shapeId="0" xr:uid="{EE9AED60-82BD-461D-839E-0621864326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I97" authorId="145" shapeId="0" xr:uid="{75422253-8A23-4738-B0CD-F3CDCFB6F415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 por Luis A.</t>
      </text>
    </comment>
    <comment ref="AT97" authorId="146" shapeId="0" xr:uid="{2255C7FB-9C41-42EA-8CD1-EE2CF9BADF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Recorrido por Luis Alvarez</t>
      </text>
    </comment>
    <comment ref="AW97" authorId="147" shapeId="0" xr:uid="{C72920D3-3D1E-46B5-8CB6-DBDEEDF7F1C6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por Luis A.</t>
      </text>
    </comment>
    <comment ref="AB98" authorId="148" shapeId="0" xr:uid="{245A7C89-BD1F-4028-9B22-DD745B9D9D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C98" authorId="149" shapeId="0" xr:uid="{F2D8F4E0-F408-4245-AEFD-6ACF99CBFD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E98" authorId="150" shapeId="0" xr:uid="{36EB027A-45E0-41EC-9866-2E0D7309A034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 con Claudia R.</t>
      </text>
    </comment>
    <comment ref="AF98" authorId="151" shapeId="0" xr:uid="{62D28F73-7E05-43C6-B5EC-108C919378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Concluido </t>
      </text>
    </comment>
    <comment ref="AN98" authorId="152" shapeId="0" xr:uid="{EA79B181-78D9-49AC-970A-FAA135027531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Concluido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Guadalupe Yasmin Arriaga Juache</author>
    <author>tc={24CCD3B5-B66E-4234-9D66-4E0F1CA92826}</author>
    <author>tc={1AC3FA1D-AC53-44B4-A5B2-3435B358E37E}</author>
    <author>tc={D137D22F-5870-4FF0-9D3C-F4D3569F165A}</author>
    <author>tc={B3E9A381-1280-449C-BB77-18E4C20B4233}</author>
    <author>tc={3154DE31-EE33-4F32-A3A4-5C5F18311965}</author>
    <author>tc={3109A4F9-9C22-4D3D-A7E0-9191EFDC50D3}</author>
    <author>tc={FBFCD789-1A73-48B0-B48B-7B4463EA93B5}</author>
    <author>tc={B8CE305F-1668-457F-9FDF-8F691A60A4D3}</author>
    <author>tc={49E1DD61-E43B-4B73-B8CF-DFA6F7FD0884}</author>
    <author>tc={4FDE6027-3071-4956-9309-8F50692A803D}</author>
    <author>tc={4DA11512-F7D1-450E-8592-28372B7589A9}</author>
    <author>tc={515A6018-5040-497F-A478-99536C74EA4F}</author>
    <author>tc={F17B05B7-0C78-443E-A982-47F8E6E5373E}</author>
    <author>tc={0FD4995B-9B84-43F6-AC80-9EE624CF9F1C}</author>
    <author>tc={5935422F-3610-4149-9DC3-9F392BC5D49D}</author>
    <author>tc={C7A67670-058F-4675-B72B-97960F244058}</author>
    <author>tc={72A66313-5A2D-48D6-B596-B5E3F3A44EF3}</author>
    <author>tc={661988DB-384B-445D-96AC-C11932567734}</author>
    <author>tc={31CE0F51-A32B-4796-82EF-7406B4ACFE86}</author>
    <author>tc={28A84D48-176D-4466-B5CB-8CD118C9587E}</author>
  </authors>
  <commentList>
    <comment ref="H3" authorId="0" shapeId="0" xr:uid="{8199E29F-D9F4-48F9-90C2-8A1A1A0EA868}">
      <text>
        <r>
          <rPr>
            <sz val="11"/>
            <color theme="1"/>
            <rFont val="Aptos Narrow"/>
            <family val="2"/>
            <scheme val="minor"/>
          </rPr>
          <t>Guadalupe Yasmin Arriaga Juache:
POR EL REGIONAL SERGIO, DE VACACIONES EL ADM.</t>
        </r>
      </text>
    </comment>
    <comment ref="I3" authorId="1" shapeId="0" xr:uid="{24CCD3B5-B66E-4234-9D66-4E0F1CA928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Vacaciones el administrador </t>
      </text>
    </comment>
    <comment ref="T3" authorId="0" shapeId="0" xr:uid="{FF42FE4E-DD7A-4D82-80BC-F36F7CEFD696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RICARDO </t>
        </r>
      </text>
    </comment>
    <comment ref="AH3" authorId="0" shapeId="0" xr:uid="{92017803-4855-4167-B0EB-B808A0884CA2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SERGIO 
</t>
        </r>
      </text>
    </comment>
    <comment ref="AN3" authorId="0" shapeId="0" xr:uid="{6D9583C8-A0F6-404E-84A9-B722F0083D0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SERGIO 
</t>
        </r>
      </text>
    </comment>
    <comment ref="Z4" authorId="0" shapeId="0" xr:uid="{DA663BB6-F0EA-4785-B34A-5DA3E46E633A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REGINAL SERGIO 
</t>
        </r>
      </text>
    </comment>
    <comment ref="L5" authorId="0" shapeId="0" xr:uid="{26E86770-844E-450A-BB93-1CBDAE114E1D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SERGIO</t>
        </r>
      </text>
    </comment>
    <comment ref="AL5" authorId="0" shapeId="0" xr:uid="{51D24DC0-1D5A-4DFE-8D8E-191E133B32F4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CLIENTE BIMBO POR EL REGIONAL SERGIO</t>
        </r>
      </text>
    </comment>
    <comment ref="X6" authorId="0" shapeId="0" xr:uid="{6BB09B0D-67AC-4DF2-8416-A32F6FAA2D8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SERGIO </t>
        </r>
      </text>
    </comment>
    <comment ref="BB10" authorId="0" shapeId="0" xr:uid="{4BD202C4-8B73-438E-A988-8D2175A9C25F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SERGIO</t>
        </r>
      </text>
    </comment>
    <comment ref="AV11" authorId="0" shapeId="0" xr:uid="{6B2180F6-B783-4ECE-B3F1-CB3511CC613B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POR EL REGIONAL SERGIO </t>
        </r>
      </text>
    </comment>
    <comment ref="AH16" authorId="0" shapeId="0" xr:uid="{660F23E6-5781-4986-A4A7-F3FA0F3D9E15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VACACIONES 
</t>
        </r>
      </text>
    </comment>
    <comment ref="H19" authorId="0" shapeId="0" xr:uid="{5CC19C64-C5B1-45A4-9604-93D2156A07F1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L19" authorId="0" shapeId="0" xr:uid="{C2A6CBA9-C7A5-42EA-A786-DABD1B31576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REGIONAL ROBERTO 
</t>
        </r>
      </text>
    </comment>
    <comment ref="X19" authorId="0" shapeId="0" xr:uid="{D2418C43-1429-4A84-9A8C-B289FEEA9EB6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</t>
        </r>
      </text>
    </comment>
    <comment ref="AL19" authorId="0" shapeId="0" xr:uid="{380C3ACF-42C2-454F-BBC6-BB71B380665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</t>
        </r>
      </text>
    </comment>
    <comment ref="AV19" authorId="0" shapeId="0" xr:uid="{9594CD30-1A99-4468-8828-441E9C413FD4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AH20" authorId="0" shapeId="0" xr:uid="{1AF6BA33-953C-418C-AB36-17EDC27FEE65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
</t>
        </r>
      </text>
    </comment>
    <comment ref="I28" authorId="0" shapeId="0" xr:uid="{8A9E515F-0082-4976-A7B9-50A50A5527CA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
</t>
        </r>
      </text>
    </comment>
    <comment ref="K28" authorId="0" shapeId="0" xr:uid="{8E744088-F06C-43AE-A032-62A476A1B948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REGINAL 
</t>
        </r>
      </text>
    </comment>
    <comment ref="U28" authorId="0" shapeId="0" xr:uid="{5D4D2D3A-7B50-4BEE-8953-A199C37BDCD2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</t>
        </r>
      </text>
    </comment>
    <comment ref="AA28" authorId="0" shapeId="0" xr:uid="{3E74A551-B676-444D-BFDD-A4C7C2DEB988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
</t>
        </r>
      </text>
    </comment>
    <comment ref="AB28" authorId="0" shapeId="0" xr:uid="{1BFEA2B5-B39C-465D-A4B8-A52B59C690ED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AI28" authorId="0" shapeId="0" xr:uid="{B9180B6B-9170-4480-B4FC-F90B4642675A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REGONAL 
ROBERTO
</t>
        </r>
      </text>
    </comment>
    <comment ref="AM28" authorId="0" shapeId="0" xr:uid="{6914106D-022B-40D1-A53D-E853F9297A6E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AV28" authorId="0" shapeId="0" xr:uid="{C5F0B0AA-0229-46F1-A84B-677E783CCD70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POR EL DIVISONAL JULIO</t>
        </r>
      </text>
    </comment>
    <comment ref="AW28" authorId="0" shapeId="0" xr:uid="{36FFFC5B-4FA4-4A6A-9A3D-B9BBDC43A72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</t>
        </r>
      </text>
    </comment>
    <comment ref="BC28" authorId="0" shapeId="0" xr:uid="{1335D4A9-F5BD-4CBA-81F7-087DC002E690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
</t>
        </r>
      </text>
    </comment>
    <comment ref="BE28" authorId="0" shapeId="0" xr:uid="{D50EEEF8-E570-48FF-81D0-3CCB5B500907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</t>
        </r>
      </text>
    </comment>
    <comment ref="N30" authorId="0" shapeId="0" xr:uid="{9B152F9D-7C6D-409D-8A0B-3637D06D82A6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ERIC</t>
        </r>
      </text>
    </comment>
    <comment ref="AH30" authorId="0" shapeId="0" xr:uid="{3379D8F5-1410-43C6-A213-6CB7BB646C8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ERIC </t>
        </r>
      </text>
    </comment>
    <comment ref="X31" authorId="0" shapeId="0" xr:uid="{8821D3D8-F3A2-4B30-A869-EE7B92EE0519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ERIC Y SEGURIDAD PATRIMONIAL </t>
        </r>
      </text>
    </comment>
    <comment ref="AB31" authorId="0" shapeId="0" xr:uid="{92BD43C6-0AAD-48C9-A389-F01880538309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ERIC</t>
        </r>
      </text>
    </comment>
    <comment ref="AL31" authorId="0" shapeId="0" xr:uid="{725E035B-54F7-481A-A5BE-76C4BF90867F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Eric 
</t>
        </r>
      </text>
    </comment>
    <comment ref="V32" authorId="0" shapeId="0" xr:uid="{14076E30-25DF-4217-973B-820E7D1F0682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ERIC
</t>
        </r>
      </text>
    </comment>
    <comment ref="L34" authorId="0" shapeId="0" xr:uid="{97447F0D-483F-49CD-AA18-9DE3F65DEA21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</t>
        </r>
      </text>
    </comment>
    <comment ref="M34" authorId="2" shapeId="0" xr:uid="{1AC3FA1D-AC53-44B4-A5B2-3435B358E37E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O34" authorId="0" shapeId="0" xr:uid="{6211440B-323A-4FCE-B98C-41FBCE7BA8F8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ERIC</t>
        </r>
      </text>
    </comment>
    <comment ref="AN34" authorId="0" shapeId="0" xr:uid="{E2845748-7F32-47A0-9088-9FD716FF9942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ERIC
</t>
        </r>
      </text>
    </comment>
    <comment ref="AZ34" authorId="0" shapeId="0" xr:uid="{2EDCDCC3-BC4C-4096-8C82-D54F211FC6AF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ERIC</t>
        </r>
      </text>
    </comment>
    <comment ref="Y35" authorId="0" shapeId="0" xr:uid="{EC6CAE8F-B15B-4025-B1DD-ACD8FCA2EEC1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ERIC </t>
        </r>
      </text>
    </comment>
    <comment ref="BD35" authorId="0" shapeId="0" xr:uid="{109C63A6-9E62-4D8D-9A09-45DA5D88DD60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ERIC</t>
        </r>
      </text>
    </comment>
    <comment ref="H36" authorId="3" shapeId="0" xr:uid="{D137D22F-5870-4FF0-9D3C-F4D3569F16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L36" authorId="4" shapeId="0" xr:uid="{B3E9A381-1280-449C-BB77-18E4C20B4233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 INCAPACIDAD ADM</t>
      </text>
    </comment>
    <comment ref="T36" authorId="5" shapeId="0" xr:uid="{3154DE31-EE33-4F32-A3A4-5C5F18311965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U36" authorId="0" shapeId="0" xr:uid="{D3CCC131-780F-489E-9D6A-305F67FC5C0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POR EL REGIONAL ERIC
</t>
        </r>
      </text>
    </comment>
    <comment ref="H41" authorId="0" shapeId="0" xr:uid="{4A184F6B-1425-4FA6-8757-AACFF12311EA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POR EL REGIONAL SALVADOR </t>
        </r>
      </text>
    </comment>
    <comment ref="K41" authorId="0" shapeId="0" xr:uid="{1F2E141C-E949-4D3A-86A4-9E436248DAF3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Y DIVISIONAL </t>
        </r>
      </text>
    </comment>
    <comment ref="V41" authorId="0" shapeId="0" xr:uid="{42B2D573-E35B-4ADD-AC93-07A34F829FAE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RECORRDIDO CON EL REGINAL SALVADOR 
</t>
        </r>
      </text>
    </comment>
    <comment ref="W41" authorId="0" shapeId="0" xr:uid="{37370B21-3EE3-41EE-9908-EBDC49A78051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Y DIVISIONAL RODRIGO 
</t>
        </r>
      </text>
    </comment>
    <comment ref="X41" authorId="0" shapeId="0" xr:uid="{B5953EAE-DA84-4C77-BA77-FFC83138CFBD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SP</t>
        </r>
      </text>
    </comment>
    <comment ref="Y41" authorId="0" shapeId="0" xr:uid="{1C1EF8BB-88B7-41F4-8B89-38F9F935A39E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DIVISIONAL RODRIGO TELLEZ </t>
        </r>
      </text>
    </comment>
    <comment ref="AA41" authorId="0" shapeId="0" xr:uid="{94FD19E2-2DC4-4904-B4F4-ED39150BA39A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DIVISIONAL RODRIGO TELLEZ</t>
        </r>
      </text>
    </comment>
    <comment ref="AZ41" authorId="0" shapeId="0" xr:uid="{8CC4F20F-F6B2-4774-BCD3-AF6E702557B0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por el regional salbador y el divisional rodrigo 
</t>
        </r>
      </text>
    </comment>
    <comment ref="AJ42" authorId="0" shapeId="0" xr:uid="{75378CA5-0D4B-464D-95EA-17AB887CA631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SP</t>
        </r>
      </text>
    </comment>
    <comment ref="BD43" authorId="0" shapeId="0" xr:uid="{F6385B16-E448-4A44-A304-AAF01D2298B0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SP</t>
        </r>
      </text>
    </comment>
    <comment ref="AB45" authorId="0" shapeId="0" xr:uid="{80209DE0-A276-488A-BE6C-1790B592C570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SALVADOR </t>
        </r>
      </text>
    </comment>
    <comment ref="J46" authorId="0" shapeId="0" xr:uid="{6CD4A4E3-EF3E-405D-8566-8BF49EC716AE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SP
</t>
        </r>
      </text>
    </comment>
    <comment ref="V46" authorId="0" shapeId="0" xr:uid="{B227DB4A-AEBE-4020-9F44-A770D8C06707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GUILLERMO 
</t>
        </r>
      </text>
    </comment>
    <comment ref="AQ46" authorId="0" shapeId="0" xr:uid="{1A9429CE-2CAC-4FD2-BD8B-E6FD33400AA3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POR EL REGIONAL GUILLERMO </t>
        </r>
      </text>
    </comment>
    <comment ref="AP48" authorId="0" shapeId="0" xr:uid="{2FD20552-8208-422A-9F8B-F812E8F12EFE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REGINAL GUILLERMO</t>
        </r>
      </text>
    </comment>
    <comment ref="W53" authorId="0" shapeId="0" xr:uid="{7C268A47-E9F5-4F2D-8E6D-9A7A0728B853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GUILLERMO
</t>
        </r>
      </text>
    </comment>
    <comment ref="AL53" authorId="0" shapeId="0" xr:uid="{9CDAEC5C-F8C5-4FBD-9969-C7FBDCF1948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GUILLERMO
</t>
        </r>
      </text>
    </comment>
    <comment ref="AL55" authorId="0" shapeId="0" xr:uid="{28EEB68D-3E6E-4DCD-BBD6-2EB65026C8AE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GUILLERMO </t>
        </r>
      </text>
    </comment>
    <comment ref="AW55" authorId="0" shapeId="0" xr:uid="{94511670-1764-4DD9-B8A1-9A8FC2E27EA2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REGONAL GUILLERMO</t>
        </r>
      </text>
    </comment>
    <comment ref="K56" authorId="0" shapeId="0" xr:uid="{A50FA0BD-EF2F-4875-B446-137E8AAD64C9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
</t>
        </r>
      </text>
    </comment>
    <comment ref="J58" authorId="6" shapeId="0" xr:uid="{3109A4F9-9C22-4D3D-A7E0-9191EFDC50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X59" authorId="0" shapeId="0" xr:uid="{D0C82E4E-E2DC-4A7A-82CB-2EE6FD6539C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GUILLERMO </t>
        </r>
      </text>
    </comment>
    <comment ref="AS62" authorId="0" shapeId="0" xr:uid="{6C0FF23A-BF69-491C-ACBC-21182A0BE1B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POR EL DIVISIONAL RODRIGO </t>
        </r>
      </text>
    </comment>
    <comment ref="J63" authorId="0" shapeId="0" xr:uid="{0D447895-775B-4805-983B-951B18ACCF0F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SP
</t>
        </r>
      </text>
    </comment>
    <comment ref="J64" authorId="7" shapeId="0" xr:uid="{FBFCD789-1A73-48B0-B48B-7B4463EA93B5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O64" authorId="0" shapeId="0" xr:uid="{29373182-5FCE-47B1-A6A3-4728EADFC9A0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DIVISIONAL RODRIGO MONTERO </t>
        </r>
      </text>
    </comment>
    <comment ref="T64" authorId="8" shapeId="0" xr:uid="{B8CE305F-1668-457F-9FDF-8F691A60A4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JO </t>
      </text>
    </comment>
    <comment ref="AJ65" authorId="0" shapeId="0" xr:uid="{2441F839-AB3E-4215-891C-69388E4708EE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DIVISONAL RODRIGO MONTERO</t>
        </r>
      </text>
    </comment>
    <comment ref="BA65" authorId="0" shapeId="0" xr:uid="{8DC6A07A-D8E6-40B3-946B-58A33E4E3EAA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RECORRDIO POR EL DIVISIONAL RODRIGO MONTERO </t>
        </r>
      </text>
    </comment>
    <comment ref="H66" authorId="0" shapeId="0" xr:uid="{71BC7F4F-8957-4C4D-89D0-2F24AD435893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NOE
</t>
        </r>
      </text>
    </comment>
    <comment ref="J66" authorId="9" shapeId="0" xr:uid="{49E1DD61-E43B-4B73-B8CF-DFA6F7FD0884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L66" authorId="0" shapeId="0" xr:uid="{97A668D4-33FA-40DE-A89B-C9B7968F331E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DIVISIONAL 
</t>
        </r>
      </text>
    </comment>
    <comment ref="M66" authorId="10" shapeId="0" xr:uid="{4FDE6027-3071-4956-9309-8F50692A80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JO </t>
      </text>
    </comment>
    <comment ref="A70" authorId="11" shapeId="0" xr:uid="{4DA11512-F7D1-450E-8592-28372B7589A9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figura responsiva, pero se administra por clientes.</t>
      </text>
    </comment>
    <comment ref="AZ74" authorId="0" shapeId="0" xr:uid="{F2D08918-0665-476E-990A-1BC075310244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SP</t>
        </r>
      </text>
    </comment>
    <comment ref="H76" authorId="12" shapeId="0" xr:uid="{515A6018-5040-497F-A478-99536C74EA4F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I76" authorId="0" shapeId="0" xr:uid="{347C2F98-C295-417F-A1D1-E5D756562419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FRANCISCO ROSAS 
</t>
        </r>
      </text>
    </comment>
    <comment ref="M76" authorId="13" shapeId="0" xr:uid="{F17B05B7-0C78-443E-A982-47F8E6E53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D76" authorId="14" shapeId="0" xr:uid="{0FD4995B-9B84-43F6-AC80-9EE624CF9F1C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BD76" authorId="0" shapeId="0" xr:uid="{AB70E016-8679-4E97-AED6-BE0FE90C2406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FRANCISCO ROSAS
</t>
        </r>
      </text>
    </comment>
    <comment ref="H77" authorId="15" shapeId="0" xr:uid="{5935422F-3610-4149-9DC3-9F392BC5D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M77" authorId="16" shapeId="0" xr:uid="{C7A67670-058F-4675-B72B-97960F244058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N77" authorId="17" shapeId="0" xr:uid="{72A66313-5A2D-48D6-B596-B5E3F3A44EF3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P77" authorId="18" shapeId="0" xr:uid="{661988DB-384B-445D-96AC-C119325677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T77" authorId="19" shapeId="0" xr:uid="{31CE0F51-A32B-4796-82EF-7406B4ACF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JO</t>
      </text>
    </comment>
    <comment ref="AH78" authorId="0" shapeId="0" xr:uid="{CD3D3E49-04B3-4C36-8A69-7ABBA2712C0B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FRANCISCO Y EL DIVISIONAL RODOLFO
</t>
        </r>
      </text>
    </comment>
    <comment ref="H79" authorId="0" shapeId="0" xr:uid="{D4CB53D8-B24A-4D76-9179-7A27C0D785BA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DIVISIONAL Y REGIONAL </t>
        </r>
      </text>
    </comment>
    <comment ref="AZ79" authorId="0" shapeId="0" xr:uid="{B6AF6C8B-92F4-49A4-9081-0B90BAB7E459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DIVISIONAL RODOLFO </t>
        </r>
      </text>
    </comment>
    <comment ref="N80" authorId="0" shapeId="0" xr:uid="{E48CE6B1-8088-4FC3-82D1-9090A0C17165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
FRANCISCO 
</t>
        </r>
      </text>
    </comment>
    <comment ref="T80" authorId="0" shapeId="0" xr:uid="{741C52AD-07DB-4E6D-8E61-64C84853254D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FRANCISCO Y DIVISIONAL RODOLFO 
</t>
        </r>
      </text>
    </comment>
    <comment ref="AL81" authorId="0" shapeId="0" xr:uid="{736C1E45-3002-452B-A36A-0BB2D6ECC903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JUAN Y DIVISIONAL FRANCISCO 
</t>
        </r>
      </text>
    </comment>
    <comment ref="AV82" authorId="0" shapeId="0" xr:uid="{29EBE9B5-5E02-43CD-BB02-744F409DC2F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REGINAL JUAN Y DIVISIONAL FRANCISCO </t>
        </r>
      </text>
    </comment>
    <comment ref="Z89" authorId="0" shapeId="0" xr:uid="{839A2230-F67C-4E82-BEB4-7C6E87C6EA4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DIVISIONAL FRANCISCO Y REGIONAL JUAN 
</t>
        </r>
      </text>
    </comment>
    <comment ref="K95" authorId="0" shapeId="0" xr:uid="{4F2AF940-38D4-4D85-85B5-1F783A975DC6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SP
</t>
        </r>
      </text>
    </comment>
    <comment ref="L96" authorId="20" shapeId="0" xr:uid="{28A84D48-176D-4466-B5CB-8CD118C958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ENVIA TOP INCOMPLETO, SOLO DOS FOTOS 
</t>
      </text>
    </comment>
    <comment ref="U96" authorId="0" shapeId="0" xr:uid="{45E2D95C-7FD7-48C9-9CEC-6A8C9072D441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ADRIANA GARZON 
</t>
        </r>
      </text>
    </comment>
    <comment ref="V96" authorId="0" shapeId="0" xr:uid="{F5C4E61E-A350-4A47-8FCA-85F34FEEA70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NO SUBE FOTOS DE INICIO 
</t>
        </r>
      </text>
    </comment>
    <comment ref="L99" authorId="0" shapeId="0" xr:uid="{40CCB5DF-3357-4CAA-B18A-BAE33CDA32BD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SP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tc={82A15E31-9545-4E25-B504-0E7E74186B5E}</author>
  </authors>
  <commentList>
    <comment ref="A70" authorId="0" shapeId="0" xr:uid="{82A15E31-9545-4E25-B504-0E7E74186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figura responsiva, pero se administra por clientes.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Guadalupe Yasmin Arriaga Juache</author>
    <author>tc={834A4F1B-4481-4F62-856D-3C11126D9449}</author>
  </authors>
  <commentList>
    <comment ref="F3" authorId="0" shapeId="0" xr:uid="{AD9D8F98-F98B-4A80-9D23-ADA6489A407F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REGIONAL SERGIO
</t>
        </r>
      </text>
    </comment>
    <comment ref="T19" authorId="0" shapeId="0" xr:uid="{154636C7-6F45-4340-8B4E-B58BDBA0F2A4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</t>
        </r>
      </text>
    </comment>
    <comment ref="AB19" authorId="0" shapeId="0" xr:uid="{F99B8A7B-AD45-4C06-882A-2299E5605D09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V20" authorId="0" shapeId="0" xr:uid="{CD477C63-C42A-4236-95F8-80EAE599C55E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</t>
        </r>
      </text>
    </comment>
    <comment ref="X21" authorId="0" shapeId="0" xr:uid="{27B0CCD9-BCE7-4AC2-A39C-EE95A520AA07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H23" authorId="0" shapeId="0" xr:uid="{111EFFC8-8927-4C0E-8BCE-3CF6C46E2748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REGINAL ROBERTO 
</t>
        </r>
      </text>
    </comment>
    <comment ref="Z26" authorId="0" shapeId="0" xr:uid="{03F61450-D2B5-4584-A168-0CC2767BD46E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G28" authorId="0" shapeId="0" xr:uid="{8B81F273-AD10-49E1-B2E7-0A51CC013F3E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O28" authorId="0" shapeId="0" xr:uid="{88B5C3AC-D3D2-4769-AE17-F9D16F8891DB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roberto </t>
        </r>
      </text>
    </comment>
    <comment ref="U28" authorId="0" shapeId="0" xr:uid="{4C0DB548-1C3F-4340-A8AC-7545697D9127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W28" authorId="0" shapeId="0" xr:uid="{E0AC6EBE-D4F0-4193-BB7D-DAC421A88595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Y28" authorId="0" shapeId="0" xr:uid="{B6C05FFE-DC31-4E52-8B11-4B49F3E94209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AA28" authorId="0" shapeId="0" xr:uid="{A6651BEB-4BDE-4BF3-8D27-376B4E4E3B96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AC28" authorId="0" shapeId="0" xr:uid="{499E8972-7115-4BC3-81E5-9E1D0FBC2ED0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ROBERTO</t>
        </r>
      </text>
    </comment>
    <comment ref="P29" authorId="0" shapeId="0" xr:uid="{746032EE-1413-4D16-8E3C-37409AFCDB01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REGINAL ROBERTO 
</t>
        </r>
      </text>
    </comment>
    <comment ref="AB31" authorId="0" shapeId="0" xr:uid="{76E684C9-9143-49BB-8F38-19ECDD19F47A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ERIC</t>
        </r>
      </text>
    </comment>
    <comment ref="U35" authorId="0" shapeId="0" xr:uid="{D7E8CAF1-1E42-4365-9E3C-3E8A30FD6BAF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ERIC </t>
        </r>
      </text>
    </comment>
    <comment ref="H36" authorId="0" shapeId="0" xr:uid="{EEC1CE68-ACAA-46C2-ADA0-BAA8BFD7D3ED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POR EL REGIONAL ERIC</t>
        </r>
      </text>
    </comment>
    <comment ref="W38" authorId="0" shapeId="0" xr:uid="{17880F07-8FE2-419F-9218-8C38D4D77806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SALVADOR
</t>
        </r>
      </text>
    </comment>
    <comment ref="H42" authorId="0" shapeId="0" xr:uid="{6492BAFD-F626-4283-9626-5D7914D7AC5B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Salvador 
</t>
        </r>
      </text>
    </comment>
    <comment ref="X44" authorId="0" shapeId="0" xr:uid="{E3D9CCF6-DFF1-4DEE-A1E0-48366C246F59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SLAVADOR </t>
        </r>
      </text>
    </comment>
    <comment ref="Z44" authorId="0" shapeId="0" xr:uid="{F1CAFE2E-74DF-4B58-BC0F-4E1473A95E66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SALVADOR </t>
        </r>
      </text>
    </comment>
    <comment ref="AJ44" authorId="0" shapeId="0" xr:uid="{10AF69DA-6D66-4DEF-995C-CBC16CA3D7D4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SALVADOR</t>
        </r>
      </text>
    </comment>
    <comment ref="W54" authorId="0" shapeId="0" xr:uid="{6D083693-F289-421A-B8BA-607FB518BEC4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GUILLERMO</t>
        </r>
      </text>
    </comment>
    <comment ref="G55" authorId="0" shapeId="0" xr:uid="{EA64A4ED-6150-408B-B6B0-7CBE3F6CC41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REGINAL GUILLERMO 
</t>
        </r>
      </text>
    </comment>
    <comment ref="H55" authorId="0" shapeId="0" xr:uid="{A240DAC2-7312-4E64-84E7-6A9EBC1E84D2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REGINAL GUILLERMO</t>
        </r>
      </text>
    </comment>
    <comment ref="Z55" authorId="0" shapeId="0" xr:uid="{78BA4470-2116-4FD4-99E5-1B028996B5F7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REGINAL GUILLERMO</t>
        </r>
      </text>
    </comment>
    <comment ref="U56" authorId="0" shapeId="0" xr:uid="{A5389416-28CB-4BDF-B514-5A072B49DB6B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GUILLERMO</t>
        </r>
      </text>
    </comment>
    <comment ref="X61" authorId="0" shapeId="0" xr:uid="{E650410B-4F0C-4C02-AA22-54091A87F73E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SANTIAGO</t>
        </r>
      </text>
    </comment>
    <comment ref="AB61" authorId="0" shapeId="0" xr:uid="{96EE04C0-7BE2-49EA-BF2F-6290F44E2230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SANTIAGO</t>
        </r>
      </text>
    </comment>
    <comment ref="AJ61" authorId="0" shapeId="0" xr:uid="{0B6FEB8B-458C-43FB-AFDE-4890B4BFBD97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SANTIAGO</t>
        </r>
      </text>
    </comment>
    <comment ref="T63" authorId="0" shapeId="0" xr:uid="{7DAD26A0-A17D-497F-A1FF-CD89EAB18FE7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REGIONAL NOE </t>
        </r>
      </text>
    </comment>
    <comment ref="AA63" authorId="0" shapeId="0" xr:uid="{83D35EC0-679C-43D3-B473-E302FD5BC7E4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POR EL DIVISIONAL RODRIGO MONTERO</t>
        </r>
      </text>
    </comment>
    <comment ref="AA64" authorId="0" shapeId="0" xr:uid="{FE4149CF-F6D0-4260-AFA4-480C38237A87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NOE</t>
        </r>
      </text>
    </comment>
    <comment ref="X66" authorId="0" shapeId="0" xr:uid="{02C6450F-6B7B-4CFD-82D6-5DF1A81A79CC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SP Y REGINAL NOE </t>
        </r>
      </text>
    </comment>
    <comment ref="H68" authorId="0" shapeId="0" xr:uid="{55637A05-0F4A-4E18-8BB6-BC94815C3829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REGIONAL RICRADO Y JUAN MUÑOZ</t>
        </r>
      </text>
    </comment>
    <comment ref="A70" authorId="1" shapeId="0" xr:uid="{834A4F1B-4481-4F62-856D-3C11126D9449}">
      <text>
        <t>[Threaded comment]
Your version of Excel allows you to read this threaded comment; however, any edits to it will get removed if the file is opened in a newer version of Excel. Learn more: https://go.microsoft.com/fwlink/?linkid=870924
Comment:
    Solo figura responsiva, pero se administra por clientes.</t>
      </text>
    </comment>
    <comment ref="AC74" authorId="0" shapeId="0" xr:uid="{43D2B80F-6A41-4B82-8F32-54576EFB31B8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RICARDO</t>
        </r>
      </text>
    </comment>
    <comment ref="T76" authorId="0" shapeId="0" xr:uid="{C08A54AB-2653-4484-88F5-3CECEEFC3041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RODOLFO DIVISIONAL </t>
        </r>
      </text>
    </comment>
    <comment ref="AJ76" authorId="0" shapeId="0" xr:uid="{D6702B05-5C96-4B62-ADD3-761313FAC2BA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FRANCISCO Y DIVISIONAL RODOLFO
</t>
        </r>
      </text>
    </comment>
    <comment ref="F79" authorId="0" shapeId="0" xr:uid="{17B6CD88-53D9-4C3C-AA6C-7D6133759976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DIVISIONAL RODOLFO 
</t>
        </r>
      </text>
    </comment>
    <comment ref="X82" authorId="0" shapeId="0" xr:uid="{5521AD19-CDA0-4980-B47B-6A566648AEAD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 JUAN Y DIVISIONAL FRANCISCO</t>
        </r>
      </text>
    </comment>
    <comment ref="W95" authorId="0" shapeId="0" xr:uid="{66B4FE08-DA34-419F-BBFA-873724E5A38D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ADRIANA </t>
        </r>
      </text>
    </comment>
    <comment ref="Z96" authorId="0" shapeId="0" xr:uid="{306D3EE8-37AF-4FCD-80FE-C6D1A98402D1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</t>
        </r>
      </text>
    </comment>
    <comment ref="AJ96" authorId="0" shapeId="0" xr:uid="{F24C3A1A-72E7-42C6-8498-4CFB9A28587B}">
      <text>
        <r>
          <rPr>
            <sz val="11"/>
            <color theme="1"/>
            <rFont val="Aptos Narrow"/>
            <family val="2"/>
            <scheme val="minor"/>
          </rPr>
          <t xml:space="preserve">Guadalupe Yasmin Arriaga Juache:
RECORRIDO CON EL REGIONAL </t>
        </r>
      </text>
    </comment>
    <comment ref="AB98" authorId="0" shapeId="0" xr:uid="{F3CB9327-EE00-4375-90DF-BE6704D918BD}">
      <text>
        <r>
          <rPr>
            <sz val="11"/>
            <color theme="1"/>
            <rFont val="Aptos Narrow"/>
            <family val="2"/>
            <scheme val="minor"/>
          </rPr>
          <t>Guadalupe Yasmin Arriaga Juache:
RECORRIDO CON EL REGIONAL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tc={F46A8BAD-01AE-457C-B590-634C6FD20C7D}</author>
    <author>tc={0FEBA16E-8CA8-407E-860A-F14C66BD693A}</author>
    <author>tc={0ED8EF82-BA49-483E-A329-63580670B3BA}</author>
    <author>tc={3C417955-0E9E-4FC1-A8EF-3E9D0FF56595}</author>
    <author>tc={0B764B00-F545-47CC-817B-4C25FE5BC938}</author>
    <author>tc={7E85E188-A67D-4C59-A7C2-2FFB6AE30787}</author>
    <author>tc={B5717A1A-3711-456B-92AD-EFB4CF0AD9E0}</author>
  </authors>
  <commentList>
    <comment ref="D19" authorId="0" shapeId="0" xr:uid="{F46A8BAD-01AE-457C-B590-634C6FD20C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REGIONAL TOP A LAS 9:39</t>
      </text>
    </comment>
    <comment ref="D32" authorId="1" shapeId="0" xr:uid="{0FEBA16E-8CA8-407E-860A-F14C66BD69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DETECTO INCIDENCIA  ROTO MURO PERIMETRAL POR OBRAS DEL MUNICIPIO </t>
      </text>
    </comment>
    <comment ref="AF35" authorId="2" shapeId="0" xr:uid="{0ED8EF82-BA49-483E-A329-63580670B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 VACACIONES
</t>
      </text>
    </comment>
    <comment ref="D38" authorId="3" shapeId="0" xr:uid="{3C417955-0E9E-4FC1-A8EF-3E9D0FF565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 REGIONAL 
</t>
      </text>
    </comment>
    <comment ref="D76" authorId="4" shapeId="0" xr:uid="{0B764B00-F545-47CC-817B-4C25FE5BC9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CON DIVISIONAL A LAS 9:31
</t>
      </text>
    </comment>
    <comment ref="E81" authorId="5" shapeId="0" xr:uid="{7E85E188-A67D-4C59-A7C2-2FFB6AE30787}">
      <text>
        <t>[Threaded comment]
Your version of Excel allows you to read this threaded comment; however, any edits to it will get removed if the file is opened in a newer version of Excel. Learn more: https://go.microsoft.com/fwlink/?linkid=870924
Comment:
    JO</t>
      </text>
    </comment>
    <comment ref="AF87" authorId="6" shapeId="0" xr:uid="{B5717A1A-3711-456B-92AD-EFB4CF0AD9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 PROBLEMA PERSONAL REGIONAL REALIZA TOP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tc={5ACAEEC7-65CF-49F3-8760-74E930B7C4DA}</author>
    <author>tc={DC2D61F0-F6F7-47BE-914A-24529362542A}</author>
  </authors>
  <commentList>
    <comment ref="AF40" authorId="0" shapeId="0" xr:uid="{5ACAEEC7-65CF-49F3-8760-74E930B7C4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 VACACIONES
</t>
      </text>
    </comment>
    <comment ref="AF87" authorId="1" shapeId="0" xr:uid="{DC2D61F0-F6F7-47BE-914A-2452936254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 PROBLEMA PERSONAL REGIONAL REALIZA TOP </t>
      </text>
    </comment>
  </commentList>
</comments>
</file>

<file path=xl/sharedStrings.xml><?xml version="1.0" encoding="utf-8"?>
<sst xmlns="http://schemas.openxmlformats.org/spreadsheetml/2006/main" count="12147" uniqueCount="732">
  <si>
    <t>REGION</t>
  </si>
  <si>
    <t>ADMINISTRADOR</t>
  </si>
  <si>
    <t>UNIDAD DE NEGOCIO</t>
  </si>
  <si>
    <t>M</t>
  </si>
  <si>
    <t>V</t>
  </si>
  <si>
    <t>R1</t>
  </si>
  <si>
    <t>ALFREDO OLVERA</t>
  </si>
  <si>
    <t>AZCAPOPARK</t>
  </si>
  <si>
    <t>VALLEJO PARK</t>
  </si>
  <si>
    <t>MARTIN BAUME</t>
  </si>
  <si>
    <t>GB</t>
  </si>
  <si>
    <t>CEYLAN</t>
  </si>
  <si>
    <t>100 METROS</t>
  </si>
  <si>
    <t>PINO</t>
  </si>
  <si>
    <t>VALLEJO 1746</t>
  </si>
  <si>
    <t>JAIR ABRAHAM GONZALEZ</t>
  </si>
  <si>
    <t>TLANE PARK III</t>
  </si>
  <si>
    <t>VIA MORELOS</t>
  </si>
  <si>
    <t>TLANE PARK V</t>
  </si>
  <si>
    <t>VALLEJO 2000</t>
  </si>
  <si>
    <t>LA PRESA</t>
  </si>
  <si>
    <t>CHIQUIHUITE (WALMART)</t>
  </si>
  <si>
    <t>GEOVANI PEÑA</t>
  </si>
  <si>
    <t>LOS REYES</t>
  </si>
  <si>
    <t>IXTAPALUCA</t>
  </si>
  <si>
    <t>IZTAPALAPA</t>
  </si>
  <si>
    <t>R2</t>
  </si>
  <si>
    <t>OMAR SANCHEZ</t>
  </si>
  <si>
    <t>TULTI PARK I</t>
  </si>
  <si>
    <t>ARTURO ESPINOSA</t>
  </si>
  <si>
    <t>JAMES WATT</t>
  </si>
  <si>
    <t>ARTURO VALERIO</t>
  </si>
  <si>
    <t>LA PALMA</t>
  </si>
  <si>
    <t>LA JOYA I Y II</t>
  </si>
  <si>
    <t>LA JOYA III</t>
  </si>
  <si>
    <t>LA JOYA IV</t>
  </si>
  <si>
    <t>LA JOYA V</t>
  </si>
  <si>
    <t>DIAMANTE</t>
  </si>
  <si>
    <t>PUMA</t>
  </si>
  <si>
    <t>MONSERRAT ESQUIVEL</t>
  </si>
  <si>
    <t>TULTITLAN I</t>
  </si>
  <si>
    <t>RAFAEL PONCE</t>
  </si>
  <si>
    <t>TULTITLAN II</t>
  </si>
  <si>
    <t>R3</t>
  </si>
  <si>
    <t>CARLOS A. CARRILLO</t>
  </si>
  <si>
    <t>TULTI PARK II</t>
  </si>
  <si>
    <t>IVAN GONZALEZ</t>
  </si>
  <si>
    <t>TULTI PARK III</t>
  </si>
  <si>
    <t>ANDREA F. MIRANDA</t>
  </si>
  <si>
    <t>TULTI PARK IV</t>
  </si>
  <si>
    <t>COACALCO</t>
  </si>
  <si>
    <t>MARCO A. CERVANTES</t>
  </si>
  <si>
    <t>MEXIQUENSE</t>
  </si>
  <si>
    <t>COACALCO II</t>
  </si>
  <si>
    <t>PAOLA S. ANSELMO</t>
  </si>
  <si>
    <t>TULTE PARK</t>
  </si>
  <si>
    <t>R4</t>
  </si>
  <si>
    <t>JESUS BECERRA</t>
  </si>
  <si>
    <t>LAGO I</t>
  </si>
  <si>
    <t>LAGO II</t>
  </si>
  <si>
    <t>EDGAR S. MARQUEZ</t>
  </si>
  <si>
    <t>LAGO III</t>
  </si>
  <si>
    <t>FUNO CENTER</t>
  </si>
  <si>
    <t>ANTONIO MARTINEZ</t>
  </si>
  <si>
    <t>SMO I</t>
  </si>
  <si>
    <t>SMO II</t>
  </si>
  <si>
    <t>GERARDO ALONSO</t>
  </si>
  <si>
    <t>SMO III</t>
  </si>
  <si>
    <t>JULIO CESAR NERI</t>
  </si>
  <si>
    <t>TLANE PARK IV/ BARRIENTOS II</t>
  </si>
  <si>
    <t>JOSUE GUADARRAMA</t>
  </si>
  <si>
    <t>ATIZAPAN PARK</t>
  </si>
  <si>
    <t>R5</t>
  </si>
  <si>
    <t>JUAN C. HERNANDEZ</t>
  </si>
  <si>
    <t>TEPOZOTLAN PARK</t>
  </si>
  <si>
    <t>TEPOZOTLAN (CONVENTO).</t>
  </si>
  <si>
    <t>DIEGO GARCIA</t>
  </si>
  <si>
    <t>CUAUTI PARK II</t>
  </si>
  <si>
    <t>CUAUTI PARK III</t>
  </si>
  <si>
    <t>PUENTE GRANDE I</t>
  </si>
  <si>
    <t>PUENTE GRANDE II</t>
  </si>
  <si>
    <t>TAJUELOS II</t>
  </si>
  <si>
    <t>GUSTAVO R. VARGAS</t>
  </si>
  <si>
    <t>SAN JOSE</t>
  </si>
  <si>
    <t>TEPOZ PARK II</t>
  </si>
  <si>
    <t>ALLAN A. GONZALEZ</t>
  </si>
  <si>
    <t>TEPOZ PARK III</t>
  </si>
  <si>
    <t>TEPOZ PARK IV</t>
  </si>
  <si>
    <t>TEPOZ PARK V</t>
  </si>
  <si>
    <t>PABLO REYES</t>
  </si>
  <si>
    <t>TEOLO PARK</t>
  </si>
  <si>
    <t>ANAHI CALLEJAS</t>
  </si>
  <si>
    <t>TEPEJI PARK</t>
  </si>
  <si>
    <t>PARQUE INDUSTRIAL TEPEJI.</t>
  </si>
  <si>
    <t>T-EMEX</t>
  </si>
  <si>
    <t>JOSE LUIS GARCIA</t>
  </si>
  <si>
    <t>T-MEX PARK</t>
  </si>
  <si>
    <t>R6</t>
  </si>
  <si>
    <t>ANA BRITO</t>
  </si>
  <si>
    <t>QUERETARO PARK III</t>
  </si>
  <si>
    <t>ERIKA TREJO</t>
  </si>
  <si>
    <t>QUERETARO PARK IV</t>
  </si>
  <si>
    <t>MARIANO D. LORENZO</t>
  </si>
  <si>
    <t>QUERETARO PARK V</t>
  </si>
  <si>
    <t>QUERETARO PARK VI</t>
  </si>
  <si>
    <t>RODRIGO CERVANTES LUGO</t>
  </si>
  <si>
    <t>QUERETARO PARK VII</t>
  </si>
  <si>
    <t>EL MARQUÉS</t>
  </si>
  <si>
    <t>R7</t>
  </si>
  <si>
    <t>EMANUEL MARISCAL</t>
  </si>
  <si>
    <t>LERMA PARK</t>
  </si>
  <si>
    <t>ESCATO</t>
  </si>
  <si>
    <t>CHRISTAN E. MARQUEZ</t>
  </si>
  <si>
    <t>DOÑA ROSA</t>
  </si>
  <si>
    <t>LERMA PARK II</t>
  </si>
  <si>
    <t>OMAR HIDALGO</t>
  </si>
  <si>
    <t>POLARIS</t>
  </si>
  <si>
    <t>NOE E. MARTINEZ</t>
  </si>
  <si>
    <t>MARAVILLAS</t>
  </si>
  <si>
    <t>FERNANDO ROBLES</t>
  </si>
  <si>
    <t>TOLUCA PARK II (SANTIN)</t>
  </si>
  <si>
    <t>RAUL MARISCAL</t>
  </si>
  <si>
    <t>TOLUCA PARK III (LA Y)</t>
  </si>
  <si>
    <t>R8</t>
  </si>
  <si>
    <t>J. MARTIN SALAZAR</t>
  </si>
  <si>
    <t>TLAQUE PARK</t>
  </si>
  <si>
    <t>FRANCISCO O. ROSAS</t>
  </si>
  <si>
    <t>GUADALAJARA PARK</t>
  </si>
  <si>
    <t>GUILLERMO ROCHA</t>
  </si>
  <si>
    <t>EL SALTO PARK</t>
  </si>
  <si>
    <t>F. TONATIUH CARDENAS</t>
  </si>
  <si>
    <t>EL SALTO  PARK III</t>
  </si>
  <si>
    <t>BRENDA F. MENDOZA</t>
  </si>
  <si>
    <t>PARQUE INDUSTRIAL TECNOLÓGICO III (PIT III)</t>
  </si>
  <si>
    <t>R9</t>
  </si>
  <si>
    <t>RUBEN FLORES</t>
  </si>
  <si>
    <t>MONTERREY PARK I</t>
  </si>
  <si>
    <t>TECNOCENTRO I</t>
  </si>
  <si>
    <t>TECNOCENTRO II</t>
  </si>
  <si>
    <t>TECNOCENTRO III</t>
  </si>
  <si>
    <t>TECNOCENTRO IV</t>
  </si>
  <si>
    <t>GUILLERMO ROMO CASTILLO</t>
  </si>
  <si>
    <t>MBP</t>
  </si>
  <si>
    <t>GUADALAPE</t>
  </si>
  <si>
    <t>KRONOS</t>
  </si>
  <si>
    <t>ANDREA VERGARA</t>
  </si>
  <si>
    <t>MAQUIL PARK</t>
  </si>
  <si>
    <t>R10</t>
  </si>
  <si>
    <t>PAOLA N. PERALTA</t>
  </si>
  <si>
    <t>CANCÚN  PARK</t>
  </si>
  <si>
    <t>GRUPO BALBROS</t>
  </si>
  <si>
    <t>ADRIANA GARZÓN</t>
  </si>
  <si>
    <t>MICROPARKS CARTAGENA</t>
  </si>
  <si>
    <t>MICROPARKS TULTE I</t>
  </si>
  <si>
    <t>MICROPARKS TULTE II</t>
  </si>
  <si>
    <t>SEBASTIÁN ROMERO</t>
  </si>
  <si>
    <t>MICROPARK TULTE III</t>
  </si>
  <si>
    <t>ABIGAIL HERNANDEZ</t>
  </si>
  <si>
    <t>EVOLUTION</t>
  </si>
  <si>
    <t>LA TEJA</t>
  </si>
  <si>
    <t>CLAUDIA RUIZ</t>
  </si>
  <si>
    <t>QUERETARO PARK I</t>
  </si>
  <si>
    <t>LUIS ALVAREZ</t>
  </si>
  <si>
    <t>QUERETARO PARK II</t>
  </si>
  <si>
    <t>CUMPLIMIENTO TOP 5 MARZO 2026</t>
  </si>
  <si>
    <t xml:space="preserve">20 DÍAS </t>
  </si>
  <si>
    <t>ABRIL</t>
  </si>
  <si>
    <t xml:space="preserve">WHATSAPP – IMAGEN </t>
  </si>
  <si>
    <t>CUMPLIMIENTO TOP 5</t>
  </si>
  <si>
    <t>REGIÓN</t>
  </si>
  <si>
    <t>Matutino</t>
  </si>
  <si>
    <t>%</t>
  </si>
  <si>
    <t xml:space="preserve">Vespertino </t>
  </si>
  <si>
    <t>TOTAL</t>
  </si>
  <si>
    <t>CUMPLIMINETO</t>
  </si>
  <si>
    <t xml:space="preserve">REGIÓN </t>
  </si>
  <si>
    <t>FEBRERO</t>
  </si>
  <si>
    <t>MARZO</t>
  </si>
  <si>
    <t>MAYO</t>
  </si>
  <si>
    <t>AZCAPO</t>
  </si>
  <si>
    <t>TULTITLÁN</t>
  </si>
  <si>
    <t>TULTIPARK</t>
  </si>
  <si>
    <t>SMO</t>
  </si>
  <si>
    <t>TEPOTZOTLÁN</t>
  </si>
  <si>
    <t>QRO</t>
  </si>
  <si>
    <t>TOLUCA</t>
  </si>
  <si>
    <t>GUADALAJARA</t>
  </si>
  <si>
    <t>MONTERREY</t>
  </si>
  <si>
    <t>CANCÚN</t>
  </si>
  <si>
    <t>BALBROS</t>
  </si>
  <si>
    <t>T-MEX</t>
  </si>
  <si>
    <t>GENERAL</t>
  </si>
  <si>
    <t>JESUS ISRAEL CARRERA</t>
  </si>
  <si>
    <t>EL SALTO I</t>
  </si>
  <si>
    <t>EL SALTO PARK II</t>
  </si>
  <si>
    <t>CANCÚN  PARK II</t>
  </si>
  <si>
    <t>ROBERTO</t>
  </si>
  <si>
    <t xml:space="preserve">CALO PARK </t>
  </si>
  <si>
    <t xml:space="preserve">ELIZABETH CONTRERAS </t>
  </si>
  <si>
    <t>INICIO TOP MATUTINO</t>
  </si>
  <si>
    <t>INICIO TOP VESPERTINO</t>
  </si>
  <si>
    <t>KEY</t>
  </si>
  <si>
    <t>08:49:00</t>
  </si>
  <si>
    <t>16:04:00</t>
  </si>
  <si>
    <t>08:32:00</t>
  </si>
  <si>
    <t>08:36:00</t>
  </si>
  <si>
    <t>16:16:00</t>
  </si>
  <si>
    <t>16:20:00</t>
  </si>
  <si>
    <t>08:38:00</t>
  </si>
  <si>
    <t>15:50:00</t>
  </si>
  <si>
    <t>08:24:00</t>
  </si>
  <si>
    <t>08:47:00</t>
  </si>
  <si>
    <t>16:00:00</t>
  </si>
  <si>
    <t>15:59:00</t>
  </si>
  <si>
    <t>15:56:00</t>
  </si>
  <si>
    <t>16:02:00</t>
  </si>
  <si>
    <t>08:39:00</t>
  </si>
  <si>
    <t>16:05:00</t>
  </si>
  <si>
    <t>09:01:00</t>
  </si>
  <si>
    <t>08:30:00</t>
  </si>
  <si>
    <t>15:54:00</t>
  </si>
  <si>
    <t>08:35:00</t>
  </si>
  <si>
    <t>15:58:00</t>
  </si>
  <si>
    <t>16:14:00</t>
  </si>
  <si>
    <t>08:33:00</t>
  </si>
  <si>
    <t>15:47:00</t>
  </si>
  <si>
    <t>08:45:00</t>
  </si>
  <si>
    <t>03:24:00</t>
  </si>
  <si>
    <t>08:40:00</t>
  </si>
  <si>
    <t>03:43:00</t>
  </si>
  <si>
    <t>15:42:00</t>
  </si>
  <si>
    <t>08:37:00</t>
  </si>
  <si>
    <t>08:42:00</t>
  </si>
  <si>
    <t>16:01:00</t>
  </si>
  <si>
    <t>15:49:00</t>
  </si>
  <si>
    <t>08:31:00</t>
  </si>
  <si>
    <t>16:30:00</t>
  </si>
  <si>
    <t>08:55:00</t>
  </si>
  <si>
    <t>08:25:00</t>
  </si>
  <si>
    <t>16:21:00</t>
  </si>
  <si>
    <t>08:23:00</t>
  </si>
  <si>
    <t>14:13:00</t>
  </si>
  <si>
    <t>08:15:00</t>
  </si>
  <si>
    <t>16:23:00</t>
  </si>
  <si>
    <t>08:27:00</t>
  </si>
  <si>
    <t>08:19:00</t>
  </si>
  <si>
    <t>08:26:00</t>
  </si>
  <si>
    <t>16:56:00</t>
  </si>
  <si>
    <t>08:43:00</t>
  </si>
  <si>
    <t>15:30:00</t>
  </si>
  <si>
    <t>08:28:00</t>
  </si>
  <si>
    <t>09:09:00</t>
  </si>
  <si>
    <t>08:34:00</t>
  </si>
  <si>
    <t>16:12:00</t>
  </si>
  <si>
    <t>16:15:00</t>
  </si>
  <si>
    <t>09:34:00</t>
  </si>
  <si>
    <t>15:48:00</t>
  </si>
  <si>
    <t>16:08:00</t>
  </si>
  <si>
    <t>15:53:00</t>
  </si>
  <si>
    <t>15:55:00</t>
  </si>
  <si>
    <t>15:34:00</t>
  </si>
  <si>
    <t>15:35:00</t>
  </si>
  <si>
    <t>15:51:00</t>
  </si>
  <si>
    <t>08:51:00</t>
  </si>
  <si>
    <t>15:39:00</t>
  </si>
  <si>
    <t>03:33:00</t>
  </si>
  <si>
    <t>04:21:00</t>
  </si>
  <si>
    <t>16:11:00</t>
  </si>
  <si>
    <t>08:53:00</t>
  </si>
  <si>
    <t>08:04:00</t>
  </si>
  <si>
    <t>16:09:00</t>
  </si>
  <si>
    <t>08:01:00</t>
  </si>
  <si>
    <t>16:32:00</t>
  </si>
  <si>
    <t>08:07:00</t>
  </si>
  <si>
    <t>16:18:00</t>
  </si>
  <si>
    <t>08:41:00</t>
  </si>
  <si>
    <t>08:05:00</t>
  </si>
  <si>
    <t>15:32:00</t>
  </si>
  <si>
    <t>08:16:00</t>
  </si>
  <si>
    <t>09:29:00</t>
  </si>
  <si>
    <t>07:39:00</t>
  </si>
  <si>
    <t>08:20:00</t>
  </si>
  <si>
    <t>16:07:00</t>
  </si>
  <si>
    <t>08:17:00</t>
  </si>
  <si>
    <t>16:06:00</t>
  </si>
  <si>
    <t>07:56:00</t>
  </si>
  <si>
    <t>16:27:00</t>
  </si>
  <si>
    <t>07:52:00</t>
  </si>
  <si>
    <t>08:14:00</t>
  </si>
  <si>
    <t>03:52:00</t>
  </si>
  <si>
    <t>04:10:00</t>
  </si>
  <si>
    <t>11:33:00</t>
  </si>
  <si>
    <t>08:29:00</t>
  </si>
  <si>
    <t>03:58:00</t>
  </si>
  <si>
    <t>16:29:00</t>
  </si>
  <si>
    <t>08:56:00</t>
  </si>
  <si>
    <t>04:42:00</t>
  </si>
  <si>
    <t>09:06:00</t>
  </si>
  <si>
    <t>15:41:00</t>
  </si>
  <si>
    <t>08:59:00</t>
  </si>
  <si>
    <t>09:03:00</t>
  </si>
  <si>
    <t>15:24:00</t>
  </si>
  <si>
    <t>09:02:00</t>
  </si>
  <si>
    <t>15:23:00</t>
  </si>
  <si>
    <t>09:04:00</t>
  </si>
  <si>
    <t>15:44:00</t>
  </si>
  <si>
    <t>09:07:00</t>
  </si>
  <si>
    <t>09:05:00</t>
  </si>
  <si>
    <t>04:16:00</t>
  </si>
  <si>
    <t>03:08:00</t>
  </si>
  <si>
    <t>03:26:00</t>
  </si>
  <si>
    <t>15:15:00</t>
  </si>
  <si>
    <t>15:22:00</t>
  </si>
  <si>
    <t>15:18:00</t>
  </si>
  <si>
    <t>15:27:00</t>
  </si>
  <si>
    <t>15:20:00</t>
  </si>
  <si>
    <t>15:43:00</t>
  </si>
  <si>
    <t>15:26:00</t>
  </si>
  <si>
    <t>15:02:00</t>
  </si>
  <si>
    <t>15:40:00</t>
  </si>
  <si>
    <t>14:56:00</t>
  </si>
  <si>
    <t>15:13:00</t>
  </si>
  <si>
    <t>07:58:00</t>
  </si>
  <si>
    <t>14:53:00</t>
  </si>
  <si>
    <t>08:12:00</t>
  </si>
  <si>
    <t>02:51:00</t>
  </si>
  <si>
    <t>02:20:00</t>
  </si>
  <si>
    <t>03:18:00</t>
  </si>
  <si>
    <t>09:58:00</t>
  </si>
  <si>
    <t>17:32:00</t>
  </si>
  <si>
    <t>09:21:00</t>
  </si>
  <si>
    <t>17:17:00</t>
  </si>
  <si>
    <t>08:52:00</t>
  </si>
  <si>
    <t>15:28:00</t>
  </si>
  <si>
    <t>08:48:00</t>
  </si>
  <si>
    <t>08:57:00</t>
  </si>
  <si>
    <t>09:20:00</t>
  </si>
  <si>
    <t>04:08:00</t>
  </si>
  <si>
    <t>04:47:00</t>
  </si>
  <si>
    <t>08:46:00</t>
  </si>
  <si>
    <t>16:54:00</t>
  </si>
  <si>
    <t>09:00:00</t>
  </si>
  <si>
    <t>11:04:00</t>
  </si>
  <si>
    <t>08:50:00</t>
  </si>
  <si>
    <t>09:30:00</t>
  </si>
  <si>
    <t>10:02:00</t>
  </si>
  <si>
    <t>08:44:00</t>
  </si>
  <si>
    <t>09:10:00</t>
  </si>
  <si>
    <t>16:13:00</t>
  </si>
  <si>
    <t>10:04:00</t>
  </si>
  <si>
    <t>16:03:00</t>
  </si>
  <si>
    <t>15:45:00</t>
  </si>
  <si>
    <t>15:37:00</t>
  </si>
  <si>
    <t>09:12:00</t>
  </si>
  <si>
    <t>15:38:00</t>
  </si>
  <si>
    <t>15:36:00</t>
  </si>
  <si>
    <t>09:15:00</t>
  </si>
  <si>
    <t>09:23:00</t>
  </si>
  <si>
    <t>03:44:00</t>
  </si>
  <si>
    <t>04:09:00</t>
  </si>
  <si>
    <t>03:34:00</t>
  </si>
  <si>
    <t>14:02:00</t>
  </si>
  <si>
    <t>10:00:00</t>
  </si>
  <si>
    <t>09:35:00</t>
  </si>
  <si>
    <t>15:07:00</t>
  </si>
  <si>
    <t>15:11:00</t>
  </si>
  <si>
    <t>03:30:00</t>
  </si>
  <si>
    <t>03:48:00</t>
  </si>
  <si>
    <t>10:13:00</t>
  </si>
  <si>
    <t>09:42:00</t>
  </si>
  <si>
    <t>17:29:00</t>
  </si>
  <si>
    <t>16:47:00</t>
  </si>
  <si>
    <t>15:19:00</t>
  </si>
  <si>
    <t>08:54:00</t>
  </si>
  <si>
    <t>15:05:00</t>
  </si>
  <si>
    <t>15:21:00</t>
  </si>
  <si>
    <t>09:11:00</t>
  </si>
  <si>
    <t>08:58:00</t>
  </si>
  <si>
    <t>03:02:00</t>
  </si>
  <si>
    <t>03:12:00</t>
  </si>
  <si>
    <t>01:31:00</t>
  </si>
  <si>
    <t>03:31:00</t>
  </si>
  <si>
    <t>03:25:00</t>
  </si>
  <si>
    <t>15:29:00</t>
  </si>
  <si>
    <t>15:46:00</t>
  </si>
  <si>
    <t>11:38:00</t>
  </si>
  <si>
    <t>08:18:00</t>
  </si>
  <si>
    <t>15:31:00</t>
  </si>
  <si>
    <t>15:12:00</t>
  </si>
  <si>
    <t>16:10:00</t>
  </si>
  <si>
    <t>05:11:00</t>
  </si>
  <si>
    <t>15:10:00</t>
  </si>
  <si>
    <t>15:33:00</t>
  </si>
  <si>
    <t>08:21:00</t>
  </si>
  <si>
    <t>03:16:00</t>
  </si>
  <si>
    <t>09:25:00</t>
  </si>
  <si>
    <t>11:00:00</t>
  </si>
  <si>
    <t>03:56:00</t>
  </si>
  <si>
    <t>15:25:00</t>
  </si>
  <si>
    <t>16:36:00</t>
  </si>
  <si>
    <t>08:09:00</t>
  </si>
  <si>
    <t>14:51:00</t>
  </si>
  <si>
    <t>14:58:00</t>
  </si>
  <si>
    <t>03:19:00</t>
  </si>
  <si>
    <t>09:52:00</t>
  </si>
  <si>
    <t>12:00:00</t>
  </si>
  <si>
    <t>09:26:00</t>
  </si>
  <si>
    <t>15:52:00</t>
  </si>
  <si>
    <t>03:40:00</t>
  </si>
  <si>
    <t>03:37:00</t>
  </si>
  <si>
    <t>04:06:00</t>
  </si>
  <si>
    <t>09:36:00</t>
  </si>
  <si>
    <t>03:13:00</t>
  </si>
  <si>
    <t>09:40:00</t>
  </si>
  <si>
    <t>03:29:00</t>
  </si>
  <si>
    <t>16:42:00</t>
  </si>
  <si>
    <t>16:52:00</t>
  </si>
  <si>
    <t>16:25:00</t>
  </si>
  <si>
    <t>17:25:00</t>
  </si>
  <si>
    <t>09:18:00</t>
  </si>
  <si>
    <t>17:59:00</t>
  </si>
  <si>
    <t>05:49:00</t>
  </si>
  <si>
    <t>10:51:00</t>
  </si>
  <si>
    <t>06:19:00</t>
  </si>
  <si>
    <t>10:07:00</t>
  </si>
  <si>
    <t>16:48:00</t>
  </si>
  <si>
    <t>10:08:00</t>
  </si>
  <si>
    <t>09:49:00</t>
  </si>
  <si>
    <t>09:59:00</t>
  </si>
  <si>
    <t>16:17:00</t>
  </si>
  <si>
    <t>16:31:00</t>
  </si>
  <si>
    <t>03:35:00</t>
  </si>
  <si>
    <t>15:14:00</t>
  </si>
  <si>
    <t>15:01:00</t>
  </si>
  <si>
    <t>15:04:00</t>
  </si>
  <si>
    <t>15:00:00</t>
  </si>
  <si>
    <t>09:32:00</t>
  </si>
  <si>
    <t>16:43:00</t>
  </si>
  <si>
    <t>08:00:00</t>
  </si>
  <si>
    <t>01:37:00</t>
  </si>
  <si>
    <t>08:03:00</t>
  </si>
  <si>
    <t>07:30:00</t>
  </si>
  <si>
    <t>17:20:00</t>
  </si>
  <si>
    <t>14:57:00</t>
  </si>
  <si>
    <t>10:14:00</t>
  </si>
  <si>
    <t>09:43:00</t>
  </si>
  <si>
    <t>07:34:00</t>
  </si>
  <si>
    <t>14:55:00</t>
  </si>
  <si>
    <t>07:14:00</t>
  </si>
  <si>
    <t>10:23:00</t>
  </si>
  <si>
    <t>10:44:00</t>
  </si>
  <si>
    <t>01:06:00</t>
  </si>
  <si>
    <t>04:45:00</t>
  </si>
  <si>
    <t>04:01:00</t>
  </si>
  <si>
    <t>16:57:00</t>
  </si>
  <si>
    <t>09:45:00</t>
  </si>
  <si>
    <t>10:53:00</t>
  </si>
  <si>
    <t>10:20:00</t>
  </si>
  <si>
    <t>05:42:00</t>
  </si>
  <si>
    <t>01:03:00</t>
  </si>
  <si>
    <t>11:57:00</t>
  </si>
  <si>
    <t>05:46:00</t>
  </si>
  <si>
    <t>09:54:00</t>
  </si>
  <si>
    <t>10:46:00</t>
  </si>
  <si>
    <t>09:47:00</t>
  </si>
  <si>
    <t>16:22:00</t>
  </si>
  <si>
    <t>10:26:00</t>
  </si>
  <si>
    <t>17:31:00</t>
  </si>
  <si>
    <t>09:55:00</t>
  </si>
  <si>
    <t>18:05:00</t>
  </si>
  <si>
    <t>09:13:00</t>
  </si>
  <si>
    <t>03:39:00</t>
  </si>
  <si>
    <t>11:10:00</t>
  </si>
  <si>
    <t>09:14:00</t>
  </si>
  <si>
    <t>11:22:00</t>
  </si>
  <si>
    <t>09:08:00</t>
  </si>
  <si>
    <t>10:45:00</t>
  </si>
  <si>
    <t>09:27:00</t>
  </si>
  <si>
    <t>09:28:00</t>
  </si>
  <si>
    <t>15:57:00</t>
  </si>
  <si>
    <t>03:38:00</t>
  </si>
  <si>
    <t>03:46:00</t>
  </si>
  <si>
    <t>11:03:00</t>
  </si>
  <si>
    <t>01:24:00</t>
  </si>
  <si>
    <t>03:42:00</t>
  </si>
  <si>
    <t>09:37:00</t>
  </si>
  <si>
    <t>16:24:00</t>
  </si>
  <si>
    <t>10:12:00</t>
  </si>
  <si>
    <t>09:24:00</t>
  </si>
  <si>
    <t>11:27:00</t>
  </si>
  <si>
    <t>10:35:00</t>
  </si>
  <si>
    <t>05:09:00</t>
  </si>
  <si>
    <t>09:50:00</t>
  </si>
  <si>
    <t>04:30:00</t>
  </si>
  <si>
    <t>11:13:00</t>
  </si>
  <si>
    <t>15:06:00</t>
  </si>
  <si>
    <t>12:18:00</t>
  </si>
  <si>
    <t>04:13:00</t>
  </si>
  <si>
    <t>05:03:00</t>
  </si>
  <si>
    <t>11:06:00</t>
  </si>
  <si>
    <t>09:16:00</t>
  </si>
  <si>
    <t>09:19:00</t>
  </si>
  <si>
    <t>17:13:00</t>
  </si>
  <si>
    <t>09:31:00</t>
  </si>
  <si>
    <t>03:23:00</t>
  </si>
  <si>
    <t>03:36:00</t>
  </si>
  <si>
    <t>03:22:00</t>
  </si>
  <si>
    <t>18:22:00</t>
  </si>
  <si>
    <t>18:24:00</t>
  </si>
  <si>
    <t>06:05:00</t>
  </si>
  <si>
    <t>05:45:00</t>
  </si>
  <si>
    <t>04:40:00</t>
  </si>
  <si>
    <t>03:51:00</t>
  </si>
  <si>
    <t>16:33:00</t>
  </si>
  <si>
    <t>16:37:00</t>
  </si>
  <si>
    <t>16:46:00</t>
  </si>
  <si>
    <t>05:06:00</t>
  </si>
  <si>
    <t>09:51:00</t>
  </si>
  <si>
    <t>04:59:00</t>
  </si>
  <si>
    <t>04:58:00</t>
  </si>
  <si>
    <t>15:16:00</t>
  </si>
  <si>
    <t>17:49:00</t>
  </si>
  <si>
    <t>11:07:00</t>
  </si>
  <si>
    <t>10:11:00</t>
  </si>
  <si>
    <t>03:06:00</t>
  </si>
  <si>
    <t>10:09:00</t>
  </si>
  <si>
    <t>17:36:00</t>
  </si>
  <si>
    <t>16:34:00</t>
  </si>
  <si>
    <t>15:09:00</t>
  </si>
  <si>
    <t>14:36:00</t>
  </si>
  <si>
    <t>16:50:00</t>
  </si>
  <si>
    <t>17:01:00</t>
  </si>
  <si>
    <t>04:29:00</t>
  </si>
  <si>
    <t>04:11:00</t>
  </si>
  <si>
    <t>15:03:00</t>
  </si>
  <si>
    <t>02:39:00</t>
  </si>
  <si>
    <t>09:22:00</t>
  </si>
  <si>
    <t>10:21:00</t>
  </si>
  <si>
    <t>10:36:00</t>
  </si>
  <si>
    <t>14:33:00</t>
  </si>
  <si>
    <t>03:00:00</t>
  </si>
  <si>
    <t>11:36:00</t>
  </si>
  <si>
    <t>03:04:00</t>
  </si>
  <si>
    <t>10:24:00</t>
  </si>
  <si>
    <t>09:44:00</t>
  </si>
  <si>
    <t>04:18:00</t>
  </si>
  <si>
    <t>17:58:00</t>
  </si>
  <si>
    <t>17:28:00</t>
  </si>
  <si>
    <t>12:43:00</t>
  </si>
  <si>
    <t>11:18:00</t>
  </si>
  <si>
    <t>03:15:00</t>
  </si>
  <si>
    <t>04:26:00</t>
  </si>
  <si>
    <t>17:19:00</t>
  </si>
  <si>
    <t>17:02:00</t>
  </si>
  <si>
    <t>04:23:00</t>
  </si>
  <si>
    <t>16:44:00</t>
  </si>
  <si>
    <t>16:38:00</t>
  </si>
  <si>
    <t>16:59:00</t>
  </si>
  <si>
    <t>04:19:00</t>
  </si>
  <si>
    <t>03:27:00</t>
  </si>
  <si>
    <t>15:08:00</t>
  </si>
  <si>
    <t>08:22:00</t>
  </si>
  <si>
    <t>03:03:00</t>
  </si>
  <si>
    <t>02:16:00</t>
  </si>
  <si>
    <t>16:58:00</t>
  </si>
  <si>
    <t>03:55:00</t>
  </si>
  <si>
    <t>09:48:00</t>
  </si>
  <si>
    <t>07:08:00</t>
  </si>
  <si>
    <t>07:32:00</t>
  </si>
  <si>
    <t>07:40:00</t>
  </si>
  <si>
    <t>07:35:00</t>
  </si>
  <si>
    <t>07:46:00</t>
  </si>
  <si>
    <t>07:51:00</t>
  </si>
  <si>
    <t>14:35:00</t>
  </si>
  <si>
    <t>14:40:00</t>
  </si>
  <si>
    <t>14:41:00</t>
  </si>
  <si>
    <t>08:11:00</t>
  </si>
  <si>
    <t>08:13:00</t>
  </si>
  <si>
    <t>03:57:00</t>
  </si>
  <si>
    <t>J</t>
  </si>
  <si>
    <t>10:50:00_x000D_</t>
  </si>
  <si>
    <t>10:41:00_x000D_</t>
  </si>
  <si>
    <t>5:32:00_x000D_</t>
  </si>
  <si>
    <t>11:07:00_x000D_</t>
  </si>
  <si>
    <t>10:45:00_x000D_</t>
  </si>
  <si>
    <t xml:space="preserve">20 DIAS </t>
  </si>
  <si>
    <t>DICIEMBRE</t>
  </si>
  <si>
    <t xml:space="preserve">21 DIAS </t>
  </si>
  <si>
    <t>ENERO</t>
  </si>
  <si>
    <t>Región</t>
  </si>
  <si>
    <t>Administrador</t>
  </si>
  <si>
    <t>Unidad de Negocio</t>
  </si>
  <si>
    <t>MATUTINO</t>
  </si>
  <si>
    <t>VESPERTINO</t>
  </si>
  <si>
    <t xml:space="preserve">SÁBADOS </t>
  </si>
  <si>
    <t>Mat</t>
  </si>
  <si>
    <t>Vesp</t>
  </si>
  <si>
    <t>Total Matutinos (L-V)</t>
  </si>
  <si>
    <t>Total Vespertinos (L-V)</t>
  </si>
  <si>
    <t>Sábados</t>
  </si>
  <si>
    <t>Días representados en Febrero</t>
  </si>
  <si>
    <t xml:space="preserve">19 Días habiles </t>
  </si>
  <si>
    <t xml:space="preserve">19 DÍAS </t>
  </si>
  <si>
    <t>APP SAFETY CULTURE</t>
  </si>
  <si>
    <t>PROMEDIO DE CUMPLIMIENTO</t>
  </si>
  <si>
    <t>TEPOZ</t>
  </si>
  <si>
    <t xml:space="preserve">21 DÍAS 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</si>
  <si>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</si>
  <si>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</si>
  <si>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</si>
  <si>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</si>
  <si>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</si>
  <si>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</si>
  <si>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</si>
  <si>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</si>
  <si>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</si>
  <si>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</si>
  <si>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</si>
  <si>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</si>
  <si>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</si>
  <si>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</si>
  <si>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</si>
  <si>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</si>
  <si>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</si>
  <si>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</si>
  <si>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</si>
  <si>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</si>
  <si>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</si>
  <si>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</si>
  <si>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</si>
  <si>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</si>
  <si>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</si>
  <si>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</si>
  <si>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</si>
  <si>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</si>
  <si>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</si>
  <si>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</si>
  <si>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Matutino Total</t>
  </si>
  <si>
    <t>Vespertino Total</t>
  </si>
  <si>
    <t>Sábados Total</t>
  </si>
  <si>
    <t>11.07</t>
  </si>
  <si>
    <t>HECTOR</t>
  </si>
  <si>
    <t>ROBERTO MALDONADO</t>
  </si>
  <si>
    <t>CALO PARK</t>
  </si>
  <si>
    <t>9]:16</t>
  </si>
  <si>
    <t>3::43</t>
  </si>
  <si>
    <t>EL SALTO PARK I</t>
  </si>
  <si>
    <t>01-May</t>
  </si>
  <si>
    <t>02-May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</si>
  <si>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</si>
  <si>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</si>
  <si>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</si>
  <si>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</si>
  <si>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</si>
  <si>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</si>
  <si>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</si>
  <si>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</si>
  <si>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</si>
  <si>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</si>
  <si>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</si>
  <si>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</si>
  <si>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</si>
  <si>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</si>
  <si>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</si>
  <si>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</si>
  <si>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</si>
  <si>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</si>
  <si>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</si>
  <si>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</si>
  <si>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</si>
  <si>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</si>
  <si>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</si>
  <si>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</si>
  <si>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</si>
  <si>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</si>
  <si>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</si>
  <si>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</si>
  <si>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Porcentaje Admin</t>
  </si>
  <si>
    <t>Porcentaje Región</t>
  </si>
  <si>
    <t> </t>
  </si>
  <si>
    <t>79.55%</t>
  </si>
  <si>
    <t>86.36%</t>
  </si>
  <si>
    <t>93.18%</t>
  </si>
  <si>
    <t>81.82%</t>
  </si>
  <si>
    <t>90.91%</t>
  </si>
  <si>
    <t>80.45%</t>
  </si>
  <si>
    <t>68.18%</t>
  </si>
  <si>
    <t>75.00%</t>
  </si>
  <si>
    <t>84.09%</t>
  </si>
  <si>
    <t>95.45%</t>
  </si>
  <si>
    <t>90.45%</t>
  </si>
  <si>
    <t>88.64%</t>
  </si>
  <si>
    <t>75.38%</t>
  </si>
  <si>
    <t>RODRIGO TELLEZ</t>
  </si>
  <si>
    <t>43.18%</t>
  </si>
  <si>
    <t>LUIS FERNANDO</t>
  </si>
  <si>
    <t>72.73%</t>
  </si>
  <si>
    <t>100.00%</t>
  </si>
  <si>
    <t>92.05%</t>
  </si>
  <si>
    <t>TEPOZOTLAN (CONVENTO)</t>
  </si>
  <si>
    <t>97.50%</t>
  </si>
  <si>
    <t>95.00%</t>
  </si>
  <si>
    <t>NA</t>
  </si>
  <si>
    <t>56.82%</t>
  </si>
  <si>
    <t>80.68%</t>
  </si>
  <si>
    <t>70.45%</t>
  </si>
  <si>
    <t>97.73%</t>
  </si>
  <si>
    <t>77.27%</t>
  </si>
  <si>
    <t>38.64%</t>
  </si>
  <si>
    <t>16.49</t>
  </si>
  <si>
    <t>4.55%</t>
  </si>
  <si>
    <t>59.55%</t>
  </si>
  <si>
    <t>20.45%</t>
  </si>
  <si>
    <t>ENCUENTRO OP</t>
  </si>
  <si>
    <t>TOP REGIONAL</t>
  </si>
  <si>
    <t>TOP DIVISIONAL</t>
  </si>
  <si>
    <t>TOP J.O</t>
  </si>
  <si>
    <t xml:space="preserve">SIN TOP </t>
  </si>
  <si>
    <t>% CUMPLIMIENTO</t>
  </si>
  <si>
    <t>90.00%</t>
  </si>
  <si>
    <t>90.53%</t>
  </si>
  <si>
    <t>92.80%</t>
  </si>
  <si>
    <t>90.34%</t>
  </si>
  <si>
    <t>89.39%</t>
  </si>
  <si>
    <t>94.32%</t>
  </si>
  <si>
    <t>81.06%</t>
  </si>
  <si>
    <t>89.77%</t>
  </si>
  <si>
    <t>0.00%</t>
  </si>
  <si>
    <t>ONT</t>
  </si>
  <si>
    <t>YASMIN ARRIAGA</t>
  </si>
  <si>
    <t>RAÚL MARISCAL</t>
  </si>
  <si>
    <t>LEIBNIZ BARUTCH GARCÍA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</si>
</sst>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1">
    <font>
      <sz val="11"/>
      <color theme="1"/>
      <name val="Aptos Narrow"/>
      <family val="2"/>
      <scheme val="minor"/>
    </font>
    <font>
      <sz val="11"/>
      <color rgb="FF000000"/>
      <name val="Vrinda"/>
    </font>
    <font>
      <sz val="11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11"/>
      <color theme="0"/>
      <name val="Vrinda"/>
    </font>
    <font>
      <sz val="11"/>
      <color theme="1"/>
      <name val="Vrinda"/>
    </font>
    <font>
      <sz val="11"/>
      <color theme="0"/>
      <name val="Aptos Narrow"/>
      <charset val="1"/>
    </font>
    <font>
      <sz val="20"/>
      <color theme="1"/>
      <name val="Aptos Narrow"/>
      <family val="2"/>
      <scheme val="minor"/>
    </font>
    <font>
      <b/>
      <sz val="20"/>
      <color theme="1"/>
      <name val="Vrinda"/>
    </font>
    <font>
      <sz val="11"/>
      <color theme="1"/>
      <name val="Vrinda"/>
      <family val="2"/>
    </font>
    <font>
      <sz val="11"/>
      <color rgb="FF000000"/>
      <name val="Vrinda"/>
      <family val="2"/>
    </font>
    <font>
      <sz val="11"/>
      <color theme="1"/>
      <name val="Century Gothic"/>
      <family val="2"/>
    </font>
    <font>
      <sz val="11"/>
      <color rgb="FFFF0000"/>
      <name val="Century Gothic"/>
      <family val="2"/>
    </font>
    <font>
      <sz val="11"/>
      <color rgb="FF000000"/>
      <name val="Century Gothic"/>
    </font>
    <font>
      <sz val="11"/>
      <color rgb="FF000000"/>
      <name val="Aptos Narrow"/>
    </font>
    <font>
      <sz val="11"/>
      <color rgb="FF000000"/>
      <name val="Century Gothic"/>
      <family val="2"/>
    </font>
    <font>
      <sz val="11"/>
      <name val="Gothic"/>
    </font>
    <font>
      <sz val="11"/>
      <color rgb="FF000000"/>
      <name val="Gothic"/>
    </font>
    <font>
      <b/>
      <sz val="11"/>
      <color rgb="FF000000"/>
      <name val="Aptos Narrow"/>
      <family val="2"/>
    </font>
    <font>
      <b/>
      <sz val="11"/>
      <name val="Aptos Narrow"/>
    </font>
    <font>
      <sz val="11"/>
      <color rgb="FFFF0000"/>
      <name val="Century Gothic"/>
    </font>
  </fonts>
  <fills count="4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ECF4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EFCE"/>
        <bgColor indexed="64"/>
      </patternFill>
    </fill>
    <fill>
      <patternFill patternType="solid">
        <fgColor rgb="FFD5EB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1FAD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7CF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7CFBE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2F4C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782170"/>
        <bgColor rgb="FF000000"/>
      </patternFill>
    </fill>
    <fill>
      <patternFill patternType="solid">
        <fgColor theme="5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4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164" fontId="1" fillId="6" borderId="6" xfId="0" applyNumberFormat="1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12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164" fontId="4" fillId="13" borderId="5" xfId="0" applyNumberFormat="1" applyFont="1" applyFill="1" applyBorder="1" applyAlignment="1">
      <alignment horizontal="center" vertical="center"/>
    </xf>
    <xf numFmtId="164" fontId="4" fillId="13" borderId="4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17" fontId="4" fillId="11" borderId="5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1" fontId="0" fillId="6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" fontId="0" fillId="0" borderId="0" xfId="0" applyNumberFormat="1"/>
    <xf numFmtId="20" fontId="0" fillId="0" borderId="0" xfId="0" applyNumberFormat="1"/>
    <xf numFmtId="0" fontId="0" fillId="14" borderId="0" xfId="0" applyFill="1"/>
    <xf numFmtId="20" fontId="0" fillId="14" borderId="0" xfId="0" applyNumberFormat="1" applyFill="1"/>
    <xf numFmtId="0" fontId="0" fillId="15" borderId="0" xfId="0" applyFill="1"/>
    <xf numFmtId="0" fontId="0" fillId="16" borderId="0" xfId="0" applyFill="1"/>
    <xf numFmtId="20" fontId="0" fillId="16" borderId="0" xfId="0" applyNumberFormat="1" applyFill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/>
    </xf>
    <xf numFmtId="164" fontId="0" fillId="17" borderId="2" xfId="0" applyNumberFormat="1" applyFill="1" applyBorder="1" applyAlignment="1">
      <alignment horizontal="center" vertical="center"/>
    </xf>
    <xf numFmtId="164" fontId="1" fillId="17" borderId="1" xfId="0" applyNumberFormat="1" applyFont="1" applyFill="1" applyBorder="1" applyAlignment="1">
      <alignment vertical="center"/>
    </xf>
    <xf numFmtId="164" fontId="1" fillId="17" borderId="1" xfId="0" applyNumberFormat="1" applyFont="1" applyFill="1" applyBorder="1" applyAlignment="1">
      <alignment horizontal="left" vertical="center" wrapText="1"/>
    </xf>
    <xf numFmtId="164" fontId="0" fillId="17" borderId="1" xfId="0" applyNumberFormat="1" applyFill="1" applyBorder="1" applyAlignment="1">
      <alignment horizontal="center"/>
    </xf>
    <xf numFmtId="164" fontId="1" fillId="17" borderId="6" xfId="0" applyNumberFormat="1" applyFont="1" applyFill="1" applyBorder="1" applyAlignment="1">
      <alignment vertical="center"/>
    </xf>
    <xf numFmtId="164" fontId="1" fillId="17" borderId="1" xfId="0" applyNumberFormat="1" applyFont="1" applyFill="1" applyBorder="1" applyAlignment="1">
      <alignment horizontal="left" vertical="center"/>
    </xf>
    <xf numFmtId="20" fontId="0" fillId="18" borderId="0" xfId="0" applyNumberFormat="1" applyFill="1"/>
    <xf numFmtId="0" fontId="0" fillId="18" borderId="0" xfId="0" applyFill="1"/>
    <xf numFmtId="20" fontId="0" fillId="15" borderId="0" xfId="0" applyNumberFormat="1" applyFill="1"/>
    <xf numFmtId="0" fontId="4" fillId="11" borderId="5" xfId="0" applyFont="1" applyFill="1" applyBorder="1" applyAlignment="1">
      <alignment horizontal="center" vertical="center"/>
    </xf>
    <xf numFmtId="0" fontId="0" fillId="0" borderId="1" xfId="0" applyBorder="1"/>
    <xf numFmtId="0" fontId="0" fillId="9" borderId="0" xfId="0" applyFill="1"/>
    <xf numFmtId="9" fontId="0" fillId="0" borderId="0" xfId="0" applyNumberFormat="1"/>
    <xf numFmtId="0" fontId="4" fillId="0" borderId="0" xfId="0" applyFont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17" fontId="4" fillId="11" borderId="1" xfId="0" applyNumberFormat="1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164" fontId="1" fillId="17" borderId="1" xfId="0" applyNumberFormat="1" applyFont="1" applyFill="1" applyBorder="1" applyAlignment="1">
      <alignment horizontal="center" vertical="center"/>
    </xf>
    <xf numFmtId="164" fontId="1" fillId="17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64" fontId="5" fillId="17" borderId="2" xfId="0" applyNumberFormat="1" applyFont="1" applyFill="1" applyBorder="1" applyAlignment="1">
      <alignment horizontal="center" vertical="center"/>
    </xf>
    <xf numFmtId="164" fontId="5" fillId="17" borderId="1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164" fontId="1" fillId="17" borderId="4" xfId="0" applyNumberFormat="1" applyFont="1" applyFill="1" applyBorder="1" applyAlignment="1">
      <alignment horizontal="center" vertical="center" wrapText="1"/>
    </xf>
    <xf numFmtId="164" fontId="1" fillId="17" borderId="4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20" fontId="5" fillId="7" borderId="0" xfId="0" applyNumberFormat="1" applyFont="1" applyFill="1" applyAlignment="1">
      <alignment horizontal="center" vertical="center"/>
    </xf>
    <xf numFmtId="0" fontId="1" fillId="0" borderId="0" xfId="0" applyFont="1"/>
    <xf numFmtId="20" fontId="1" fillId="0" borderId="0" xfId="0" applyNumberFormat="1" applyFont="1"/>
    <xf numFmtId="20" fontId="1" fillId="20" borderId="0" xfId="0" applyNumberFormat="1" applyFont="1" applyFill="1"/>
    <xf numFmtId="20" fontId="5" fillId="9" borderId="0" xfId="0" applyNumberFormat="1" applyFont="1" applyFill="1" applyAlignment="1">
      <alignment horizontal="center" vertical="center"/>
    </xf>
    <xf numFmtId="20" fontId="5" fillId="4" borderId="0" xfId="0" applyNumberFormat="1" applyFont="1" applyFill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17" fontId="4" fillId="11" borderId="4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17" fontId="4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vertical="center" wrapText="1"/>
    </xf>
    <xf numFmtId="9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9" borderId="0" xfId="0" applyFont="1" applyFill="1" applyAlignment="1">
      <alignment horizontal="center"/>
    </xf>
    <xf numFmtId="9" fontId="5" fillId="9" borderId="0" xfId="0" applyNumberFormat="1" applyFont="1" applyFill="1" applyAlignment="1">
      <alignment horizontal="center"/>
    </xf>
    <xf numFmtId="9" fontId="5" fillId="9" borderId="1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9" fontId="5" fillId="9" borderId="6" xfId="0" applyNumberFormat="1" applyFont="1" applyFill="1" applyBorder="1" applyAlignment="1">
      <alignment horizontal="center"/>
    </xf>
    <xf numFmtId="17" fontId="4" fillId="12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8" xfId="0" applyFont="1" applyBorder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20" fontId="9" fillId="21" borderId="0" xfId="0" applyNumberFormat="1" applyFont="1" applyFill="1" applyAlignment="1">
      <alignment horizontal="center" vertical="center"/>
    </xf>
    <xf numFmtId="20" fontId="9" fillId="22" borderId="0" xfId="0" applyNumberFormat="1" applyFont="1" applyFill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164" fontId="9" fillId="17" borderId="2" xfId="0" applyNumberFormat="1" applyFont="1" applyFill="1" applyBorder="1" applyAlignment="1">
      <alignment horizontal="center" vertical="center"/>
    </xf>
    <xf numFmtId="164" fontId="10" fillId="17" borderId="1" xfId="0" applyNumberFormat="1" applyFont="1" applyFill="1" applyBorder="1" applyAlignment="1">
      <alignment horizontal="center" vertical="center"/>
    </xf>
    <xf numFmtId="164" fontId="10" fillId="17" borderId="4" xfId="0" applyNumberFormat="1" applyFont="1" applyFill="1" applyBorder="1" applyAlignment="1">
      <alignment horizontal="center" vertical="center" wrapText="1"/>
    </xf>
    <xf numFmtId="164" fontId="9" fillId="17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17" borderId="4" xfId="0" applyNumberFormat="1" applyFont="1" applyFill="1" applyBorder="1" applyAlignment="1">
      <alignment horizontal="center" vertical="center"/>
    </xf>
    <xf numFmtId="164" fontId="10" fillId="17" borderId="6" xfId="0" applyNumberFormat="1" applyFont="1" applyFill="1" applyBorder="1" applyAlignment="1">
      <alignment horizontal="center" vertical="center"/>
    </xf>
    <xf numFmtId="0" fontId="9" fillId="21" borderId="6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20" fontId="9" fillId="9" borderId="0" xfId="0" applyNumberFormat="1" applyFont="1" applyFill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11" fillId="0" borderId="0" xfId="0" applyFont="1"/>
    <xf numFmtId="0" fontId="10" fillId="26" borderId="3" xfId="0" applyFont="1" applyFill="1" applyBorder="1" applyAlignment="1">
      <alignment horizontal="center" vertical="center"/>
    </xf>
    <xf numFmtId="0" fontId="10" fillId="26" borderId="10" xfId="0" applyFont="1" applyFill="1" applyBorder="1" applyAlignment="1">
      <alignment horizontal="center" vertical="center"/>
    </xf>
    <xf numFmtId="20" fontId="11" fillId="24" borderId="0" xfId="0" applyNumberFormat="1" applyFont="1" applyFill="1"/>
    <xf numFmtId="0" fontId="11" fillId="24" borderId="0" xfId="0" applyFont="1" applyFill="1"/>
    <xf numFmtId="20" fontId="11" fillId="25" borderId="0" xfId="0" applyNumberFormat="1" applyFont="1" applyFill="1"/>
    <xf numFmtId="0" fontId="11" fillId="25" borderId="0" xfId="0" applyFont="1" applyFill="1"/>
    <xf numFmtId="0" fontId="11" fillId="22" borderId="0" xfId="0" applyFont="1" applyFill="1"/>
    <xf numFmtId="20" fontId="11" fillId="0" borderId="0" xfId="0" applyNumberFormat="1" applyFont="1"/>
    <xf numFmtId="0" fontId="10" fillId="26" borderId="1" xfId="0" applyFont="1" applyFill="1" applyBorder="1" applyAlignment="1">
      <alignment horizontal="center" vertical="center"/>
    </xf>
    <xf numFmtId="0" fontId="10" fillId="26" borderId="4" xfId="0" applyFont="1" applyFill="1" applyBorder="1" applyAlignment="1">
      <alignment horizontal="center" vertical="center"/>
    </xf>
    <xf numFmtId="0" fontId="10" fillId="26" borderId="2" xfId="0" applyFont="1" applyFill="1" applyBorder="1" applyAlignment="1">
      <alignment horizontal="center" vertical="center"/>
    </xf>
    <xf numFmtId="0" fontId="10" fillId="26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6" borderId="6" xfId="0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9" fontId="5" fillId="9" borderId="11" xfId="0" applyNumberFormat="1" applyFont="1" applyFill="1" applyBorder="1" applyAlignment="1">
      <alignment horizontal="center"/>
    </xf>
    <xf numFmtId="9" fontId="5" fillId="9" borderId="4" xfId="0" applyNumberFormat="1" applyFont="1" applyFill="1" applyBorder="1" applyAlignment="1">
      <alignment horizontal="center"/>
    </xf>
    <xf numFmtId="0" fontId="10" fillId="26" borderId="15" xfId="0" applyFont="1" applyFill="1" applyBorder="1" applyAlignment="1">
      <alignment horizontal="center" vertical="center"/>
    </xf>
    <xf numFmtId="0" fontId="10" fillId="26" borderId="17" xfId="0" applyFont="1" applyFill="1" applyBorder="1" applyAlignment="1">
      <alignment horizontal="center" vertical="center"/>
    </xf>
    <xf numFmtId="0" fontId="10" fillId="26" borderId="19" xfId="0" applyFont="1" applyFill="1" applyBorder="1" applyAlignment="1">
      <alignment horizontal="center" vertical="center"/>
    </xf>
    <xf numFmtId="0" fontId="10" fillId="26" borderId="21" xfId="0" applyFont="1" applyFill="1" applyBorder="1" applyAlignment="1">
      <alignment horizontal="center" vertical="center"/>
    </xf>
    <xf numFmtId="0" fontId="10" fillId="26" borderId="27" xfId="0" applyFont="1" applyFill="1" applyBorder="1" applyAlignment="1">
      <alignment horizontal="center" vertical="center"/>
    </xf>
    <xf numFmtId="0" fontId="10" fillId="26" borderId="31" xfId="0" applyFont="1" applyFill="1" applyBorder="1" applyAlignment="1">
      <alignment horizontal="center" vertical="center"/>
    </xf>
    <xf numFmtId="0" fontId="10" fillId="26" borderId="32" xfId="0" applyFont="1" applyFill="1" applyBorder="1" applyAlignment="1">
      <alignment horizontal="center" vertical="center"/>
    </xf>
    <xf numFmtId="0" fontId="10" fillId="26" borderId="28" xfId="0" applyFont="1" applyFill="1" applyBorder="1" applyAlignment="1">
      <alignment horizontal="center" vertical="center"/>
    </xf>
    <xf numFmtId="0" fontId="10" fillId="26" borderId="2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27" borderId="3" xfId="0" applyFont="1" applyFill="1" applyBorder="1" applyAlignment="1">
      <alignment horizontal="center" vertical="center"/>
    </xf>
    <xf numFmtId="0" fontId="11" fillId="27" borderId="10" xfId="0" applyFont="1" applyFill="1" applyBorder="1" applyAlignment="1">
      <alignment horizontal="center" vertical="center"/>
    </xf>
    <xf numFmtId="0" fontId="11" fillId="27" borderId="26" xfId="0" applyFont="1" applyFill="1" applyBorder="1" applyAlignment="1">
      <alignment horizontal="center" vertical="center"/>
    </xf>
    <xf numFmtId="0" fontId="11" fillId="27" borderId="39" xfId="0" applyFont="1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29" borderId="40" xfId="0" applyFill="1" applyBorder="1" applyAlignment="1">
      <alignment horizontal="center" vertical="center"/>
    </xf>
    <xf numFmtId="0" fontId="0" fillId="30" borderId="40" xfId="0" applyFill="1" applyBorder="1" applyAlignment="1">
      <alignment horizontal="center" vertical="center"/>
    </xf>
    <xf numFmtId="0" fontId="0" fillId="28" borderId="34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0" fillId="17" borderId="28" xfId="0" applyFont="1" applyFill="1" applyBorder="1" applyAlignment="1">
      <alignment horizontal="center" vertical="center"/>
    </xf>
    <xf numFmtId="0" fontId="11" fillId="27" borderId="4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3" fillId="0" borderId="19" xfId="0" applyFont="1" applyBorder="1"/>
    <xf numFmtId="20" fontId="13" fillId="0" borderId="19" xfId="0" applyNumberFormat="1" applyFont="1" applyBorder="1"/>
    <xf numFmtId="0" fontId="13" fillId="0" borderId="0" xfId="0" applyFont="1"/>
    <xf numFmtId="20" fontId="13" fillId="0" borderId="0" xfId="0" applyNumberFormat="1" applyFont="1"/>
    <xf numFmtId="0" fontId="13" fillId="0" borderId="17" xfId="0" applyFont="1" applyBorder="1"/>
    <xf numFmtId="0" fontId="13" fillId="0" borderId="13" xfId="0" applyFont="1" applyBorder="1"/>
    <xf numFmtId="20" fontId="13" fillId="0" borderId="17" xfId="0" applyNumberFormat="1" applyFont="1" applyBorder="1"/>
    <xf numFmtId="20" fontId="13" fillId="0" borderId="13" xfId="0" applyNumberFormat="1" applyFont="1" applyBorder="1"/>
    <xf numFmtId="0" fontId="13" fillId="0" borderId="18" xfId="0" applyFont="1" applyBorder="1"/>
    <xf numFmtId="20" fontId="13" fillId="0" borderId="20" xfId="0" applyNumberFormat="1" applyFont="1" applyBorder="1"/>
    <xf numFmtId="0" fontId="15" fillId="37" borderId="3" xfId="0" applyFont="1" applyFill="1" applyBorder="1"/>
    <xf numFmtId="0" fontId="15" fillId="37" borderId="7" xfId="0" applyFont="1" applyFill="1" applyBorder="1"/>
    <xf numFmtId="0" fontId="15" fillId="38" borderId="7" xfId="0" applyFont="1" applyFill="1" applyBorder="1"/>
    <xf numFmtId="0" fontId="15" fillId="38" borderId="14" xfId="0" applyFont="1" applyFill="1" applyBorder="1"/>
    <xf numFmtId="0" fontId="15" fillId="37" borderId="8" xfId="0" applyFont="1" applyFill="1" applyBorder="1"/>
    <xf numFmtId="0" fontId="15" fillId="37" borderId="26" xfId="0" applyFont="1" applyFill="1" applyBorder="1"/>
    <xf numFmtId="0" fontId="15" fillId="37" borderId="18" xfId="0" applyFont="1" applyFill="1" applyBorder="1"/>
    <xf numFmtId="0" fontId="10" fillId="26" borderId="19" xfId="0" applyFont="1" applyFill="1" applyBorder="1"/>
    <xf numFmtId="0" fontId="10" fillId="26" borderId="27" xfId="0" applyFont="1" applyFill="1" applyBorder="1"/>
    <xf numFmtId="0" fontId="15" fillId="0" borderId="0" xfId="0" applyFont="1"/>
    <xf numFmtId="20" fontId="15" fillId="0" borderId="0" xfId="0" applyNumberFormat="1" applyFont="1"/>
    <xf numFmtId="0" fontId="15" fillId="38" borderId="19" xfId="0" applyFont="1" applyFill="1" applyBorder="1"/>
    <xf numFmtId="0" fontId="15" fillId="38" borderId="0" xfId="0" applyFont="1" applyFill="1"/>
    <xf numFmtId="0" fontId="15" fillId="0" borderId="19" xfId="0" applyFont="1" applyBorder="1"/>
    <xf numFmtId="20" fontId="15" fillId="0" borderId="19" xfId="0" applyNumberFormat="1" applyFont="1" applyBorder="1"/>
    <xf numFmtId="0" fontId="15" fillId="38" borderId="20" xfId="0" applyFont="1" applyFill="1" applyBorder="1"/>
    <xf numFmtId="0" fontId="15" fillId="38" borderId="44" xfId="0" applyFont="1" applyFill="1" applyBorder="1"/>
    <xf numFmtId="0" fontId="15" fillId="38" borderId="45" xfId="0" applyFont="1" applyFill="1" applyBorder="1"/>
    <xf numFmtId="20" fontId="15" fillId="0" borderId="20" xfId="0" applyNumberFormat="1" applyFont="1" applyBorder="1"/>
    <xf numFmtId="0" fontId="13" fillId="0" borderId="20" xfId="0" applyFont="1" applyBorder="1"/>
    <xf numFmtId="0" fontId="15" fillId="0" borderId="13" xfId="0" applyFont="1" applyBorder="1"/>
    <xf numFmtId="0" fontId="15" fillId="38" borderId="17" xfId="0" applyFont="1" applyFill="1" applyBorder="1"/>
    <xf numFmtId="0" fontId="15" fillId="38" borderId="13" xfId="0" applyFont="1" applyFill="1" applyBorder="1"/>
    <xf numFmtId="0" fontId="15" fillId="0" borderId="17" xfId="0" applyFont="1" applyBorder="1"/>
    <xf numFmtId="0" fontId="15" fillId="38" borderId="18" xfId="0" applyFont="1" applyFill="1" applyBorder="1"/>
    <xf numFmtId="0" fontId="15" fillId="0" borderId="18" xfId="0" applyFont="1" applyBorder="1"/>
    <xf numFmtId="0" fontId="13" fillId="0" borderId="52" xfId="0" applyFont="1" applyBorder="1"/>
    <xf numFmtId="0" fontId="13" fillId="0" borderId="53" xfId="0" applyFont="1" applyBorder="1"/>
    <xf numFmtId="0" fontId="10" fillId="26" borderId="15" xfId="0" applyFont="1" applyFill="1" applyBorder="1"/>
    <xf numFmtId="0" fontId="10" fillId="26" borderId="31" xfId="0" applyFont="1" applyFill="1" applyBorder="1"/>
    <xf numFmtId="0" fontId="2" fillId="0" borderId="20" xfId="0" applyFont="1" applyBorder="1"/>
    <xf numFmtId="20" fontId="15" fillId="36" borderId="19" xfId="0" applyNumberFormat="1" applyFont="1" applyFill="1" applyBorder="1"/>
    <xf numFmtId="20" fontId="15" fillId="36" borderId="0" xfId="0" applyNumberFormat="1" applyFont="1" applyFill="1"/>
    <xf numFmtId="20" fontId="15" fillId="38" borderId="19" xfId="0" applyNumberFormat="1" applyFont="1" applyFill="1" applyBorder="1"/>
    <xf numFmtId="20" fontId="15" fillId="38" borderId="0" xfId="0" applyNumberFormat="1" applyFont="1" applyFill="1"/>
    <xf numFmtId="20" fontId="15" fillId="36" borderId="13" xfId="0" applyNumberFormat="1" applyFont="1" applyFill="1" applyBorder="1"/>
    <xf numFmtId="20" fontId="15" fillId="0" borderId="13" xfId="0" applyNumberFormat="1" applyFont="1" applyBorder="1"/>
    <xf numFmtId="20" fontId="15" fillId="0" borderId="17" xfId="0" applyNumberFormat="1" applyFont="1" applyBorder="1"/>
    <xf numFmtId="20" fontId="15" fillId="38" borderId="17" xfId="0" applyNumberFormat="1" applyFont="1" applyFill="1" applyBorder="1"/>
    <xf numFmtId="20" fontId="13" fillId="0" borderId="52" xfId="0" applyNumberFormat="1" applyFont="1" applyBorder="1"/>
    <xf numFmtId="20" fontId="13" fillId="0" borderId="53" xfId="0" applyNumberFormat="1" applyFont="1" applyBorder="1"/>
    <xf numFmtId="20" fontId="15" fillId="38" borderId="13" xfId="0" applyNumberFormat="1" applyFont="1" applyFill="1" applyBorder="1"/>
    <xf numFmtId="20" fontId="15" fillId="41" borderId="17" xfId="0" applyNumberFormat="1" applyFont="1" applyFill="1" applyBorder="1"/>
    <xf numFmtId="0" fontId="10" fillId="26" borderId="21" xfId="0" applyFont="1" applyFill="1" applyBorder="1"/>
    <xf numFmtId="0" fontId="10" fillId="26" borderId="32" xfId="0" applyFont="1" applyFill="1" applyBorder="1"/>
    <xf numFmtId="20" fontId="15" fillId="41" borderId="13" xfId="0" applyNumberFormat="1" applyFont="1" applyFill="1" applyBorder="1"/>
    <xf numFmtId="20" fontId="15" fillId="36" borderId="17" xfId="0" applyNumberFormat="1" applyFont="1" applyFill="1" applyBorder="1"/>
    <xf numFmtId="20" fontId="15" fillId="42" borderId="17" xfId="0" applyNumberFormat="1" applyFont="1" applyFill="1" applyBorder="1"/>
    <xf numFmtId="20" fontId="15" fillId="42" borderId="13" xfId="0" applyNumberFormat="1" applyFont="1" applyFill="1" applyBorder="1"/>
    <xf numFmtId="0" fontId="10" fillId="26" borderId="17" xfId="0" applyFont="1" applyFill="1" applyBorder="1"/>
    <xf numFmtId="0" fontId="10" fillId="26" borderId="28" xfId="0" applyFont="1" applyFill="1" applyBorder="1"/>
    <xf numFmtId="20" fontId="15" fillId="35" borderId="13" xfId="0" applyNumberFormat="1" applyFont="1" applyFill="1" applyBorder="1"/>
    <xf numFmtId="20" fontId="13" fillId="0" borderId="50" xfId="0" applyNumberFormat="1" applyFont="1" applyBorder="1"/>
    <xf numFmtId="20" fontId="15" fillId="0" borderId="15" xfId="0" applyNumberFormat="1" applyFont="1" applyBorder="1"/>
    <xf numFmtId="20" fontId="15" fillId="0" borderId="16" xfId="0" applyNumberFormat="1" applyFont="1" applyBorder="1"/>
    <xf numFmtId="20" fontId="15" fillId="41" borderId="19" xfId="0" applyNumberFormat="1" applyFont="1" applyFill="1" applyBorder="1"/>
    <xf numFmtId="20" fontId="15" fillId="42" borderId="19" xfId="0" applyNumberFormat="1" applyFont="1" applyFill="1" applyBorder="1"/>
    <xf numFmtId="20" fontId="15" fillId="42" borderId="0" xfId="0" applyNumberFormat="1" applyFont="1" applyFill="1"/>
    <xf numFmtId="20" fontId="13" fillId="32" borderId="0" xfId="0" applyNumberFormat="1" applyFont="1" applyFill="1"/>
    <xf numFmtId="20" fontId="15" fillId="41" borderId="0" xfId="0" applyNumberFormat="1" applyFont="1" applyFill="1"/>
    <xf numFmtId="0" fontId="15" fillId="33" borderId="19" xfId="0" applyFont="1" applyFill="1" applyBorder="1"/>
    <xf numFmtId="20" fontId="2" fillId="33" borderId="0" xfId="0" applyNumberFormat="1" applyFont="1" applyFill="1"/>
    <xf numFmtId="0" fontId="15" fillId="33" borderId="0" xfId="0" applyFont="1" applyFill="1"/>
    <xf numFmtId="20" fontId="15" fillId="33" borderId="19" xfId="0" applyNumberFormat="1" applyFont="1" applyFill="1" applyBorder="1"/>
    <xf numFmtId="20" fontId="15" fillId="33" borderId="0" xfId="0" applyNumberFormat="1" applyFont="1" applyFill="1"/>
    <xf numFmtId="0" fontId="13" fillId="33" borderId="0" xfId="0" applyFont="1" applyFill="1"/>
    <xf numFmtId="20" fontId="13" fillId="33" borderId="0" xfId="0" applyNumberFormat="1" applyFont="1" applyFill="1"/>
    <xf numFmtId="0" fontId="13" fillId="33" borderId="19" xfId="0" applyFont="1" applyFill="1" applyBorder="1"/>
    <xf numFmtId="20" fontId="13" fillId="33" borderId="19" xfId="0" applyNumberFormat="1" applyFont="1" applyFill="1" applyBorder="1"/>
    <xf numFmtId="0" fontId="15" fillId="34" borderId="17" xfId="0" applyFont="1" applyFill="1" applyBorder="1"/>
    <xf numFmtId="0" fontId="15" fillId="34" borderId="13" xfId="0" applyFont="1" applyFill="1" applyBorder="1"/>
    <xf numFmtId="20" fontId="15" fillId="34" borderId="17" xfId="0" applyNumberFormat="1" applyFont="1" applyFill="1" applyBorder="1"/>
    <xf numFmtId="20" fontId="15" fillId="34" borderId="13" xfId="0" applyNumberFormat="1" applyFont="1" applyFill="1" applyBorder="1"/>
    <xf numFmtId="0" fontId="13" fillId="34" borderId="13" xfId="0" applyFont="1" applyFill="1" applyBorder="1"/>
    <xf numFmtId="0" fontId="13" fillId="34" borderId="17" xfId="0" applyFont="1" applyFill="1" applyBorder="1"/>
    <xf numFmtId="20" fontId="13" fillId="34" borderId="17" xfId="0" applyNumberFormat="1" applyFont="1" applyFill="1" applyBorder="1"/>
    <xf numFmtId="20" fontId="13" fillId="34" borderId="13" xfId="0" applyNumberFormat="1" applyFont="1" applyFill="1" applyBorder="1"/>
    <xf numFmtId="20" fontId="13" fillId="34" borderId="58" xfId="0" applyNumberFormat="1" applyFont="1" applyFill="1" applyBorder="1"/>
    <xf numFmtId="20" fontId="15" fillId="33" borderId="20" xfId="0" applyNumberFormat="1" applyFont="1" applyFill="1" applyBorder="1"/>
    <xf numFmtId="20" fontId="15" fillId="35" borderId="19" xfId="0" applyNumberFormat="1" applyFont="1" applyFill="1" applyBorder="1"/>
    <xf numFmtId="20" fontId="15" fillId="35" borderId="0" xfId="0" applyNumberFormat="1" applyFont="1" applyFill="1"/>
    <xf numFmtId="0" fontId="13" fillId="34" borderId="59" xfId="0" applyFont="1" applyFill="1" applyBorder="1"/>
    <xf numFmtId="0" fontId="13" fillId="0" borderId="59" xfId="0" applyFont="1" applyBorder="1"/>
    <xf numFmtId="20" fontId="15" fillId="32" borderId="17" xfId="0" applyNumberFormat="1" applyFont="1" applyFill="1" applyBorder="1"/>
    <xf numFmtId="20" fontId="15" fillId="32" borderId="13" xfId="0" applyNumberFormat="1" applyFont="1" applyFill="1" applyBorder="1"/>
    <xf numFmtId="0" fontId="2" fillId="0" borderId="0" xfId="0" applyFont="1"/>
    <xf numFmtId="20" fontId="15" fillId="43" borderId="13" xfId="0" applyNumberFormat="1" applyFont="1" applyFill="1" applyBorder="1"/>
    <xf numFmtId="20" fontId="15" fillId="44" borderId="13" xfId="0" applyNumberFormat="1" applyFont="1" applyFill="1" applyBorder="1"/>
    <xf numFmtId="20" fontId="13" fillId="32" borderId="13" xfId="0" applyNumberFormat="1" applyFont="1" applyFill="1" applyBorder="1"/>
    <xf numFmtId="20" fontId="13" fillId="35" borderId="13" xfId="0" applyNumberFormat="1" applyFont="1" applyFill="1" applyBorder="1"/>
    <xf numFmtId="20" fontId="13" fillId="36" borderId="0" xfId="0" applyNumberFormat="1" applyFont="1" applyFill="1"/>
    <xf numFmtId="0" fontId="10" fillId="26" borderId="28" xfId="0" applyFont="1" applyFill="1" applyBorder="1" applyAlignment="1">
      <alignment wrapText="1"/>
    </xf>
    <xf numFmtId="0" fontId="10" fillId="0" borderId="19" xfId="0" applyFont="1" applyBorder="1"/>
    <xf numFmtId="0" fontId="10" fillId="0" borderId="17" xfId="0" applyFont="1" applyBorder="1"/>
    <xf numFmtId="0" fontId="2" fillId="38" borderId="13" xfId="0" applyFont="1" applyFill="1" applyBorder="1"/>
    <xf numFmtId="20" fontId="14" fillId="0" borderId="13" xfId="0" applyNumberFormat="1" applyFont="1" applyBorder="1"/>
    <xf numFmtId="0" fontId="2" fillId="36" borderId="33" xfId="0" applyFont="1" applyFill="1" applyBorder="1"/>
    <xf numFmtId="0" fontId="2" fillId="0" borderId="29" xfId="0" applyFont="1" applyBorder="1"/>
    <xf numFmtId="0" fontId="2" fillId="35" borderId="60" xfId="0" applyFont="1" applyFill="1" applyBorder="1"/>
    <xf numFmtId="0" fontId="2" fillId="0" borderId="61" xfId="0" applyFont="1" applyBorder="1"/>
    <xf numFmtId="0" fontId="2" fillId="32" borderId="60" xfId="0" applyFont="1" applyFill="1" applyBorder="1"/>
    <xf numFmtId="0" fontId="2" fillId="40" borderId="28" xfId="0" applyFont="1" applyFill="1" applyBorder="1"/>
    <xf numFmtId="0" fontId="2" fillId="0" borderId="18" xfId="0" applyFont="1" applyBorder="1"/>
    <xf numFmtId="0" fontId="19" fillId="0" borderId="0" xfId="0" applyFont="1"/>
    <xf numFmtId="0" fontId="15" fillId="0" borderId="2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0" fillId="26" borderId="50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2" fillId="0" borderId="0" xfId="0" applyFont="1"/>
    <xf numFmtId="20" fontId="15" fillId="45" borderId="13" xfId="0" applyNumberFormat="1" applyFont="1" applyFill="1" applyBorder="1"/>
    <xf numFmtId="20" fontId="15" fillId="32" borderId="19" xfId="0" applyNumberFormat="1" applyFont="1" applyFill="1" applyBorder="1"/>
    <xf numFmtId="0" fontId="10" fillId="46" borderId="17" xfId="0" applyFont="1" applyFill="1" applyBorder="1"/>
    <xf numFmtId="0" fontId="10" fillId="46" borderId="28" xfId="0" applyFont="1" applyFill="1" applyBorder="1"/>
    <xf numFmtId="0" fontId="15" fillId="46" borderId="13" xfId="0" applyFont="1" applyFill="1" applyBorder="1"/>
    <xf numFmtId="9" fontId="2" fillId="0" borderId="53" xfId="0" applyNumberFormat="1" applyFont="1" applyBorder="1" applyAlignment="1">
      <alignment horizontal="center" vertical="center"/>
    </xf>
    <xf numFmtId="0" fontId="10" fillId="26" borderId="5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3" fillId="31" borderId="19" xfId="0" applyFont="1" applyFill="1" applyBorder="1"/>
    <xf numFmtId="0" fontId="13" fillId="31" borderId="0" xfId="0" applyFont="1" applyFill="1"/>
    <xf numFmtId="20" fontId="13" fillId="31" borderId="19" xfId="0" applyNumberFormat="1" applyFont="1" applyFill="1" applyBorder="1"/>
    <xf numFmtId="20" fontId="13" fillId="31" borderId="0" xfId="0" applyNumberFormat="1" applyFont="1" applyFill="1"/>
    <xf numFmtId="0" fontId="13" fillId="31" borderId="17" xfId="0" applyFont="1" applyFill="1" applyBorder="1"/>
    <xf numFmtId="0" fontId="13" fillId="31" borderId="13" xfId="0" applyFont="1" applyFill="1" applyBorder="1"/>
    <xf numFmtId="0" fontId="14" fillId="0" borderId="20" xfId="0" applyFont="1" applyBorder="1"/>
    <xf numFmtId="20" fontId="13" fillId="31" borderId="17" xfId="0" applyNumberFormat="1" applyFont="1" applyFill="1" applyBorder="1"/>
    <xf numFmtId="20" fontId="13" fillId="31" borderId="13" xfId="0" applyNumberFormat="1" applyFont="1" applyFill="1" applyBorder="1"/>
    <xf numFmtId="0" fontId="14" fillId="31" borderId="0" xfId="0" applyFont="1" applyFill="1"/>
    <xf numFmtId="20" fontId="13" fillId="0" borderId="15" xfId="0" applyNumberFormat="1" applyFont="1" applyBorder="1"/>
    <xf numFmtId="20" fontId="13" fillId="0" borderId="16" xfId="0" applyNumberFormat="1" applyFont="1" applyBorder="1"/>
    <xf numFmtId="20" fontId="14" fillId="0" borderId="0" xfId="0" applyNumberFormat="1" applyFont="1"/>
    <xf numFmtId="0" fontId="13" fillId="31" borderId="20" xfId="0" applyFont="1" applyFill="1" applyBorder="1"/>
    <xf numFmtId="20" fontId="13" fillId="41" borderId="0" xfId="0" applyNumberFormat="1" applyFont="1" applyFill="1"/>
    <xf numFmtId="20" fontId="20" fillId="0" borderId="0" xfId="0" applyNumberFormat="1" applyFont="1"/>
    <xf numFmtId="0" fontId="14" fillId="0" borderId="13" xfId="0" applyFont="1" applyBorder="1"/>
    <xf numFmtId="20" fontId="14" fillId="0" borderId="17" xfId="0" applyNumberFormat="1" applyFont="1" applyBorder="1"/>
    <xf numFmtId="16" fontId="11" fillId="27" borderId="25" xfId="0" applyNumberFormat="1" applyFont="1" applyFill="1" applyBorder="1" applyAlignment="1">
      <alignment horizontal="center" vertical="center"/>
    </xf>
    <xf numFmtId="16" fontId="11" fillId="27" borderId="37" xfId="0" applyNumberFormat="1" applyFont="1" applyFill="1" applyBorder="1" applyAlignment="1">
      <alignment horizontal="center" vertical="center"/>
    </xf>
    <xf numFmtId="0" fontId="10" fillId="27" borderId="15" xfId="0" applyFont="1" applyFill="1" applyBorder="1" applyAlignment="1">
      <alignment horizontal="center" vertical="center"/>
    </xf>
    <xf numFmtId="0" fontId="10" fillId="27" borderId="17" xfId="0" applyFont="1" applyFill="1" applyBorder="1" applyAlignment="1">
      <alignment horizontal="center" vertical="center"/>
    </xf>
    <xf numFmtId="0" fontId="10" fillId="27" borderId="35" xfId="0" applyFont="1" applyFill="1" applyBorder="1" applyAlignment="1">
      <alignment horizontal="center" vertical="center"/>
    </xf>
    <xf numFmtId="0" fontId="10" fillId="27" borderId="36" xfId="0" applyFont="1" applyFill="1" applyBorder="1" applyAlignment="1">
      <alignment horizontal="center" vertical="center"/>
    </xf>
    <xf numFmtId="16" fontId="11" fillId="4" borderId="25" xfId="0" applyNumberFormat="1" applyFont="1" applyFill="1" applyBorder="1" applyAlignment="1">
      <alignment horizontal="center" vertical="center"/>
    </xf>
    <xf numFmtId="16" fontId="11" fillId="4" borderId="37" xfId="0" applyNumberFormat="1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4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6" fontId="11" fillId="27" borderId="38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17" fontId="4" fillId="11" borderId="10" xfId="0" applyNumberFormat="1" applyFont="1" applyFill="1" applyBorder="1" applyAlignment="1">
      <alignment horizontal="center" vertical="center" wrapText="1"/>
    </xf>
    <xf numFmtId="17" fontId="4" fillId="11" borderId="8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  <xf numFmtId="17" fontId="3" fillId="12" borderId="4" xfId="0" applyNumberFormat="1" applyFont="1" applyFill="1" applyBorder="1" applyAlignment="1">
      <alignment horizontal="center" vertical="center" wrapText="1"/>
    </xf>
    <xf numFmtId="17" fontId="3" fillId="12" borderId="11" xfId="0" applyNumberFormat="1" applyFont="1" applyFill="1" applyBorder="1" applyAlignment="1">
      <alignment horizontal="center" vertical="center" wrapText="1"/>
    </xf>
    <xf numFmtId="17" fontId="3" fillId="12" borderId="6" xfId="0" applyNumberFormat="1" applyFont="1" applyFill="1" applyBorder="1" applyAlignment="1">
      <alignment horizontal="center" vertical="center" wrapText="1"/>
    </xf>
    <xf numFmtId="17" fontId="4" fillId="11" borderId="1" xfId="0" applyNumberFormat="1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/>
    </xf>
    <xf numFmtId="0" fontId="9" fillId="21" borderId="6" xfId="0" applyFont="1" applyFill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6" fontId="5" fillId="7" borderId="0" xfId="0" applyNumberFormat="1" applyFont="1" applyFill="1" applyAlignment="1">
      <alignment horizontal="center" vertical="center"/>
    </xf>
    <xf numFmtId="16" fontId="5" fillId="4" borderId="0" xfId="0" applyNumberFormat="1" applyFont="1" applyFill="1" applyAlignment="1">
      <alignment horizontal="center" vertical="center"/>
    </xf>
    <xf numFmtId="16" fontId="5" fillId="19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0" fillId="23" borderId="2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16" fontId="11" fillId="22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15" fillId="39" borderId="42" xfId="0" applyFont="1" applyFill="1" applyBorder="1" applyAlignment="1">
      <alignment horizontal="center" vertical="center"/>
    </xf>
    <xf numFmtId="0" fontId="15" fillId="39" borderId="0" xfId="0" applyFont="1" applyFill="1" applyAlignment="1">
      <alignment horizontal="center" vertical="center"/>
    </xf>
    <xf numFmtId="0" fontId="15" fillId="39" borderId="23" xfId="0" applyFont="1" applyFill="1" applyBorder="1" applyAlignment="1">
      <alignment horizontal="center" vertical="center"/>
    </xf>
    <xf numFmtId="0" fontId="15" fillId="39" borderId="14" xfId="0" applyFont="1" applyFill="1" applyBorder="1" applyAlignment="1">
      <alignment horizontal="center" vertical="center"/>
    </xf>
    <xf numFmtId="0" fontId="10" fillId="26" borderId="51" xfId="0" applyFont="1" applyFill="1" applyBorder="1" applyAlignment="1">
      <alignment horizontal="center" vertical="center"/>
    </xf>
    <xf numFmtId="0" fontId="10" fillId="26" borderId="5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6" fillId="39" borderId="49" xfId="0" applyFont="1" applyFill="1" applyBorder="1" applyAlignment="1">
      <alignment horizontal="center" vertical="center"/>
    </xf>
    <xf numFmtId="0" fontId="16" fillId="39" borderId="50" xfId="0" applyFont="1" applyFill="1" applyBorder="1" applyAlignment="1">
      <alignment horizontal="center" vertical="center"/>
    </xf>
    <xf numFmtId="0" fontId="17" fillId="39" borderId="49" xfId="0" applyFont="1" applyFill="1" applyBorder="1" applyAlignment="1">
      <alignment horizontal="center" vertical="center"/>
    </xf>
    <xf numFmtId="0" fontId="17" fillId="39" borderId="50" xfId="0" applyFont="1" applyFill="1" applyBorder="1" applyAlignment="1">
      <alignment horizontal="center" vertical="center"/>
    </xf>
    <xf numFmtId="0" fontId="10" fillId="26" borderId="50" xfId="0" applyFont="1" applyFill="1" applyBorder="1" applyAlignment="1">
      <alignment horizontal="center" vertical="center"/>
    </xf>
    <xf numFmtId="0" fontId="10" fillId="26" borderId="49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0" fillId="0" borderId="6" xfId="0" applyBorder="1" applyAlignment="1"/>
    <xf numFmtId="0" fontId="0" fillId="10" borderId="6" xfId="0" applyFill="1" applyBorder="1" applyAlignment="1"/>
    <xf numFmtId="0" fontId="0" fillId="5" borderId="6" xfId="0" applyFill="1" applyBorder="1" applyAlignment="1"/>
    <xf numFmtId="0" fontId="0" fillId="8" borderId="6" xfId="0" applyFill="1" applyBorder="1" applyAlignment="1"/>
    <xf numFmtId="0" fontId="0" fillId="9" borderId="6" xfId="0" applyFill="1" applyBorder="1" applyAlignment="1"/>
    <xf numFmtId="0" fontId="0" fillId="0" borderId="3" xfId="0" applyBorder="1" applyAlignment="1"/>
    <xf numFmtId="0" fontId="10" fillId="37" borderId="15" xfId="0" applyFont="1" applyFill="1" applyBorder="1" applyAlignment="1"/>
    <xf numFmtId="16" fontId="15" fillId="37" borderId="21" xfId="0" applyNumberFormat="1" applyFont="1" applyFill="1" applyBorder="1" applyAlignment="1"/>
    <xf numFmtId="0" fontId="15" fillId="37" borderId="47" xfId="0" applyFont="1" applyFill="1" applyBorder="1" applyAlignment="1"/>
    <xf numFmtId="16" fontId="15" fillId="37" borderId="48" xfId="0" applyNumberFormat="1" applyFont="1" applyFill="1" applyBorder="1" applyAlignment="1"/>
    <xf numFmtId="16" fontId="15" fillId="38" borderId="48" xfId="0" applyNumberFormat="1" applyFont="1" applyFill="1" applyBorder="1" applyAlignment="1"/>
    <xf numFmtId="0" fontId="15" fillId="38" borderId="47" xfId="0" applyFont="1" applyFill="1" applyBorder="1" applyAlignment="1"/>
    <xf numFmtId="0" fontId="10" fillId="37" borderId="17" xfId="0" applyFont="1" applyFill="1" applyBorder="1" applyAlignment="1"/>
    <xf numFmtId="0" fontId="10" fillId="37" borderId="46" xfId="0" applyFont="1" applyFill="1" applyBorder="1" applyAlignment="1"/>
    <xf numFmtId="0" fontId="18" fillId="38" borderId="21" xfId="0" applyFont="1" applyFill="1" applyBorder="1" applyAlignment="1"/>
    <xf numFmtId="0" fontId="18" fillId="38" borderId="2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6ECF4A"/>
      <color rgb="FFF1FADE"/>
      <color rgb="FFF0EFCE"/>
      <color rgb="FFD5EBF5"/>
      <color rgb="FFF7F3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'FEBRERO 2026'!$S$2:$S$3</c:f>
              <c:strCache>
                <c:ptCount val="2"/>
                <c:pt idx="0">
                  <c:v>PROMEDIO DE CUMPLIMIENTO</c:v>
                </c:pt>
                <c:pt idx="1">
                  <c:v>WHATSAPP – IMAGEN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'FEBRERO 2026'!$R$4:$R$15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GRUPO BALBROS</c:v>
                </c:pt>
                <c:pt idx="11">
                  <c:v>T-MEX</c:v>
                </c:pt>
              </c:strCache>
            </c:strRef>
          </c:cat>
          <c:val>
            <c:numRef>
              <c:f>'FEBRERO 2026'!$S$4:$S$15</c:f>
              <c:numCache>
                <c:formatCode>0%</c:formatCode>
                <c:ptCount val="12"/>
                <c:pt idx="0">
                  <c:v>0.99305555555555547</c:v>
                </c:pt>
                <c:pt idx="1">
                  <c:v>0.79444444444444451</c:v>
                </c:pt>
                <c:pt idx="2">
                  <c:v>0.95555555555555549</c:v>
                </c:pt>
                <c:pt idx="3">
                  <c:v>0</c:v>
                </c:pt>
                <c:pt idx="4">
                  <c:v>0.98611111111111105</c:v>
                </c:pt>
                <c:pt idx="5">
                  <c:v>0.75694444444444442</c:v>
                </c:pt>
                <c:pt idx="6">
                  <c:v>0.84722222222222232</c:v>
                </c:pt>
                <c:pt idx="7">
                  <c:v>0.81111111111111123</c:v>
                </c:pt>
                <c:pt idx="8">
                  <c:v>0.80555555555555558</c:v>
                </c:pt>
                <c:pt idx="9">
                  <c:v>0.77777777777777779</c:v>
                </c:pt>
                <c:pt idx="10">
                  <c:v>0.30937500000000007</c:v>
                </c:pt>
                <c:pt idx="11">
                  <c:v>1.0555555555555556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1-49A3-B5CD-EAB321BFFB15}"/>
            </c:ext>
          </c:extLst>
        </c:ser>
        <c:ser>
          <c:idx val="1"/>
          <c:order val="1"/>
          <c:tx>
            <c:strRef>
              <c:f>'FEBRERO 2026'!$T$2:$T$3</c:f>
              <c:strCache>
                <c:ptCount val="2"/>
                <c:pt idx="0">
                  <c:v>PROMEDIO DE CUMPLIMIENTO</c:v>
                </c:pt>
                <c:pt idx="1">
                  <c:v>APP SAFETY CULTURE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'FEBRERO 2026'!$R$4:$R$15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GRUPO BALBROS</c:v>
                </c:pt>
                <c:pt idx="11">
                  <c:v>T-MEX</c:v>
                </c:pt>
              </c:strCache>
            </c:strRef>
          </c:cat>
          <c:val>
            <c:numRef>
              <c:f>'FEBRERO 2026'!$T$4:$T$15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1-49A3-B5CD-EAB321BFFB15}"/>
            </c:ext>
          </c:extLst>
        </c:ser>
        <c:ser>
          <c:idx val="2"/>
          <c:order val="2"/>
          <c:tx>
            <c:strRef>
              <c:f>'FEBRERO 2026'!$U$2:$U$3</c:f>
              <c:strCache>
                <c:ptCount val="2"/>
                <c:pt idx="0">
                  <c:v>PROMEDIO DE CUMPLIMIENTO</c:v>
                </c:pt>
                <c:pt idx="1">
                  <c:v>GENERAL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'FEBRERO 2026'!$R$4:$R$15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GRUPO BALBROS</c:v>
                </c:pt>
                <c:pt idx="11">
                  <c:v>T-MEX</c:v>
                </c:pt>
              </c:strCache>
            </c:strRef>
          </c:cat>
          <c:val>
            <c:numRef>
              <c:f>'FEBRERO 2026'!$U$4:$U$15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D1-49A3-B5CD-EAB321BFF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77728775"/>
        <c:axId val="818070536"/>
      </c:barChart>
      <c:catAx>
        <c:axId val="7772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70536"/>
        <c:crosses val="autoZero"/>
        <c:auto val="1"/>
        <c:lblAlgn val="ctr"/>
        <c:lblOffset val="100"/>
        <c:noMultiLvlLbl val="0"/>
      </c:catAx>
      <c:valAx>
        <c:axId val="818070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CUMPLIMIENTO TOP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'MARZO 2026'!$S$4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'MARZO 2026'!$Q$5:$Q$17</c:f>
              <c:strCache>
                <c:ptCount val="12"/>
                <c:pt idx="0">
                  <c:v>AZCAPO</c:v>
                </c:pt>
                <c:pt idx="1">
                  <c:v>TULTITLÁN</c:v>
                </c:pt>
                <c:pt idx="2">
                  <c:v>TULTIPARK</c:v>
                </c:pt>
                <c:pt idx="3">
                  <c:v>SMO</c:v>
                </c:pt>
                <c:pt idx="4">
                  <c:v>TEPOTZOTLÁN</c:v>
                </c:pt>
                <c:pt idx="5">
                  <c:v>QRO</c:v>
                </c:pt>
                <c:pt idx="6">
                  <c:v>TOLUCA</c:v>
                </c:pt>
                <c:pt idx="7">
                  <c:v>GUADALAJARA</c:v>
                </c:pt>
                <c:pt idx="8">
                  <c:v>MONTERREY</c:v>
                </c:pt>
                <c:pt idx="9">
                  <c:v>CANCÚN</c:v>
                </c:pt>
                <c:pt idx="10">
                  <c:v>BALBROS</c:v>
                </c:pt>
                <c:pt idx="11">
                  <c:v>T-MEX PARK</c:v>
                </c:pt>
              </c:strCache>
            </c:strRef>
          </c:cat>
          <c:val>
            <c:numRef>
              <c:f>'MARZO 2026'!$S$5:$S$17</c:f>
              <c:numCache>
                <c:formatCode>0%</c:formatCode>
                <c:ptCount val="13"/>
                <c:pt idx="0">
                  <c:v>0.99305555555555547</c:v>
                </c:pt>
                <c:pt idx="1">
                  <c:v>0.79444444444444451</c:v>
                </c:pt>
                <c:pt idx="2">
                  <c:v>0.95555555555555549</c:v>
                </c:pt>
                <c:pt idx="3">
                  <c:v>0</c:v>
                </c:pt>
                <c:pt idx="4">
                  <c:v>0.98611111111111105</c:v>
                </c:pt>
                <c:pt idx="5">
                  <c:v>0.75694444444444442</c:v>
                </c:pt>
                <c:pt idx="6">
                  <c:v>0.84722222222222232</c:v>
                </c:pt>
                <c:pt idx="7">
                  <c:v>0.81111111111111123</c:v>
                </c:pt>
                <c:pt idx="8">
                  <c:v>0.80555555555555558</c:v>
                </c:pt>
                <c:pt idx="9">
                  <c:v>0.77777777777777779</c:v>
                </c:pt>
                <c:pt idx="10">
                  <c:v>0.30937500000000007</c:v>
                </c:pt>
                <c:pt idx="11">
                  <c:v>1.0555555555555556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9-46E1-A321-2FBE28DACAF2}"/>
            </c:ext>
          </c:extLst>
        </c:ser>
        <c:ser>
          <c:idx val="1"/>
          <c:order val="1"/>
          <c:tx>
            <c:strRef>
              <c:f>'MARZO 2026'!$T$4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'MARZO 2026'!$Q$5:$Q$17</c:f>
              <c:strCache>
                <c:ptCount val="12"/>
                <c:pt idx="0">
                  <c:v>AZCAPO</c:v>
                </c:pt>
                <c:pt idx="1">
                  <c:v>TULTITLÁN</c:v>
                </c:pt>
                <c:pt idx="2">
                  <c:v>TULTIPARK</c:v>
                </c:pt>
                <c:pt idx="3">
                  <c:v>SMO</c:v>
                </c:pt>
                <c:pt idx="4">
                  <c:v>TEPOTZOTLÁN</c:v>
                </c:pt>
                <c:pt idx="5">
                  <c:v>QRO</c:v>
                </c:pt>
                <c:pt idx="6">
                  <c:v>TOLUCA</c:v>
                </c:pt>
                <c:pt idx="7">
                  <c:v>GUADALAJARA</c:v>
                </c:pt>
                <c:pt idx="8">
                  <c:v>MONTERREY</c:v>
                </c:pt>
                <c:pt idx="9">
                  <c:v>CANCÚN</c:v>
                </c:pt>
                <c:pt idx="10">
                  <c:v>BALBROS</c:v>
                </c:pt>
                <c:pt idx="11">
                  <c:v>T-MEX PARK</c:v>
                </c:pt>
              </c:strCache>
            </c:strRef>
          </c:cat>
          <c:val>
            <c:numRef>
              <c:f>'MARZO 2026'!$T$5:$T$17</c:f>
              <c:numCache>
                <c:formatCode>0%</c:formatCode>
                <c:ptCount val="13"/>
                <c:pt idx="0">
                  <c:v>0.9285714285714286</c:v>
                </c:pt>
                <c:pt idx="1">
                  <c:v>0.89047619047619053</c:v>
                </c:pt>
                <c:pt idx="2">
                  <c:v>0.92380952380952375</c:v>
                </c:pt>
                <c:pt idx="3">
                  <c:v>0.81349206349206338</c:v>
                </c:pt>
                <c:pt idx="4">
                  <c:v>0.92857142857142871</c:v>
                </c:pt>
                <c:pt idx="5">
                  <c:v>0.81547619047619047</c:v>
                </c:pt>
                <c:pt idx="6">
                  <c:v>0.78174603174603163</c:v>
                </c:pt>
                <c:pt idx="7">
                  <c:v>0.86904761904761896</c:v>
                </c:pt>
                <c:pt idx="8">
                  <c:v>0.7142857142857143</c:v>
                </c:pt>
                <c:pt idx="9">
                  <c:v>0.80357142857142849</c:v>
                </c:pt>
                <c:pt idx="10">
                  <c:v>0.61428571428571421</c:v>
                </c:pt>
                <c:pt idx="11">
                  <c:v>1</c:v>
                </c:pt>
                <c:pt idx="12">
                  <c:v>0.84027777777777768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39-46E1-A321-2FBE28DAC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676871"/>
        <c:axId val="632678919"/>
      </c:barChart>
      <c:catAx>
        <c:axId val="632676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678919"/>
        <c:crosses val="autoZero"/>
        <c:auto val="1"/>
        <c:lblAlgn val="ctr"/>
        <c:lblOffset val="100"/>
        <c:noMultiLvlLbl val="0"/>
      </c:catAx>
      <c:valAx>
        <c:axId val="632678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67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0</xdr:row>
      <xdr:rowOff>0</xdr:rowOff>
    </xdr:from>
    <xdr:to>
      <xdr:col>11</xdr:col>
      <xdr:colOff>390525</xdr:colOff>
      <xdr:row>1</xdr:row>
      <xdr:rowOff>123825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93E68400-3205-4BD2-B688-3299AA387705}"/>
            </a:ext>
            <a:ext uri="{147F2762-F138-4A5C-976F-8EAC2B608ADB}">
              <a16:predDERef xmlns:a16="http://schemas.microsoft.com/office/drawing/2014/main" pred="{AD74F5D8-7B0C-4BA3-9B46-1D2E8DF6E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8325" y="0"/>
          <a:ext cx="4572000" cy="1343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323850</xdr:colOff>
      <xdr:row>1</xdr:row>
      <xdr:rowOff>419100</xdr:rowOff>
    </xdr:from>
    <xdr:to>
      <xdr:col>31</xdr:col>
      <xdr:colOff>19050</xdr:colOff>
      <xdr:row>14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AFABEA-90D1-E7E3-DBB5-9931BB407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542925</xdr:colOff>
      <xdr:row>3</xdr:row>
      <xdr:rowOff>28575</xdr:rowOff>
    </xdr:from>
    <xdr:to>
      <xdr:col>26</xdr:col>
      <xdr:colOff>428625</xdr:colOff>
      <xdr:row>16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B408F6-8E0B-181A-8391-D45F17946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257175</xdr:colOff>
      <xdr:row>0</xdr:row>
      <xdr:rowOff>0</xdr:rowOff>
    </xdr:from>
    <xdr:to>
      <xdr:col>11</xdr:col>
      <xdr:colOff>390525</xdr:colOff>
      <xdr:row>1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1DA0FD-B8F2-D0C7-6588-883D43F241AA}"/>
            </a:ext>
            <a:ext uri="{147F2762-F138-4A5C-976F-8EAC2B608ADB}">
              <a16:predDERef xmlns:a16="http://schemas.microsoft.com/office/drawing/2014/main" pred="{0AB408F6-8E0B-181A-8391-D45F1794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8325" y="0"/>
          <a:ext cx="4572000" cy="13430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adalupe Yasmin Arriaga Juache" id="{7D3CCA4C-0F8C-4D63-A084-CB60253EF1E1}" userId="S::garriaga@prk.com.mx::da48155a-d75e-48aa-bef1-6684894cbb6c" providerId="AD"/>
  <person displayName="Luis Enrique Cuellar Ruiz" id="{1F601FDB-48B1-4DDB-8823-2EF9345F79A4}" userId="S::lcuellar@prk.com.mx::196e40d7-653b-4e64-9e2a-427f4f457487" providerId="AD"/>
  <person displayName="Usuario invitado" id="{4EEDFC18-B801-49D6-BBD6-7B0B48143924}" userId="S::urn:spo:tenantanon#3512e3a5-6d76-4f57-9717-4fdbe4c9e07f::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10" dT="2026-01-26T18:07:00.18" personId="{7D3CCA4C-0F8C-4D63-A084-CB60253EF1E1}" id="{B9C3EE53-D7AE-489B-B7A7-A251E1A263F5}">
    <text>TOP REALIZADO, SE LE OLVIDO SU MOVI CORPORATIVO</text>
  </threadedComment>
  <threadedComment ref="AW10" dT="2026-01-26T18:07:10.42" personId="{7D3CCA4C-0F8C-4D63-A084-CB60253EF1E1}" id="{5B701857-4443-4AB1-B679-062AD9953F43}">
    <text>TOP REALIZADO, SE LE OLVIDO SU MOVI CORPORATIVO</text>
  </threadedComment>
  <threadedComment ref="AT19" dT="2026-01-26T16:41:28.80" personId="{7D3CCA4C-0F8C-4D63-A084-CB60253EF1E1}" id="{A68B73A7-5E9B-4867-948A-26972A725366}">
    <text>Auditoria VIS</text>
  </threadedComment>
  <threadedComment ref="Z20" dT="2026-01-20T21:45:47.61" personId="{4EEDFC18-B801-49D6-BBD6-7B0B48143924}" id="{453CB5CF-67E8-4F1B-8868-2F7AD07060F2}">
    <text>Sin JO</text>
  </threadedComment>
  <threadedComment ref="AR20" dT="2026-01-26T17:22:28.95" personId="{1F601FDB-48B1-4DDB-8823-2EF9345F79A4}" id="{47A9FA20-7729-4CCB-A0B4-220F426141C3}">
    <text>recorrido sin JO</text>
  </threadedComment>
  <threadedComment ref="AT20" dT="2026-01-26T16:36:12.58" personId="{7D3CCA4C-0F8C-4D63-A084-CB60253EF1E1}" id="{0A8E310F-D125-4BA4-8A0B-7B4ED4B50F84}">
    <text>Top reportado por JO</text>
  </threadedComment>
  <threadedComment ref="AU20" dT="2026-01-26T16:44:27.13" personId="{7D3CCA4C-0F8C-4D63-A084-CB60253EF1E1}" id="{B43DE1E7-6D9A-44B6-97E6-D6BCED26A257}">
    <text>Por JO</text>
  </threadedComment>
  <threadedComment ref="AF28" dT="2026-01-21T18:59:11.74" personId="{4EEDFC18-B801-49D6-BBD6-7B0B48143924}" id="{777850EB-3BD3-4513-BA4C-7C05829D7C73}">
    <text xml:space="preserve">TOP Concluido </text>
  </threadedComment>
  <threadedComment ref="AA29" dT="2026-01-20T22:31:15.09" personId="{4EEDFC18-B801-49D6-BBD6-7B0B48143924}" id="{A7707117-2296-4C76-9058-634A743248CD}">
    <text>Por JO</text>
  </threadedComment>
  <threadedComment ref="AF29" dT="2026-01-21T19:00:38.25" personId="{4EEDFC18-B801-49D6-BBD6-7B0B48143924}" id="{537A9E37-89A0-437B-823B-F686BE0EB39C}">
    <text xml:space="preserve">TOP Concluido </text>
  </threadedComment>
  <threadedComment ref="AP29" dT="2026-01-21T22:22:56.20" personId="{4EEDFC18-B801-49D6-BBD6-7B0B48143924}" id="{1743DA7F-80DE-4A71-9A89-20646AF5839A}">
    <text>TOP Concluido</text>
  </threadedComment>
  <threadedComment ref="AG30" dT="2026-01-21T19:57:42.49" personId="{4EEDFC18-B801-49D6-BBD6-7B0B48143924}" id="{C1AD5860-5FD8-4ED8-A493-C44FBC7B121E}">
    <text>TOP Concluido REENVIADO</text>
  </threadedComment>
  <threadedComment ref="AR30" dT="2026-01-26T16:52:29.83" personId="{1F601FDB-48B1-4DDB-8823-2EF9345F79A4}" id="{498C6C4F-8CE7-4B44-814C-8D2DE8BB8CA0}">
    <text xml:space="preserve">sin jefe op
</text>
  </threadedComment>
  <threadedComment ref="AD31" dT="2026-01-21T15:40:35.10" personId="{4EEDFC18-B801-49D6-BBD6-7B0B48143924}" id="{591088ED-3EDD-4219-B677-365DA1D8254F}">
    <text>Por JO</text>
  </threadedComment>
  <threadedComment ref="AR32" dT="2026-01-26T17:21:38.54" personId="{1F601FDB-48B1-4DDB-8823-2EF9345F79A4}" id="{4625D5AD-C519-49A8-8904-AB7DC3D1E331}">
    <text xml:space="preserve">recirrido sin JO
</text>
  </threadedComment>
  <threadedComment ref="AA34" dT="2026-01-20T22:27:50.12" personId="{4EEDFC18-B801-49D6-BBD6-7B0B48143924}" id="{A6B5F729-93E7-4553-9B1F-7CE8D1CC496F}">
    <text>Por JO</text>
  </threadedComment>
  <threadedComment ref="AD34" dT="2026-01-21T15:39:42.00" personId="{4EEDFC18-B801-49D6-BBD6-7B0B48143924}" id="{8E662B0F-0FD0-4BBC-A3B0-FD8E5E2B5658}">
    <text>Por JO</text>
  </threadedComment>
  <threadedComment ref="AE34" dT="2026-01-21T16:02:42.90" personId="{4EEDFC18-B801-49D6-BBD6-7B0B48143924}" id="{43A5B38A-4310-401F-AC30-5376DF1CFB5C}">
    <text>Por JO</text>
  </threadedComment>
  <threadedComment ref="AG34" dT="2026-01-21T19:44:06.98" personId="{4EEDFC18-B801-49D6-BBD6-7B0B48143924}" id="{478B5C44-93E8-4EEF-B097-B8F12DF842AF}">
    <text>Por JO</text>
  </threadedComment>
  <threadedComment ref="Z36" dT="2026-01-20T22:29:17.57" personId="{4EEDFC18-B801-49D6-BBD6-7B0B48143924}" id="{AE074946-AFD8-4E18-8BA9-A880D1EB6178}">
    <text>Sin JO</text>
  </threadedComment>
  <threadedComment ref="AA36" dT="2026-01-20T22:29:23.69" personId="{4EEDFC18-B801-49D6-BBD6-7B0B48143924}" id="{4A35F9C5-1A77-4B37-B11E-D818F1220436}">
    <text>Sin JO</text>
  </threadedComment>
  <threadedComment ref="AB36" dT="2026-01-20T22:59:48.00" personId="{4EEDFC18-B801-49D6-BBD6-7B0B48143924}" id="{F25BE8C3-B425-4BA7-B1FC-96D1966ED860}">
    <text>Vacante JO</text>
  </threadedComment>
  <threadedComment ref="AS37" dT="2026-01-26T18:03:01.83" personId="{1F601FDB-48B1-4DDB-8823-2EF9345F79A4}" id="{5FB92E93-315B-4E8C-AE12-41BAD6BA7146}">
    <text>echo solo por trainee</text>
  </threadedComment>
  <threadedComment ref="Z38" dT="2026-01-20T21:46:03.11" personId="{4EEDFC18-B801-49D6-BBD6-7B0B48143924}" id="{31DCCB53-2A33-4019-9BF8-0225D0381D07}">
    <text>Sin JO</text>
  </threadedComment>
  <threadedComment ref="AI40" dT="2026-01-21T20:54:52.34" personId="{4EEDFC18-B801-49D6-BBD6-7B0B48143924}" id="{97EF4FAB-05CF-43F8-B000-AFDB187B64DD}">
    <text>TOP Concluido</text>
  </threadedComment>
  <threadedComment ref="AB43" dT="2026-01-20T22:49:49.12" personId="{4EEDFC18-B801-49D6-BBD6-7B0B48143924}" id="{A139A61D-CFBD-4476-B8F0-D532723239F3}">
    <text>Por JO</text>
  </threadedComment>
  <threadedComment ref="AC43" dT="2026-01-20T23:34:59.45" personId="{4EEDFC18-B801-49D6-BBD6-7B0B48143924}" id="{DA7183FE-7A15-4AC4-B6BF-C6F88677736D}">
    <text>Sin JO</text>
  </threadedComment>
  <threadedComment ref="AF43" dT="2026-01-21T18:55:56.14" personId="{4EEDFC18-B801-49D6-BBD6-7B0B48143924}" id="{D04DA704-C785-428C-8564-A6B0C118BE5B}">
    <text>Por JO</text>
  </threadedComment>
  <threadedComment ref="AT43" dT="2026-01-26T16:21:30.79" personId="{7D3CCA4C-0F8C-4D63-A084-CB60253EF1E1}" id="{5E6FD79E-1239-4D06-91D3-E6A3EA405C35}">
    <text>Top por JO</text>
  </threadedComment>
  <threadedComment ref="BB43" dT="2026-01-26T18:10:28.34" personId="{7D3CCA4C-0F8C-4D63-A084-CB60253EF1E1}" id="{77B49FFC-8C72-4D00-8A29-9F6BEBC98223}">
    <text>Top por JO</text>
  </threadedComment>
  <threadedComment ref="AB46" dT="2026-01-20T23:25:08.95" personId="{4EEDFC18-B801-49D6-BBD6-7B0B48143924}" id="{93B9D9FD-AA69-4145-A0A1-F67956A12D4B}">
    <text xml:space="preserve">Solo Final del top </text>
  </threadedComment>
  <threadedComment ref="AC46" dT="2026-01-20T23:33:26.83" personId="{4EEDFC18-B801-49D6-BBD6-7B0B48143924}" id="{1F29B516-6EBA-496D-A3A0-3365AA167055}">
    <text xml:space="preserve">TOP Concluido, sin chaleco </text>
  </threadedComment>
  <threadedComment ref="AD46" dT="2026-01-21T15:54:10.47" personId="{4EEDFC18-B801-49D6-BBD6-7B0B48143924}" id="{53CBF3D3-3B16-42DD-BEDB-2FD8BBBD6163}">
    <text>TOP Concluido</text>
  </threadedComment>
  <threadedComment ref="AE46" dT="2026-01-21T16:13:01.03" personId="{4EEDFC18-B801-49D6-BBD6-7B0B48143924}" id="{DF57154C-7013-46FD-8165-F4F415B0A271}">
    <text>TOP Concluido</text>
  </threadedComment>
  <threadedComment ref="AF46" dT="2026-01-21T18:53:24.92" personId="{4EEDFC18-B801-49D6-BBD6-7B0B48143924}" id="{2F1D0C24-73E0-4817-973C-E0B6F630ED40}">
    <text xml:space="preserve">TOP Concluido </text>
  </threadedComment>
  <threadedComment ref="AG46" dT="2026-01-21T19:43:23.20" personId="{4EEDFC18-B801-49D6-BBD6-7B0B48143924}" id="{542D39F7-2211-4F23-A6CF-F14B84BA07E5}">
    <text xml:space="preserve">TOP Concluido </text>
  </threadedComment>
  <threadedComment ref="AI46" dT="2026-01-21T20:39:14.64" personId="{4EEDFC18-B801-49D6-BBD6-7B0B48143924}" id="{62C9F1EF-55F2-4668-BCC6-4EA45BC13832}">
    <text xml:space="preserve">TOP Concluido, suele enviar el top finalizado </text>
  </threadedComment>
  <threadedComment ref="AN46" dT="2026-01-21T22:03:31.49" personId="{4EEDFC18-B801-49D6-BBD6-7B0B48143924}" id="{7A293667-FB22-4BC0-BCA1-6C699821E73D}">
    <text>TOP Concluido</text>
  </threadedComment>
  <threadedComment ref="AP46" dT="2026-01-21T22:31:47.23" personId="{4EEDFC18-B801-49D6-BBD6-7B0B48143924}" id="{0655DBBE-2E2A-43B6-BFCA-2FBAF9F8C42B}">
    <text>TOP Concluido</text>
  </threadedComment>
  <threadedComment ref="AQ48" dT="2026-01-21T22:32:28.89" personId="{4EEDFC18-B801-49D6-BBD6-7B0B48143924}" id="{EF4CFDB5-DDAE-4FD4-82EC-A808F1899184}">
    <text>Auditoria VIS</text>
  </threadedComment>
  <threadedComment ref="AH53" dT="2026-01-21T20:28:49.63" personId="{4EEDFC18-B801-49D6-BBD6-7B0B48143924}" id="{04568CE5-8A00-4FFA-B4A9-3CD887293F3E}">
    <text>TOP Concluido</text>
  </threadedComment>
  <threadedComment ref="AB54" dT="2026-01-20T23:14:59.93" personId="{4EEDFC18-B801-49D6-BBD6-7B0B48143924}" id="{497E6050-081C-46DC-AFF6-5D2FE213F7EF}">
    <text xml:space="preserve">Recorrido con el regional Guillermo por temas de fuga </text>
  </threadedComment>
  <threadedComment ref="AU55" dT="2026-01-26T16:50:34.07" personId="{7D3CCA4C-0F8C-4D63-A084-CB60253EF1E1}" id="{D90AFC72-3949-4E19-8A4E-CE6D9AA7F28D}">
    <text>Recorrido por Allan Y Gustavo V.</text>
  </threadedComment>
  <threadedComment ref="AA58" dT="2026-01-20T22:34:48.54" personId="{4EEDFC18-B801-49D6-BBD6-7B0B48143924}" id="{A4F03526-80D7-4BD9-B2C4-DED27EBCC6F7}">
    <text>Solo envía final del top por el JO</text>
  </threadedComment>
  <threadedComment ref="AB58" dT="2026-01-20T23:20:31.58" personId="{4EEDFC18-B801-49D6-BBD6-7B0B48143924}" id="{8F7B7A17-D1B2-4B0F-83A1-C594C3F63EE1}">
    <text>Fin del recorrido con sus fotos</text>
  </threadedComment>
  <threadedComment ref="AC58" dT="2026-01-20T23:48:07.00" personId="{4EEDFC18-B801-49D6-BBD6-7B0B48143924}" id="{62E6B4D6-9F92-4449-90B8-7EFE06A9F8FD}">
    <text xml:space="preserve">Top Concluido </text>
  </threadedComment>
  <threadedComment ref="AD58" dT="2026-01-21T15:48:29.37" personId="{4EEDFC18-B801-49D6-BBD6-7B0B48143924}" id="{369992A2-499F-4381-9149-4208C574F710}">
    <text xml:space="preserve">TOP Concluido, el adm no sube foto de inicio del top </text>
  </threadedComment>
  <threadedComment ref="AF58" dT="2026-01-21T19:26:29.42" personId="{4EEDFC18-B801-49D6-BBD6-7B0B48143924}" id="{81D35B6E-0A68-4B58-99CE-679D01CF3070}">
    <text xml:space="preserve">TOP Concluido </text>
  </threadedComment>
  <threadedComment ref="AG58" dT="2026-01-21T19:56:07.19" personId="{4EEDFC18-B801-49D6-BBD6-7B0B48143924}" id="{AEAE26D0-A2B7-4C11-B3F6-CA3ADFE134CD}">
    <text>Manda el final de su top completo, pero no envía el inicio ni foto con su JO</text>
  </threadedComment>
  <threadedComment ref="AX58" dT="2026-01-26T18:03:34.66" personId="{7D3CCA4C-0F8C-4D63-A084-CB60253EF1E1}" id="{8CE7FC91-C2EC-4F73-83EB-9269ECAB07F7}">
    <text>Recorrido por personal de mtto</text>
  </threadedComment>
  <threadedComment ref="AC59" dT="2026-01-20T23:43:29.83" personId="{4EEDFC18-B801-49D6-BBD6-7B0B48143924}" id="{A8055005-EE4C-4F81-8A34-F3C1E2893889}">
    <text>Sin JO, sin chaleco</text>
  </threadedComment>
  <threadedComment ref="AF59" dT="2026-01-21T19:00:01.65" personId="{4EEDFC18-B801-49D6-BBD6-7B0B48143924}" id="{FB59E004-A000-4C68-BF59-154150CD42D1}">
    <text>sin uso del chaleco y sin JO</text>
  </threadedComment>
  <threadedComment ref="AN59" dT="2026-01-21T22:00:58.22" personId="{4EEDFC18-B801-49D6-BBD6-7B0B48143924}" id="{32FC65F6-D99B-47A2-93BA-F283F955B1E0}">
    <text>TOP Concluido</text>
  </threadedComment>
  <threadedComment ref="AQ59" dT="2026-01-21T22:43:16.38" personId="{4EEDFC18-B801-49D6-BBD6-7B0B48143924}" id="{63FCF30C-D3B4-477F-9EB0-8CC05705CEA2}">
    <text>Top Concluido</text>
  </threadedComment>
  <threadedComment ref="Z61" dT="2026-01-20T21:46:30.71" personId="{4EEDFC18-B801-49D6-BBD6-7B0B48143924}" id="{74B1DD6A-9563-4908-9074-CB4155C2199F}">
    <text>Sin JO</text>
  </threadedComment>
  <threadedComment ref="AR61" dT="2026-01-26T17:23:01.90" personId="{1F601FDB-48B1-4DDB-8823-2EF9345F79A4}" id="{A9E9741B-3E3E-4F5C-96B3-6578300D7D35}">
    <text xml:space="preserve">recorrido sin JO
</text>
  </threadedComment>
  <threadedComment ref="AB62" dT="2026-01-20T23:22:34.36" personId="{4EEDFC18-B801-49D6-BBD6-7B0B48143924}" id="{E14DAECD-42B7-4551-A668-9F3164336CE7}">
    <text>Por JO</text>
  </threadedComment>
  <threadedComment ref="AF62" dT="2026-01-21T19:05:58.44" personId="{4EEDFC18-B801-49D6-BBD6-7B0B48143924}" id="{F9A303F3-ED65-4461-A801-B4DC46B6A144}">
    <text xml:space="preserve">TOP Concluido </text>
  </threadedComment>
  <threadedComment ref="AH62" dT="2026-01-21T20:33:50.65" personId="{4EEDFC18-B801-49D6-BBD6-7B0B48143924}" id="{2BA6F396-1962-4035-81FF-CF66972E827C}">
    <text>TOP Concluido</text>
  </threadedComment>
  <threadedComment ref="AI62" dT="2026-01-21T20:53:14.95" personId="{4EEDFC18-B801-49D6-BBD6-7B0B48143924}" id="{57C2FE42-27EF-4ED6-92AB-AC13E62B86BB}">
    <text>TOP Concluido</text>
  </threadedComment>
  <threadedComment ref="AD63" dT="2026-01-21T15:55:38.74" personId="{4EEDFC18-B801-49D6-BBD6-7B0B48143924}" id="{AA12B1E6-4391-4DCD-84AA-8E653E1FA885}">
    <text xml:space="preserve">TOP Concluido </text>
  </threadedComment>
  <threadedComment ref="AF63" dT="2026-01-21T19:01:55.69" personId="{4EEDFC18-B801-49D6-BBD6-7B0B48143924}" id="{6F485C67-9BCC-4EF8-AC75-6BC2751EF142}">
    <text>TOP Concluido</text>
  </threadedComment>
  <threadedComment ref="AH63" dT="2026-01-21T20:32:56.96" personId="{4EEDFC18-B801-49D6-BBD6-7B0B48143924}" id="{01298B3A-5C63-4194-AA1F-6AAC82C10A88}">
    <text>TOP Concluido</text>
  </threadedComment>
  <threadedComment ref="AI63" dT="2026-01-21T20:58:51.70" personId="{4EEDFC18-B801-49D6-BBD6-7B0B48143924}" id="{04E88F49-D04E-4BB4-9B96-16CD09D394A8}">
    <text>TOP Concluido</text>
  </threadedComment>
  <threadedComment ref="AO63" dT="2026-01-21T22:15:30.93" personId="{4EEDFC18-B801-49D6-BBD6-7B0B48143924}" id="{97F0D48F-0507-421C-ACE7-A51E69154E39}">
    <text>TOP Concluido</text>
  </threadedComment>
  <threadedComment ref="AP63" dT="2026-01-21T22:23:46.07" personId="{4EEDFC18-B801-49D6-BBD6-7B0B48143924}" id="{ABAA4E9A-FAB7-426B-B88E-3153878E5FFD}">
    <text>TOP Concluido</text>
  </threadedComment>
  <threadedComment ref="AQ63" dT="2026-01-21T22:45:47.21" personId="{4EEDFC18-B801-49D6-BBD6-7B0B48143924}" id="{E652CBF5-9250-4EA1-B5FA-94D1EFF0248F}">
    <text>Top Concluido</text>
  </threadedComment>
  <threadedComment ref="AU63" dT="2026-01-26T17:00:37.00" personId="{7D3CCA4C-0F8C-4D63-A084-CB60253EF1E1}" id="{70A25B31-53B5-4A5A-B3A1-948C868D9AA9}">
    <text>TOP Concluido</text>
  </threadedComment>
  <threadedComment ref="AB64" dT="2026-01-20T23:16:43.25" personId="{4EEDFC18-B801-49D6-BBD6-7B0B48143924}" id="{F6E645D7-DECA-4EE3-94B5-D41AB2958E13}">
    <text>Por JO</text>
  </threadedComment>
  <threadedComment ref="AH64" dT="2026-01-21T20:30:40.31" personId="{4EEDFC18-B801-49D6-BBD6-7B0B48143924}" id="{F1598BF0-ECCE-4A84-93A4-67A3D89F15C2}">
    <text>TOP Concluido</text>
  </threadedComment>
  <threadedComment ref="AN64" dT="2026-01-21T21:59:31.48" personId="{4EEDFC18-B801-49D6-BBD6-7B0B48143924}" id="{E3DA97CB-D733-4137-BF3F-88A4FDEE07B4}">
    <text xml:space="preserve">TOP por JO </text>
  </threadedComment>
  <threadedComment ref="AP64" dT="2026-01-21T22:27:55.28" personId="{4EEDFC18-B801-49D6-BBD6-7B0B48143924}" id="{282F05C4-FCA8-4126-A60F-2FDBC6568648}">
    <text>Top Concluido</text>
  </threadedComment>
  <threadedComment ref="AA65" dT="2026-01-20T22:30:25.57" personId="{4EEDFC18-B801-49D6-BBD6-7B0B48143924}" id="{F4615EF6-7026-4894-B780-10E7E00B94C8}">
    <text>Sin JO</text>
  </threadedComment>
  <threadedComment ref="AB65" dT="2026-01-20T23:13:16.50" personId="{4EEDFC18-B801-49D6-BBD6-7B0B48143924}" id="{9EF63075-0A89-4DCB-8244-904767319CE4}">
    <text xml:space="preserve">Solo fin del recorrido con Erika Trejo </text>
  </threadedComment>
  <threadedComment ref="AE65" dT="2026-01-21T16:14:45.68" personId="{4EEDFC18-B801-49D6-BBD6-7B0B48143924}" id="{8B4E8EFB-DD81-4FC6-8C4D-3A29EE9FB44C}">
    <text xml:space="preserve">TOP Concluido </text>
  </threadedComment>
  <threadedComment ref="AO65" dT="2026-01-21T22:14:21.36" personId="{4EEDFC18-B801-49D6-BBD6-7B0B48143924}" id="{47E7B057-D29F-4731-A457-764551ED2252}">
    <text>Por JO</text>
  </threadedComment>
  <threadedComment ref="AT65" dT="2026-01-26T16:35:30.87" personId="{7D3CCA4C-0F8C-4D63-A084-CB60253EF1E1}" id="{A0475A93-9778-41DB-BB89-E756B364AB96}">
    <text>Top por JO</text>
  </threadedComment>
  <threadedComment ref="AV65" dT="2026-01-26T17:22:41.51" personId="{7D3CCA4C-0F8C-4D63-A084-CB60253EF1E1}" id="{6085B2CD-7E5C-4B02-B2B3-46C7DA0D2B70}">
    <text>Top por JO</text>
  </threadedComment>
  <threadedComment ref="Z66" dT="2026-01-20T21:55:45.80" personId="{4EEDFC18-B801-49D6-BBD6-7B0B48143924}" id="{8BA6D7CD-3490-4A53-B219-3CC6627C6DCE}">
    <text>Por JO</text>
  </threadedComment>
  <threadedComment ref="AB66" dT="2026-01-20T23:20:57.94" personId="{4EEDFC18-B801-49D6-BBD6-7B0B48143924}" id="{FA83FDBA-8C8E-4574-A2A0-B8D2F6186E47}">
    <text>Por JO</text>
  </threadedComment>
  <threadedComment ref="AC66" dT="2026-01-20T23:45:48.08" personId="{4EEDFC18-B801-49D6-BBD6-7B0B48143924}" id="{7ADB1799-DD9F-451E-9383-18CA3339DA8C}">
    <text>Por JO</text>
  </threadedComment>
  <threadedComment ref="AD66" dT="2026-01-21T15:46:40.89" personId="{4EEDFC18-B801-49D6-BBD6-7B0B48143924}" id="{C2A19E55-12EB-495A-951B-E999E3F4E42A}">
    <text>Sin JO</text>
  </threadedComment>
  <threadedComment ref="AF66" dT="2026-01-21T19:01:16.35" personId="{4EEDFC18-B801-49D6-BBD6-7B0B48143924}" id="{05EABCE1-90F2-482D-9916-69224DD08616}">
    <text>Por JO</text>
  </threadedComment>
  <threadedComment ref="AH66" dT="2026-01-21T20:33:24.20" personId="{4EEDFC18-B801-49D6-BBD6-7B0B48143924}" id="{1DC60872-FA41-4385-BC43-48699A8FA183}">
    <text>TOP Concluido</text>
  </threadedComment>
  <threadedComment ref="AK66" dT="2026-01-21T21:36:15.07" personId="{4EEDFC18-B801-49D6-BBD6-7B0B48143924}" id="{2B67F6C2-D4C8-4D09-B49A-583588CEE55A}">
    <text>Por JO</text>
  </threadedComment>
  <threadedComment ref="AQ66" dT="2026-01-21T22:44:23.35" personId="{4EEDFC18-B801-49D6-BBD6-7B0B48143924}" id="{1E8FB841-28DF-479E-844A-B1B0BF080EED}">
    <text>Por JO</text>
  </threadedComment>
  <threadedComment ref="AW66" dT="2026-01-26T18:00:48.26" personId="{7D3CCA4C-0F8C-4D63-A084-CB60253EF1E1}" id="{830BA9B1-F44A-4714-BB77-B3EC6CAC4691}">
    <text>Top por JO</text>
  </threadedComment>
  <threadedComment ref="AA68" dT="2026-01-20T22:36:19.18" personId="{4EEDFC18-B801-49D6-BBD6-7B0B48143924}" id="{61737532-438D-4020-AB07-D4D960B4C437}">
    <text>Sin JO</text>
  </threadedComment>
  <threadedComment ref="AB68" dT="2026-01-20T23:24:31.08" personId="{4EEDFC18-B801-49D6-BBD6-7B0B48143924}" id="{1647F1F9-9D86-4862-9916-CA1959620D7A}">
    <text>Sin JO</text>
  </threadedComment>
  <threadedComment ref="AU68" dT="2026-01-26T16:54:48.88" personId="{7D3CCA4C-0F8C-4D63-A084-CB60253EF1E1}" id="{27C22D7C-CA76-4EDC-B3DB-C1C1E03A6A59}">
    <text>Top NO REALIZADO POR LLUVIA</text>
  </threadedComment>
  <threadedComment ref="A70" dT="2026-01-20T22:08:08.21" personId="{4EEDFC18-B801-49D6-BBD6-7B0B48143924}" id="{6AB64932-70BF-4A83-A342-CC02FA6F2638}">
    <text>Solo figura responsiva, pero se administra por clientes.</text>
  </threadedComment>
  <threadedComment ref="AB70" dT="2026-01-20T23:32:20.29" personId="{4EEDFC18-B801-49D6-BBD6-7B0B48143924}" id="{5D00A84A-3448-48AA-9703-614D3F31F4ED}">
    <text>Solo Fin del TOP, una foto</text>
  </threadedComment>
  <threadedComment ref="AO70" dT="2026-01-21T22:05:54.07" personId="{4EEDFC18-B801-49D6-BBD6-7B0B48143924}" id="{16250599-73D6-46E9-825E-CC21672D55FC}">
    <text xml:space="preserve">Solo subió una foto </text>
  </threadedComment>
  <threadedComment ref="AU70" dT="2026-01-26T16:47:03.48" personId="{7D3CCA4C-0F8C-4D63-A084-CB60253EF1E1}" id="{76DCBAA5-54B9-45F6-92BE-FD515C5DE71E}">
    <text>Auditoría VIS</text>
  </threadedComment>
  <threadedComment ref="AA71" dT="2026-01-20T22:37:13.74" personId="{4EEDFC18-B801-49D6-BBD6-7B0B48143924}" id="{3E94B1D5-0206-40A3-A8E8-5E9EA0C2C59F}">
    <text xml:space="preserve">Solo envió el final del top </text>
  </threadedComment>
  <threadedComment ref="AA73" dT="2026-01-20T22:32:15.84" personId="{4EEDFC18-B801-49D6-BBD6-7B0B48143924}" id="{8C472591-B279-49A4-B53C-DE069C7D44E6}">
    <text xml:space="preserve">Solo envía en final del recorrido </text>
  </threadedComment>
  <threadedComment ref="AC73" dT="2026-01-20T23:46:50.22" personId="{4EEDFC18-B801-49D6-BBD6-7B0B48143924}" id="{E2405E23-8971-475D-8612-996729BDB5BD}">
    <text>TOP Concluido</text>
  </threadedComment>
  <threadedComment ref="AP73" dT="2026-01-21T22:28:20.58" personId="{4EEDFC18-B801-49D6-BBD6-7B0B48143924}" id="{ACC56731-71AB-40E8-931D-3296EF96DF02}">
    <text xml:space="preserve">TOP Concluido </text>
  </threadedComment>
  <threadedComment ref="AD74" dT="2026-01-21T15:53:17.33" personId="{4EEDFC18-B801-49D6-BBD6-7B0B48143924}" id="{BE049C2E-0258-4B65-B0C8-2198D94D5B5B}">
    <text>Visita de inspección a Vitro</text>
  </threadedComment>
  <threadedComment ref="AH74" dT="2026-01-21T20:32:07.18" personId="{4EEDFC18-B801-49D6-BBD6-7B0B48143924}" id="{DF05B969-FCF9-4FEF-96F6-923712382C49}">
    <text>Por JO</text>
  </threadedComment>
  <threadedComment ref="AR74" dT="2026-01-26T17:24:25.36" personId="{1F601FDB-48B1-4DDB-8823-2EF9345F79A4}" id="{AA9E588C-C71C-49EC-B6D3-138CBC5EAFEE}">
    <text>SIN JO</text>
  </threadedComment>
  <threadedComment ref="Z75" dT="2026-01-20T22:15:56.15" personId="{4EEDFC18-B801-49D6-BBD6-7B0B48143924}" id="{FAC4C77B-BFF7-45CB-AF82-B93155F74333}">
    <text>Sin JO</text>
  </threadedComment>
  <threadedComment ref="AA75" dT="2026-01-20T22:19:41.55" personId="{4EEDFC18-B801-49D6-BBD6-7B0B48143924}" id="{4F40FE8F-3B7C-4D1F-9DC6-2EF9E3A5C1A4}">
    <text xml:space="preserve">Sin JO
</text>
  </threadedComment>
  <threadedComment ref="AB76" dT="2026-01-20T23:02:26.04" personId="{4EEDFC18-B801-49D6-BBD6-7B0B48143924}" id="{29CB8934-09EA-46BE-9F49-0CCF3110B590}">
    <text>Sin JO</text>
  </threadedComment>
  <threadedComment ref="Z77" dT="2026-01-20T21:44:31.03" personId="{4EEDFC18-B801-49D6-BBD6-7B0B48143924}" id="{8AA8308A-51FC-48D6-A210-69BCF4134562}">
    <text>Por JO</text>
  </threadedComment>
  <threadedComment ref="AA77" dT="2026-01-20T22:24:07.77" personId="{4EEDFC18-B801-49D6-BBD6-7B0B48143924}" id="{57671564-9DE4-4872-8ED9-2800DC7D12E2}">
    <text>Por JO</text>
  </threadedComment>
  <threadedComment ref="AC77" dT="2026-01-20T23:38:57.64" personId="{4EEDFC18-B801-49D6-BBD6-7B0B48143924}" id="{983110DB-ACF5-4F64-81B8-37D56F7F7A74}">
    <text>Por JO</text>
  </threadedComment>
  <threadedComment ref="AE77" dT="2026-01-21T16:12:29.32" personId="{4EEDFC18-B801-49D6-BBD6-7B0B48143924}" id="{902FB587-5F6B-4B44-93BF-EF578394EE35}">
    <text>Por JO</text>
  </threadedComment>
  <threadedComment ref="AF77" dT="2026-01-21T18:52:50.11" personId="{4EEDFC18-B801-49D6-BBD6-7B0B48143924}" id="{082BC376-DF3C-459F-AF88-D3779F74B822}">
    <text>Por JO</text>
  </threadedComment>
  <threadedComment ref="AN77" dT="2026-01-21T21:53:41.95" personId="{4EEDFC18-B801-49D6-BBD6-7B0B48143924}" id="{858E59B1-7199-41AC-80E8-C984B41FF019}">
    <text>Por JO</text>
  </threadedComment>
  <threadedComment ref="AO77" dT="2026-01-21T22:11:58.47" personId="{4EEDFC18-B801-49D6-BBD6-7B0B48143924}" id="{CEDF7581-E75C-495A-977A-48DAE615B362}">
    <text>Por JO</text>
  </threadedComment>
  <threadedComment ref="AR77" dT="2026-01-26T16:56:44.57" personId="{1F601FDB-48B1-4DDB-8823-2EF9345F79A4}" id="{A280157E-39DD-4F43-B1C4-74C13D541F07}">
    <text xml:space="preserve">recorrido por JO
</text>
  </threadedComment>
  <threadedComment ref="AX77" dT="2026-01-26T18:04:48.52" personId="{7D3CCA4C-0F8C-4D63-A084-CB60253EF1E1}" id="{3C7D0AD0-7947-4559-A1F2-8860CFA211D9}">
    <text>Top por JO</text>
  </threadedComment>
  <threadedComment ref="BB77" dT="2026-01-26T18:08:09.15" personId="{7D3CCA4C-0F8C-4D63-A084-CB60253EF1E1}" id="{61C95F87-BFA0-4491-BB61-BEFDFC1F7468}">
    <text>Top por JO</text>
  </threadedComment>
  <threadedComment ref="Z78" dT="2026-01-20T21:48:47.53" personId="{4EEDFC18-B801-49D6-BBD6-7B0B48143924}" id="{2B0FD590-17D7-46C8-ACCE-4DE3AB609B4B}">
    <text>Sin JO</text>
  </threadedComment>
  <threadedComment ref="AF78" dT="2026-01-21T19:04:57.57" personId="{4EEDFC18-B801-49D6-BBD6-7B0B48143924}" id="{10F0220D-D88F-46CE-89AB-D572FF1E24C6}">
    <text xml:space="preserve">Manda foto del tanque elevado </text>
  </threadedComment>
  <threadedComment ref="AJ78" dT="2026-01-21T21:32:57.25" personId="{4EEDFC18-B801-49D6-BBD6-7B0B48143924}" id="{EC048FD8-16D4-461D-8118-6450B20D3C25}">
    <text>Por JO</text>
  </threadedComment>
  <threadedComment ref="AB79" dT="2026-01-20T23:03:11.89" personId="{4EEDFC18-B801-49D6-BBD6-7B0B48143924}" id="{80E14151-F77D-440B-8F96-49AEF79813D4}">
    <text>Sin JO</text>
  </threadedComment>
  <threadedComment ref="AD79" dT="2026-01-21T15:38:05.63" personId="{4EEDFC18-B801-49D6-BBD6-7B0B48143924}" id="{B2913816-A770-4569-92BB-EBA2CC9EE481}">
    <text>Sin JO</text>
  </threadedComment>
  <threadedComment ref="AB80" dT="2026-01-20T22:50:13.07" personId="{4EEDFC18-B801-49D6-BBD6-7B0B48143924}" id="{63103CA6-5817-4B3E-938A-B989D75C8389}">
    <text>Por JO</text>
  </threadedComment>
  <threadedComment ref="AB86" dT="2026-01-20T23:14:01.51" personId="{4EEDFC18-B801-49D6-BBD6-7B0B48143924}" id="{CBD2FE59-7B39-4704-8A01-7CFC49EC9D5B}">
    <text xml:space="preserve">Solo en fin del Recorrido con sus fotos </text>
  </threadedComment>
  <threadedComment ref="AN86" dT="2026-01-21T22:00:00.41" personId="{4EEDFC18-B801-49D6-BBD6-7B0B48143924}" id="{49EB8F6C-3436-4D44-954C-83F77D1C34DF}">
    <text>TOP Concluido</text>
  </threadedComment>
  <threadedComment ref="AF89" dT="2026-01-21T19:28:30.11" personId="{4EEDFC18-B801-49D6-BBD6-7B0B48143924}" id="{AB3AADD8-F3E4-4715-9C54-69374DDDF8E7}">
    <text>TOP Concluido</text>
  </threadedComment>
  <threadedComment ref="AA90" dT="2026-01-20T22:26:52.54" personId="{4EEDFC18-B801-49D6-BBD6-7B0B48143924}" id="{3B6EB7F5-1BA0-47FC-A895-C17371E19EE5}">
    <text>Sin JO</text>
  </threadedComment>
  <threadedComment ref="AB90" dT="2026-01-20T23:03:34.07" personId="{4EEDFC18-B801-49D6-BBD6-7B0B48143924}" id="{0C7BB101-971D-48ED-9C84-56B6FC01C399}">
    <text>Sin JO</text>
  </threadedComment>
  <threadedComment ref="AC90" dT="2026-01-20T23:35:57.23" personId="{4EEDFC18-B801-49D6-BBD6-7B0B48143924}" id="{6225DE43-57BF-4C9A-8437-4F59594326B0}">
    <text>Sin JO</text>
  </threadedComment>
  <threadedComment ref="AI90" dT="2026-01-21T20:43:42.86" personId="{4EEDFC18-B801-49D6-BBD6-7B0B48143924}" id="{705CDA3E-60BE-4BC9-B43E-7875F26C5878}">
    <text>Sin JO</text>
  </threadedComment>
  <threadedComment ref="AT90" dT="2026-01-26T16:25:23.81" personId="{7D3CCA4C-0F8C-4D63-A084-CB60253EF1E1}" id="{F7DBC067-77AF-4115-A080-143B6E155B49}">
    <text>Sin JO</text>
  </threadedComment>
  <threadedComment ref="AV90" dT="2026-01-26T17:12:57.96" personId="{7D3CCA4C-0F8C-4D63-A084-CB60253EF1E1}" id="{24D8804B-554D-4A9B-AEE5-9D1EE634DFEF}">
    <text>Sin JO</text>
  </threadedComment>
  <threadedComment ref="BB90" dT="2026-01-26T18:14:35.22" personId="{7D3CCA4C-0F8C-4D63-A084-CB60253EF1E1}" id="{E5ED752E-F62F-404C-9EB6-0B8423E705BA}">
    <text>Top sin JO</text>
  </threadedComment>
  <threadedComment ref="AB93" dT="2026-01-20T23:12:27.45" personId="{4EEDFC18-B801-49D6-BBD6-7B0B48143924}" id="{399B3E4E-4AA0-4D24-A156-24CBE7A0DEB8}">
    <text>Solo foto de la vialidad, TOP Concluido con Adriana G.</text>
  </threadedComment>
  <threadedComment ref="AB95" dT="2026-01-20T23:29:10.04" personId="{4EEDFC18-B801-49D6-BBD6-7B0B48143924}" id="{2C55A0E9-8BBF-47AF-9BA2-35990D045828}">
    <text>Top Concluido</text>
  </threadedComment>
  <threadedComment ref="AD95" dT="2026-01-21T15:54:56.49" personId="{4EEDFC18-B801-49D6-BBD6-7B0B48143924}" id="{91DE9942-29E9-425D-8872-C3E3C21EC7BD}">
    <text>TOP Concluido</text>
  </threadedComment>
  <threadedComment ref="AH95" dT="2026-01-21T20:29:51.46" personId="{4EEDFC18-B801-49D6-BBD6-7B0B48143924}" id="{3AA325D6-FCA0-4706-B779-577CAD14F110}">
    <text xml:space="preserve">No sube el top completo </text>
  </threadedComment>
  <threadedComment ref="AN95" dT="2026-01-21T22:02:46.53" personId="{4EEDFC18-B801-49D6-BBD6-7B0B48143924}" id="{A4721DAB-C4C8-41C9-84D2-01A3D137111C}">
    <text>TOP Concluido</text>
  </threadedComment>
  <threadedComment ref="AQ95" dT="2026-01-21T22:41:14.65" personId="{4EEDFC18-B801-49D6-BBD6-7B0B48143924}" id="{5B83A534-245E-4190-AAE5-288EDE56DA46}">
    <text>Top Concluido</text>
  </threadedComment>
  <threadedComment ref="AU95" dT="2026-01-26T16:48:03.73" personId="{7D3CCA4C-0F8C-4D63-A084-CB60253EF1E1}" id="{07B7D3CD-C682-44ED-AB7D-8E91CF806111}">
    <text>Solo sube dos fotos de su top</text>
  </threadedComment>
  <threadedComment ref="AA97" dT="2026-01-20T22:37:57.79" personId="{4EEDFC18-B801-49D6-BBD6-7B0B48143924}" id="{7D757431-2171-40A8-9D80-5CF2BB15D506}">
    <text xml:space="preserve">Top con Luis Álvarez </text>
  </threadedComment>
  <threadedComment ref="AB97" dT="2026-01-20T23:31:44.48" personId="{4EEDFC18-B801-49D6-BBD6-7B0B48143924}" id="{0C926095-5C74-422B-8E93-E1737B1BEB97}">
    <text>Top Concluido</text>
  </threadedComment>
  <threadedComment ref="AC97" dT="2026-01-20T23:48:39.51" personId="{4EEDFC18-B801-49D6-BBD6-7B0B48143924}" id="{E2A86BF7-EB1B-492C-B6EB-B47903E67844}">
    <text>Top Concluido</text>
  </threadedComment>
  <threadedComment ref="AD97" dT="2026-01-21T15:46:17.48" personId="{4EEDFC18-B801-49D6-BBD6-7B0B48143924}" id="{705E81A2-C2CE-4341-A7E8-A6BCA8B35B8F}">
    <text>TOP Concluido</text>
  </threadedComment>
  <threadedComment ref="AF97" dT="2026-01-21T19:03:13.82" personId="{4EEDFC18-B801-49D6-BBD6-7B0B48143924}" id="{EE9AED60-82BD-461D-839E-062186432642}">
    <text xml:space="preserve">TOP Concluido </text>
  </threadedComment>
  <threadedComment ref="AI97" dT="2026-01-21T20:58:25.95" personId="{4EEDFC18-B801-49D6-BBD6-7B0B48143924}" id="{75422253-8A23-4738-B0CD-F3CDCFB6F415}">
    <text>TOP Concluido por Luis A.</text>
  </threadedComment>
  <threadedComment ref="AT97" dT="2026-01-26T16:40:51.68" personId="{7D3CCA4C-0F8C-4D63-A084-CB60253EF1E1}" id="{2255C7FB-9C41-42EA-8CD1-EE2CF9BADF5C}">
    <text>Recorrido por Luis Alvarez</text>
  </threadedComment>
  <threadedComment ref="AW97" dT="2026-01-26T17:59:37.23" personId="{7D3CCA4C-0F8C-4D63-A084-CB60253EF1E1}" id="{C72920D3-3D1E-46B5-8CB6-DBDEEDF7F1C6}">
    <text>Top por Luis A.</text>
  </threadedComment>
  <threadedComment ref="AB98" dT="2026-01-20T23:26:22.58" personId="{4EEDFC18-B801-49D6-BBD6-7B0B48143924}" id="{245A7C89-BD1F-4028-9B22-DD745B9D9D88}">
    <text xml:space="preserve">TOP Concluido </text>
  </threadedComment>
  <threadedComment ref="AC98" dT="2026-01-20T23:49:05.45" personId="{4EEDFC18-B801-49D6-BBD6-7B0B48143924}" id="{F2D8F4E0-F408-4245-AEFD-6ACF99CBFDE5}">
    <text xml:space="preserve">TOP Concluido </text>
  </threadedComment>
  <threadedComment ref="AE98" dT="2026-01-21T16:17:25.56" personId="{4EEDFC18-B801-49D6-BBD6-7B0B48143924}" id="{36EB027A-45E0-41EC-9866-2E0D7309A034}">
    <text>TOP Concluido con Claudia R.</text>
  </threadedComment>
  <threadedComment ref="AF98" dT="2026-01-21T19:26:06.16" personId="{4EEDFC18-B801-49D6-BBD6-7B0B48143924}" id="{62D28F73-7E05-43C6-B5EC-108C91937861}">
    <text xml:space="preserve">TOP Concluido </text>
  </threadedComment>
  <threadedComment ref="AN98" dT="2026-01-21T22:03:55.53" personId="{4EEDFC18-B801-49D6-BBD6-7B0B48143924}" id="{EA79B181-78D9-49AC-970A-FAA135027531}">
    <text>TOP Concluido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" dT="2026-02-04T22:21:44.18" personId="{7D3CCA4C-0F8C-4D63-A084-CB60253EF1E1}" id="{24CCD3B5-B66E-4234-9D66-4E0F1CA92826}">
    <text xml:space="preserve">Vacaciones el administrador </text>
  </threadedComment>
  <threadedComment ref="M34" dT="2026-02-06T00:09:18.75" personId="{7D3CCA4C-0F8C-4D63-A084-CB60253EF1E1}" id="{1AC3FA1D-AC53-44B4-A5B2-3435B358E37E}">
    <text>POR JO</text>
  </threadedComment>
  <threadedComment ref="H36" dT="2026-02-03T23:01:02.85" personId="{7D3CCA4C-0F8C-4D63-A084-CB60253EF1E1}" id="{D137D22F-5870-4FF0-9D3C-F4D3569F165A}">
    <text>POR JO</text>
  </threadedComment>
  <threadedComment ref="L36" dT="2026-02-05T23:59:25.49" personId="{7D3CCA4C-0F8C-4D63-A084-CB60253EF1E1}" id="{B3E9A381-1280-449C-BB77-18E4C20B4233}">
    <text>POR JO INCAPACIDAD ADM</text>
  </threadedComment>
  <threadedComment ref="T36" dT="2026-02-09T21:52:52.79" personId="{7D3CCA4C-0F8C-4D63-A084-CB60253EF1E1}" id="{3154DE31-EE33-4F32-A3A4-5C5F18311965}">
    <text>POR JO</text>
  </threadedComment>
  <threadedComment ref="J58" dT="2026-02-04T22:41:09.97" personId="{7D3CCA4C-0F8C-4D63-A084-CB60253EF1E1}" id="{3109A4F9-9C22-4D3D-A7E0-9191EFDC50D3}">
    <text>POR JO</text>
  </threadedComment>
  <threadedComment ref="J64" dT="2026-02-04T23:02:43.71" personId="{7D3CCA4C-0F8C-4D63-A084-CB60253EF1E1}" id="{FBFCD789-1A73-48B0-B48B-7B4463EA93B5}">
    <text>POR JO</text>
  </threadedComment>
  <threadedComment ref="T64" dT="2026-02-09T21:50:35.88" personId="{7D3CCA4C-0F8C-4D63-A084-CB60253EF1E1}" id="{B8CE305F-1668-457F-9FDF-8F691A60A4D3}">
    <text xml:space="preserve">POR JO </text>
  </threadedComment>
  <threadedComment ref="J66" dT="2026-02-04T22:42:51.38" personId="{7D3CCA4C-0F8C-4D63-A084-CB60253EF1E1}" id="{49E1DD61-E43B-4B73-B8CF-DFA6F7FD0884}">
    <text>POR JO</text>
  </threadedComment>
  <threadedComment ref="M66" dT="2026-02-06T00:18:30.03" personId="{7D3CCA4C-0F8C-4D63-A084-CB60253EF1E1}" id="{4FDE6027-3071-4956-9309-8F50692A803D}">
    <text xml:space="preserve">POR JO </text>
  </threadedComment>
  <threadedComment ref="A70" dT="2026-01-20T22:08:08.21" personId="{4EEDFC18-B801-49D6-BBD6-7B0B48143924}" id="{4DA11512-F7D1-450E-8592-28372B7589A9}">
    <text>Solo figura responsiva, pero se administra por clientes.</text>
  </threadedComment>
  <threadedComment ref="H76" dT="2026-02-03T23:03:51.48" personId="{7D3CCA4C-0F8C-4D63-A084-CB60253EF1E1}" id="{515A6018-5040-497F-A478-99536C74EA4F}">
    <text>POR JO</text>
  </threadedComment>
  <threadedComment ref="M76" dT="2026-02-06T00:06:28.03" personId="{7D3CCA4C-0F8C-4D63-A084-CB60253EF1E1}" id="{F17B05B7-0C78-443E-A982-47F8E6E5373E}">
    <text>POR JO</text>
  </threadedComment>
  <threadedComment ref="AD76" dT="2026-02-17T01:02:39.17" personId="{7D3CCA4C-0F8C-4D63-A084-CB60253EF1E1}" id="{0FD4995B-9B84-43F6-AC80-9EE624CF9F1C}">
    <text>POR JO</text>
  </threadedComment>
  <threadedComment ref="H77" dT="2026-02-03T23:00:49.79" personId="{7D3CCA4C-0F8C-4D63-A084-CB60253EF1E1}" id="{5935422F-3610-4149-9DC3-9F392BC5D49D}">
    <text>POR JO</text>
  </threadedComment>
  <threadedComment ref="M77" dT="2026-02-06T00:15:07.43" personId="{7D3CCA4C-0F8C-4D63-A084-CB60253EF1E1}" id="{C7A67670-058F-4675-B72B-97960F244058}">
    <text>POR JO</text>
  </threadedComment>
  <threadedComment ref="N77" dT="2026-02-06T18:38:28.24" personId="{7D3CCA4C-0F8C-4D63-A084-CB60253EF1E1}" id="{72A66313-5A2D-48D6-B596-B5E3F3A44EF3}">
    <text>POR JO</text>
  </threadedComment>
  <threadedComment ref="P77" dT="2026-02-09T21:31:39.95" personId="{7D3CCA4C-0F8C-4D63-A084-CB60253EF1E1}" id="{661988DB-384B-445D-96AC-C11932567734}">
    <text>POR JO</text>
  </threadedComment>
  <threadedComment ref="T77" dT="2026-02-09T21:44:44.93" personId="{7D3CCA4C-0F8C-4D63-A084-CB60253EF1E1}" id="{31CE0F51-A32B-4796-82EF-7406B4ACFE86}">
    <text>POR JO</text>
  </threadedComment>
  <threadedComment ref="L96" dT="2026-02-06T00:08:01.95" personId="{7D3CCA4C-0F8C-4D63-A084-CB60253EF1E1}" id="{28A84D48-176D-4466-B5CB-8CD118C9587E}">
    <text xml:space="preserve">ENVIA TOP INCOMPLETO, SOLO DOS FOTOS 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0" dT="2026-01-20T22:08:08.21" personId="{4EEDFC18-B801-49D6-BBD6-7B0B48143924}" id="{82A15E31-9545-4E25-B504-0E7E74186B5E}">
    <text>Solo figura responsiva, pero se administra por clientes.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70" dT="2026-01-20T22:08:08.21" personId="{4EEDFC18-B801-49D6-BBD6-7B0B48143924}" id="{834A4F1B-4481-4F62-856D-3C11126D9449}">
    <text>Solo figura responsiva, pero se administra por clientes.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9" dT="2026-06-12T22:18:19.26" personId="{1F601FDB-48B1-4DDB-8823-2EF9345F79A4}" id="{F46A8BAD-01AE-457C-B590-634C6FD20C7D}">
    <text>REGIONAL TOP A LAS 9:39</text>
  </threadedComment>
  <threadedComment ref="D32" dT="2026-06-12T22:16:54.15" personId="{1F601FDB-48B1-4DDB-8823-2EF9345F79A4}" id="{0FEBA16E-8CA8-407E-860A-F14C66BD693A}">
    <text xml:space="preserve">SE DETECTO INCIDENCIA  ROTO MURO PERIMETRAL POR OBRAS DEL MUNICIPIO </text>
  </threadedComment>
  <threadedComment ref="AF35" dT="2026-06-15T18:43:03.23" personId="{1F601FDB-48B1-4DDB-8823-2EF9345F79A4}" id="{0ED8EF82-BA49-483E-A329-63580670B3BA}">
    <text xml:space="preserve">ADMIN VACACIONES
</text>
  </threadedComment>
  <threadedComment ref="D38" dT="2026-06-12T22:22:25.01" personId="{1F601FDB-48B1-4DDB-8823-2EF9345F79A4}" id="{3C417955-0E9E-4FC1-A8EF-3E9D0FF56595}">
    <text xml:space="preserve">TOP CON REGIONAL 
</text>
  </threadedComment>
  <threadedComment ref="D76" dT="2026-06-12T22:14:24.94" personId="{1F601FDB-48B1-4DDB-8823-2EF9345F79A4}" id="{0B764B00-F545-47CC-817B-4C25FE5BC938}">
    <text xml:space="preserve">TOP CON DIVISIONAL A LAS 9:31
</text>
  </threadedComment>
  <threadedComment ref="E81" dT="2026-06-12T23:00:34.62" personId="{1F601FDB-48B1-4DDB-8823-2EF9345F79A4}" id="{7E85E188-A67D-4C59-A7C2-2FFB6AE30787}">
    <text>JO</text>
  </threadedComment>
  <threadedComment ref="AF87" dT="2026-06-15T19:11:20.26" personId="{1F601FDB-48B1-4DDB-8823-2EF9345F79A4}" id="{B5717A1A-3711-456B-92AD-EFB4CF0AD9E0}">
    <text xml:space="preserve">ADMIN PROBLEMA PERSONAL REGIONAL REALIZA TOP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F40" dT="2026-06-15T18:43:03.23" personId="{1F601FDB-48B1-4DDB-8823-2EF9345F79A4}" id="{5ACAEEC7-65CF-49F3-8760-74E930B7C4DA}">
    <text xml:space="preserve">ADMIN VACACIONES
</text>
  </threadedComment>
  <threadedComment ref="AF87" dT="2026-06-15T19:11:20.26" personId="{1F601FDB-48B1-4DDB-8823-2EF9345F79A4}" id="{DC2D61F0-F6F7-47BE-914A-24529362542A}">
    <text xml:space="preserve">ADMIN PROBLEMA PERSONAL REGIONAL REALIZA TOP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DD63-CC53-4927-A858-FF7E0038D571}">
  <sheetPr filterMode="1"/>
  <dimension ref="A1:BN102"/>
  <sheetViews>
    <sheetView workbookViewId="0">
      <pane xSplit="3" topLeftCell="D1" activePane="topRight" state="frozen"/>
      <selection pane="topRight" activeCell="A3" sqref="A3"/>
    </sheetView>
  </sheetViews>
  <sheetFormatPr defaultColWidth="9.140625" defaultRowHeight="15"/>
  <cols>
    <col min="1" max="1" width="16.42578125" style="1" customWidth="1"/>
    <col min="2" max="2" width="25.28515625" style="1" customWidth="1"/>
    <col min="3" max="3" width="36.5703125" style="1" customWidth="1"/>
    <col min="4" max="17" width="9.140625" style="1" customWidth="1"/>
    <col min="18" max="27" width="11.140625" style="1" bestFit="1" customWidth="1"/>
    <col min="28" max="31" width="9.140625" style="1" customWidth="1"/>
    <col min="32" max="39" width="11.140625" style="1" bestFit="1" customWidth="1"/>
    <col min="40" max="40" width="9.140625" style="1" customWidth="1"/>
    <col min="41" max="43" width="9.140625" style="1"/>
    <col min="44" max="44" width="12.28515625" style="18" customWidth="1"/>
    <col min="45" max="45" width="12.140625" style="18" customWidth="1"/>
    <col min="46" max="16384" width="9.140625" style="1"/>
  </cols>
  <sheetData>
    <row r="1" spans="1:66" ht="36.75" customHeight="1">
      <c r="A1" s="366" t="s">
        <v>0</v>
      </c>
      <c r="B1" s="366" t="s">
        <v>1</v>
      </c>
      <c r="C1" s="366" t="s">
        <v>2</v>
      </c>
      <c r="D1" s="370">
        <v>1</v>
      </c>
      <c r="E1" s="370"/>
      <c r="F1" s="366">
        <v>2</v>
      </c>
      <c r="G1" s="431"/>
      <c r="H1" s="368">
        <v>3</v>
      </c>
      <c r="I1" s="432"/>
      <c r="J1" s="366">
        <v>4</v>
      </c>
      <c r="K1" s="431"/>
      <c r="L1" s="366">
        <v>5</v>
      </c>
      <c r="M1" s="431"/>
      <c r="N1" s="366">
        <v>6</v>
      </c>
      <c r="O1" s="431"/>
      <c r="P1" s="366">
        <v>7</v>
      </c>
      <c r="Q1" s="431"/>
      <c r="R1" s="366">
        <v>8</v>
      </c>
      <c r="S1" s="431"/>
      <c r="T1" s="366">
        <v>9</v>
      </c>
      <c r="U1" s="431"/>
      <c r="V1" s="368">
        <v>10</v>
      </c>
      <c r="W1" s="432"/>
      <c r="X1" s="366">
        <v>11</v>
      </c>
      <c r="Y1" s="431"/>
      <c r="Z1" s="366">
        <v>12</v>
      </c>
      <c r="AA1" s="431"/>
      <c r="AB1" s="366">
        <v>13</v>
      </c>
      <c r="AC1" s="431"/>
      <c r="AD1" s="366">
        <v>14</v>
      </c>
      <c r="AE1" s="431"/>
      <c r="AF1" s="366">
        <v>15</v>
      </c>
      <c r="AG1" s="431"/>
      <c r="AH1" s="366">
        <v>16</v>
      </c>
      <c r="AI1" s="431"/>
      <c r="AJ1" s="368">
        <v>17</v>
      </c>
      <c r="AK1" s="432"/>
      <c r="AL1" s="366">
        <v>18</v>
      </c>
      <c r="AM1" s="431"/>
      <c r="AN1" s="366">
        <v>19</v>
      </c>
      <c r="AO1" s="431"/>
      <c r="AP1" s="366">
        <v>20</v>
      </c>
      <c r="AQ1" s="431"/>
      <c r="AR1" s="366">
        <v>21</v>
      </c>
      <c r="AS1" s="369"/>
      <c r="AT1" s="366">
        <v>22</v>
      </c>
      <c r="AU1" s="431"/>
      <c r="AV1" s="366">
        <v>23</v>
      </c>
      <c r="AW1" s="431"/>
      <c r="AX1" s="368">
        <v>24</v>
      </c>
      <c r="AY1" s="432"/>
      <c r="AZ1" s="366">
        <v>25</v>
      </c>
      <c r="BA1" s="431"/>
      <c r="BB1" s="366">
        <v>26</v>
      </c>
      <c r="BC1" s="431"/>
      <c r="BD1" s="366">
        <v>27</v>
      </c>
      <c r="BE1" s="431"/>
      <c r="BF1" s="366">
        <v>28</v>
      </c>
      <c r="BG1" s="431"/>
      <c r="BH1" s="366">
        <v>29</v>
      </c>
      <c r="BI1" s="431"/>
      <c r="BJ1" s="366">
        <v>30</v>
      </c>
      <c r="BK1" s="431"/>
      <c r="BL1" s="367">
        <v>31</v>
      </c>
      <c r="BM1" s="433"/>
    </row>
    <row r="2" spans="1:66" hidden="1">
      <c r="A2" s="366"/>
      <c r="B2" s="366"/>
      <c r="C2" s="366"/>
      <c r="D2" s="7" t="s">
        <v>3</v>
      </c>
      <c r="E2" s="7" t="s">
        <v>4</v>
      </c>
      <c r="F2" s="7" t="s">
        <v>3</v>
      </c>
      <c r="G2" s="7" t="s">
        <v>4</v>
      </c>
      <c r="H2" s="7" t="s">
        <v>3</v>
      </c>
      <c r="I2" s="7" t="s">
        <v>4</v>
      </c>
      <c r="J2" s="7" t="s">
        <v>3</v>
      </c>
      <c r="K2" s="7" t="s">
        <v>4</v>
      </c>
      <c r="L2" s="7" t="s">
        <v>3</v>
      </c>
      <c r="M2" s="7" t="s">
        <v>4</v>
      </c>
      <c r="N2" s="7" t="s">
        <v>3</v>
      </c>
      <c r="O2" s="7" t="s">
        <v>4</v>
      </c>
      <c r="P2" s="7" t="s">
        <v>3</v>
      </c>
      <c r="Q2" s="7" t="s">
        <v>4</v>
      </c>
      <c r="R2" s="7" t="s">
        <v>3</v>
      </c>
      <c r="S2" s="7" t="s">
        <v>4</v>
      </c>
      <c r="T2" s="7" t="s">
        <v>3</v>
      </c>
      <c r="U2" s="7" t="s">
        <v>4</v>
      </c>
      <c r="V2" s="7" t="s">
        <v>3</v>
      </c>
      <c r="W2" s="7" t="s">
        <v>4</v>
      </c>
      <c r="X2" s="7" t="s">
        <v>3</v>
      </c>
      <c r="Y2" s="7" t="s">
        <v>4</v>
      </c>
      <c r="Z2" s="7" t="s">
        <v>3</v>
      </c>
      <c r="AA2" s="7" t="s">
        <v>4</v>
      </c>
      <c r="AB2" s="7" t="s">
        <v>3</v>
      </c>
      <c r="AC2" s="7" t="s">
        <v>4</v>
      </c>
      <c r="AD2" s="7" t="s">
        <v>3</v>
      </c>
      <c r="AE2" s="7" t="s">
        <v>4</v>
      </c>
      <c r="AF2" s="7" t="s">
        <v>3</v>
      </c>
      <c r="AG2" s="7" t="s">
        <v>4</v>
      </c>
      <c r="AH2" s="7" t="s">
        <v>3</v>
      </c>
      <c r="AI2" s="7" t="s">
        <v>4</v>
      </c>
      <c r="AJ2" s="7" t="s">
        <v>3</v>
      </c>
      <c r="AK2" s="7" t="s">
        <v>4</v>
      </c>
      <c r="AL2" s="7" t="s">
        <v>3</v>
      </c>
      <c r="AM2" s="7" t="s">
        <v>4</v>
      </c>
      <c r="AN2" s="7" t="s">
        <v>3</v>
      </c>
      <c r="AO2" s="7" t="s">
        <v>4</v>
      </c>
      <c r="AP2" s="7" t="s">
        <v>3</v>
      </c>
      <c r="AQ2" s="7" t="s">
        <v>4</v>
      </c>
      <c r="AR2" s="25" t="s">
        <v>3</v>
      </c>
      <c r="AS2" s="25" t="s">
        <v>4</v>
      </c>
      <c r="AT2" s="7" t="s">
        <v>3</v>
      </c>
      <c r="AU2" s="7" t="s">
        <v>4</v>
      </c>
      <c r="AV2" s="7" t="s">
        <v>3</v>
      </c>
      <c r="AW2" s="7" t="s">
        <v>4</v>
      </c>
      <c r="AX2" s="7" t="s">
        <v>3</v>
      </c>
      <c r="AY2" s="7" t="s">
        <v>4</v>
      </c>
      <c r="AZ2" s="7" t="s">
        <v>3</v>
      </c>
      <c r="BA2" s="7" t="s">
        <v>4</v>
      </c>
      <c r="BB2" s="7" t="s">
        <v>3</v>
      </c>
      <c r="BC2" s="7" t="s">
        <v>4</v>
      </c>
      <c r="BD2" s="7" t="s">
        <v>3</v>
      </c>
      <c r="BE2" s="7" t="s">
        <v>4</v>
      </c>
      <c r="BF2" s="7" t="s">
        <v>3</v>
      </c>
      <c r="BG2" s="7" t="s">
        <v>4</v>
      </c>
      <c r="BH2" s="7" t="s">
        <v>3</v>
      </c>
      <c r="BI2" s="7" t="s">
        <v>4</v>
      </c>
      <c r="BJ2" s="7" t="s">
        <v>3</v>
      </c>
      <c r="BK2" s="7" t="s">
        <v>4</v>
      </c>
      <c r="BL2" s="48" t="s">
        <v>3</v>
      </c>
      <c r="BM2" s="48" t="s">
        <v>4</v>
      </c>
    </row>
    <row r="3" spans="1:66" hidden="1">
      <c r="A3" s="8" t="s">
        <v>5</v>
      </c>
      <c r="B3" s="6" t="s">
        <v>6</v>
      </c>
      <c r="C3" s="6" t="s">
        <v>7</v>
      </c>
      <c r="D3" s="13"/>
      <c r="E3" s="13"/>
      <c r="F3" s="41"/>
      <c r="G3" s="41"/>
      <c r="H3" s="39"/>
      <c r="I3" s="39"/>
      <c r="J3" s="13"/>
      <c r="K3" s="13"/>
      <c r="L3" s="41"/>
      <c r="M3" s="41"/>
      <c r="N3" s="41"/>
      <c r="O3" s="41"/>
      <c r="P3" s="41"/>
      <c r="Q3" s="41"/>
      <c r="R3" s="41"/>
      <c r="S3" s="41"/>
      <c r="T3" s="41"/>
      <c r="U3" s="41"/>
      <c r="V3" s="39"/>
      <c r="W3" s="39"/>
      <c r="X3" s="13"/>
      <c r="Y3" s="13"/>
      <c r="Z3" s="43">
        <v>0.35069444444444442</v>
      </c>
      <c r="AA3" s="43">
        <v>0.16111111111111112</v>
      </c>
      <c r="AB3" s="43">
        <v>0.36666666666666664</v>
      </c>
      <c r="AC3" s="43">
        <v>0.16458333333333333</v>
      </c>
      <c r="AD3" s="43">
        <v>0.35347222222222224</v>
      </c>
      <c r="AE3" s="43">
        <v>0.16388888888888889</v>
      </c>
      <c r="AF3" s="43">
        <v>0.35833333333333334</v>
      </c>
      <c r="AG3" s="43"/>
      <c r="AH3" s="43">
        <v>0.34652777777777777</v>
      </c>
      <c r="AI3" s="43">
        <v>0.16458333333333333</v>
      </c>
      <c r="AJ3" s="10"/>
      <c r="AK3" s="10"/>
      <c r="AL3" s="12"/>
      <c r="AM3" s="12"/>
      <c r="AN3" s="43">
        <v>0.35486111111111113</v>
      </c>
      <c r="AO3" s="43">
        <v>0.16944444444444445</v>
      </c>
      <c r="AP3" s="43">
        <v>0.35625000000000001</v>
      </c>
      <c r="AQ3" s="43">
        <v>0.16597222222222222</v>
      </c>
      <c r="AR3" s="44">
        <v>0.35138888888888886</v>
      </c>
      <c r="AS3" s="45">
        <v>0.16597222222222222</v>
      </c>
      <c r="AT3" s="43">
        <v>0.35555555555555557</v>
      </c>
      <c r="AU3" s="43">
        <v>0.16041666666666668</v>
      </c>
      <c r="AV3" s="43">
        <v>0.3576388888888889</v>
      </c>
      <c r="AW3" s="43"/>
      <c r="AX3" s="10">
        <v>0.35972222222222222</v>
      </c>
      <c r="AY3" s="10">
        <v>0.50069444444444444</v>
      </c>
      <c r="AZ3" s="12"/>
      <c r="BA3" s="12"/>
      <c r="BB3" s="43">
        <v>0.35486111111111113</v>
      </c>
      <c r="BC3" s="43"/>
      <c r="BD3" s="43"/>
      <c r="BE3" s="43"/>
      <c r="BF3" s="43"/>
      <c r="BG3" s="43"/>
      <c r="BH3" s="43"/>
      <c r="BI3" s="43"/>
      <c r="BJ3" s="43"/>
      <c r="BK3" s="43"/>
      <c r="BL3" s="10"/>
      <c r="BM3" s="10"/>
      <c r="BN3" t="str">
        <f t="shared" ref="BN3:BN67" si="0">A3&amp;"|"&amp;B3&amp;"|"&amp;C3</f>
        <v>R1|ALFREDO OLVERA|AZCAPOPARK</v>
      </c>
    </row>
    <row r="4" spans="1:66" hidden="1">
      <c r="A4" s="8" t="s">
        <v>5</v>
      </c>
      <c r="B4" s="6" t="s">
        <v>6</v>
      </c>
      <c r="C4" s="6" t="s">
        <v>8</v>
      </c>
      <c r="D4" s="13"/>
      <c r="E4" s="13"/>
      <c r="F4" s="42">
        <v>0.37986111111111109</v>
      </c>
      <c r="G4" s="42">
        <v>0.68819444444444444</v>
      </c>
      <c r="H4" s="39"/>
      <c r="I4" s="39"/>
      <c r="J4" s="13"/>
      <c r="K4" s="13"/>
      <c r="L4" s="42">
        <v>0.36041666666666672</v>
      </c>
      <c r="M4" s="42">
        <v>0.66388888888888886</v>
      </c>
      <c r="N4" s="42">
        <v>0.35972222222222222</v>
      </c>
      <c r="O4" s="41"/>
      <c r="P4" s="41"/>
      <c r="Q4" s="41"/>
      <c r="R4" s="42">
        <v>0.40069444444444452</v>
      </c>
      <c r="S4" s="41"/>
      <c r="T4" s="42">
        <v>0.35833333333333328</v>
      </c>
      <c r="U4" s="42">
        <v>0.67569444444444449</v>
      </c>
      <c r="V4" s="40">
        <v>0.37777777777777782</v>
      </c>
      <c r="W4" s="40">
        <v>0.57361111111111107</v>
      </c>
      <c r="X4" s="13"/>
      <c r="Y4" s="1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10"/>
      <c r="AK4" s="10"/>
      <c r="AL4" s="12"/>
      <c r="AM4" s="12"/>
      <c r="AN4" s="43"/>
      <c r="AO4" s="43"/>
      <c r="AP4" s="43"/>
      <c r="AQ4" s="43"/>
      <c r="AR4" s="46"/>
      <c r="AS4" s="47"/>
      <c r="AT4" s="43"/>
      <c r="AU4" s="43">
        <v>0.16041666666666668</v>
      </c>
      <c r="AV4" s="43"/>
      <c r="AW4" s="43">
        <v>0.17777777777777778</v>
      </c>
      <c r="AX4" s="10"/>
      <c r="AY4" s="10"/>
      <c r="AZ4" s="12"/>
      <c r="BA4" s="12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10"/>
      <c r="BM4" s="10"/>
      <c r="BN4" t="str">
        <f t="shared" si="0"/>
        <v>R1|ALFREDO OLVERA|VALLEJO PARK</v>
      </c>
    </row>
    <row r="5" spans="1:66" hidden="1">
      <c r="A5" s="8" t="s">
        <v>5</v>
      </c>
      <c r="B5" s="6" t="s">
        <v>9</v>
      </c>
      <c r="C5" s="6" t="s">
        <v>10</v>
      </c>
      <c r="D5" s="13"/>
      <c r="E5" s="13"/>
      <c r="F5" s="41"/>
      <c r="G5" s="41"/>
      <c r="H5" s="39"/>
      <c r="I5" s="39"/>
      <c r="J5" s="13"/>
      <c r="K5" s="13"/>
      <c r="L5" s="41"/>
      <c r="M5" s="41"/>
      <c r="N5" s="41"/>
      <c r="O5" s="41"/>
      <c r="P5" s="41"/>
      <c r="Q5" s="41"/>
      <c r="R5" s="41"/>
      <c r="S5" s="41"/>
      <c r="T5" s="41"/>
      <c r="U5" s="41"/>
      <c r="V5" s="39"/>
      <c r="W5" s="39"/>
      <c r="X5" s="13"/>
      <c r="Y5" s="13"/>
      <c r="Z5" s="43">
        <v>0.34652777777777777</v>
      </c>
      <c r="AA5" s="43">
        <v>0.14930555555555555</v>
      </c>
      <c r="AB5" s="43">
        <v>0.34930555555555554</v>
      </c>
      <c r="AC5" s="43">
        <v>0.17222222222222222</v>
      </c>
      <c r="AD5" s="43">
        <v>0.35625000000000001</v>
      </c>
      <c r="AE5" s="43">
        <v>0.2076388888888889</v>
      </c>
      <c r="AF5" s="43">
        <v>0.33819444444444446</v>
      </c>
      <c r="AG5" s="43"/>
      <c r="AH5" s="43">
        <v>0.33750000000000002</v>
      </c>
      <c r="AI5" s="43">
        <v>0.1701388888888889</v>
      </c>
      <c r="AJ5" s="10"/>
      <c r="AK5" s="10"/>
      <c r="AL5" s="12"/>
      <c r="AM5" s="12"/>
      <c r="AN5" s="43">
        <v>0.35</v>
      </c>
      <c r="AO5" s="43">
        <v>0.17430555555555555</v>
      </c>
      <c r="AP5" s="43">
        <v>0.3527777777777778</v>
      </c>
      <c r="AQ5" s="43">
        <v>0.16111111111111112</v>
      </c>
      <c r="AR5" s="46">
        <v>0.3576388888888889</v>
      </c>
      <c r="AS5" s="47">
        <v>0.14097222222222222</v>
      </c>
      <c r="AT5" s="43"/>
      <c r="AU5" s="43">
        <v>0.16666666666666666</v>
      </c>
      <c r="AV5" s="43">
        <v>0.35416666666666669</v>
      </c>
      <c r="AW5" s="43">
        <v>0.16458333333333333</v>
      </c>
      <c r="AX5" s="10">
        <v>0.34583333333333333</v>
      </c>
      <c r="AY5" s="10"/>
      <c r="AZ5" s="12"/>
      <c r="BA5" s="12"/>
      <c r="BB5" s="43">
        <v>0.37430555555555556</v>
      </c>
      <c r="BC5" s="43"/>
      <c r="BD5" s="43"/>
      <c r="BE5" s="43"/>
      <c r="BF5" s="43"/>
      <c r="BG5" s="43"/>
      <c r="BH5" s="43"/>
      <c r="BI5" s="43"/>
      <c r="BJ5" s="43"/>
      <c r="BK5" s="43"/>
      <c r="BL5" s="10"/>
      <c r="BM5" s="10"/>
      <c r="BN5" t="str">
        <f t="shared" si="0"/>
        <v>R1|MARTIN BAUME|GB</v>
      </c>
    </row>
    <row r="6" spans="1:66" hidden="1">
      <c r="A6" s="8" t="s">
        <v>5</v>
      </c>
      <c r="B6" s="6" t="s">
        <v>9</v>
      </c>
      <c r="C6" s="6" t="s">
        <v>11</v>
      </c>
      <c r="D6" s="13"/>
      <c r="E6" s="13"/>
      <c r="F6" s="42">
        <v>0.35902777777777778</v>
      </c>
      <c r="G6" s="42">
        <v>0.66597222222222219</v>
      </c>
      <c r="H6" s="39"/>
      <c r="I6" s="39"/>
      <c r="J6" s="13"/>
      <c r="K6" s="13"/>
      <c r="L6" s="42">
        <v>0.36249999999999999</v>
      </c>
      <c r="M6" s="42">
        <v>0.6743055555555556</v>
      </c>
      <c r="N6" s="42">
        <v>0.34722222222222221</v>
      </c>
      <c r="O6" s="42">
        <v>0.64375000000000004</v>
      </c>
      <c r="P6" s="41"/>
      <c r="Q6" s="41"/>
      <c r="R6" s="42">
        <v>0.36666666666666659</v>
      </c>
      <c r="S6" s="42">
        <v>0.65625</v>
      </c>
      <c r="T6" s="42">
        <v>0.37013888888888891</v>
      </c>
      <c r="U6" s="42">
        <v>0.66388888888888886</v>
      </c>
      <c r="V6" s="39"/>
      <c r="W6" s="39"/>
      <c r="X6" s="13"/>
      <c r="Y6" s="1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10"/>
      <c r="AK6" s="10"/>
      <c r="AL6" s="12"/>
      <c r="AM6" s="12"/>
      <c r="AN6" s="43"/>
      <c r="AO6" s="43"/>
      <c r="AP6" s="43"/>
      <c r="AQ6" s="43"/>
      <c r="AR6" s="46"/>
      <c r="AS6" s="47"/>
      <c r="AT6" s="43">
        <v>0.3611111111111111</v>
      </c>
      <c r="AU6" s="43"/>
      <c r="AV6" s="43"/>
      <c r="AW6" s="43"/>
      <c r="AX6" s="10"/>
      <c r="AY6" s="10"/>
      <c r="AZ6" s="12"/>
      <c r="BA6" s="12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10"/>
      <c r="BM6" s="10"/>
      <c r="BN6" t="str">
        <f t="shared" si="0"/>
        <v>R1|MARTIN BAUME|CEYLAN</v>
      </c>
    </row>
    <row r="7" spans="1:66" hidden="1">
      <c r="A7" s="8" t="s">
        <v>5</v>
      </c>
      <c r="B7" s="6" t="s">
        <v>9</v>
      </c>
      <c r="C7" s="6" t="s">
        <v>12</v>
      </c>
      <c r="D7" s="13"/>
      <c r="E7" s="13"/>
      <c r="F7" s="41"/>
      <c r="G7" s="41"/>
      <c r="H7" s="39"/>
      <c r="I7" s="39"/>
      <c r="J7" s="13"/>
      <c r="K7" s="13"/>
      <c r="L7" s="41"/>
      <c r="M7" s="41"/>
      <c r="N7" s="41"/>
      <c r="O7" s="41"/>
      <c r="P7" s="41"/>
      <c r="Q7" s="41"/>
      <c r="R7" s="41"/>
      <c r="S7" s="41"/>
      <c r="T7" s="41"/>
      <c r="U7" s="41"/>
      <c r="V7" s="39"/>
      <c r="W7" s="39"/>
      <c r="X7" s="13"/>
      <c r="Y7" s="1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10"/>
      <c r="AK7" s="10"/>
      <c r="AL7" s="12"/>
      <c r="AM7" s="12"/>
      <c r="AN7" s="43"/>
      <c r="AO7" s="43"/>
      <c r="AP7" s="43"/>
      <c r="AQ7" s="43"/>
      <c r="AR7" s="46"/>
      <c r="AS7" s="47"/>
      <c r="AT7" s="43"/>
      <c r="AU7" s="43"/>
      <c r="AV7" s="43"/>
      <c r="AW7" s="43"/>
      <c r="AX7" s="10"/>
      <c r="AY7" s="10"/>
      <c r="AZ7" s="12"/>
      <c r="BA7" s="12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10"/>
      <c r="BM7" s="10"/>
      <c r="BN7" t="str">
        <f t="shared" si="0"/>
        <v>R1|MARTIN BAUME|100 METROS</v>
      </c>
    </row>
    <row r="8" spans="1:66" hidden="1">
      <c r="A8" s="8" t="s">
        <v>5</v>
      </c>
      <c r="B8" s="6" t="s">
        <v>9</v>
      </c>
      <c r="C8" s="6" t="s">
        <v>13</v>
      </c>
      <c r="D8" s="13"/>
      <c r="E8" s="13"/>
      <c r="F8" s="41"/>
      <c r="G8" s="41"/>
      <c r="H8" s="39"/>
      <c r="I8" s="39"/>
      <c r="J8" s="13"/>
      <c r="K8" s="13"/>
      <c r="L8" s="41"/>
      <c r="M8" s="41"/>
      <c r="N8" s="41"/>
      <c r="O8" s="41"/>
      <c r="P8" s="41"/>
      <c r="Q8" s="41"/>
      <c r="R8" s="41"/>
      <c r="S8" s="41"/>
      <c r="T8" s="41"/>
      <c r="U8" s="41"/>
      <c r="V8" s="39"/>
      <c r="W8" s="39"/>
      <c r="X8" s="13"/>
      <c r="Y8" s="1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10"/>
      <c r="AK8" s="10"/>
      <c r="AL8" s="12"/>
      <c r="AM8" s="12"/>
      <c r="AN8" s="43"/>
      <c r="AO8" s="43"/>
      <c r="AP8" s="43"/>
      <c r="AQ8" s="43"/>
      <c r="AR8" s="46"/>
      <c r="AS8" s="47"/>
      <c r="AT8" s="43"/>
      <c r="AU8" s="43"/>
      <c r="AV8" s="43"/>
      <c r="AW8" s="43"/>
      <c r="AX8" s="10"/>
      <c r="AY8" s="10"/>
      <c r="AZ8" s="12"/>
      <c r="BA8" s="12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10"/>
      <c r="BM8" s="10"/>
      <c r="BN8" t="str">
        <f t="shared" si="0"/>
        <v>R1|MARTIN BAUME|PINO</v>
      </c>
    </row>
    <row r="9" spans="1:66" hidden="1">
      <c r="A9" s="8" t="s">
        <v>5</v>
      </c>
      <c r="B9" s="6" t="s">
        <v>9</v>
      </c>
      <c r="C9" s="6" t="s">
        <v>14</v>
      </c>
      <c r="D9" s="13"/>
      <c r="E9" s="13"/>
      <c r="F9" s="41"/>
      <c r="G9" s="41"/>
      <c r="H9" s="39"/>
      <c r="I9" s="39"/>
      <c r="J9" s="13"/>
      <c r="K9" s="13"/>
      <c r="L9" s="41"/>
      <c r="M9" s="41"/>
      <c r="N9" s="41"/>
      <c r="O9" s="41"/>
      <c r="P9" s="41"/>
      <c r="Q9" s="41"/>
      <c r="R9" s="41"/>
      <c r="S9" s="41"/>
      <c r="T9" s="41"/>
      <c r="U9" s="41"/>
      <c r="V9" s="39"/>
      <c r="W9" s="39"/>
      <c r="X9" s="13"/>
      <c r="Y9" s="1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10"/>
      <c r="AK9" s="10"/>
      <c r="AL9" s="12"/>
      <c r="AM9" s="12"/>
      <c r="AN9" s="43"/>
      <c r="AO9" s="43"/>
      <c r="AP9" s="43"/>
      <c r="AQ9" s="43"/>
      <c r="AR9" s="46"/>
      <c r="AS9" s="47"/>
      <c r="AT9" s="43"/>
      <c r="AU9" s="43"/>
      <c r="AV9" s="43"/>
      <c r="AW9" s="43"/>
      <c r="AX9" s="10"/>
      <c r="AY9" s="10"/>
      <c r="AZ9" s="12"/>
      <c r="BA9" s="12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10"/>
      <c r="BM9" s="10"/>
      <c r="BN9" t="str">
        <f t="shared" si="0"/>
        <v>R1|MARTIN BAUME|VALLEJO 1746</v>
      </c>
    </row>
    <row r="10" spans="1:66" hidden="1">
      <c r="A10" s="8" t="s">
        <v>5</v>
      </c>
      <c r="B10" s="6" t="s">
        <v>15</v>
      </c>
      <c r="C10" s="6" t="s">
        <v>16</v>
      </c>
      <c r="D10" s="13"/>
      <c r="E10" s="13"/>
      <c r="F10" s="41"/>
      <c r="G10" s="41"/>
      <c r="H10" s="39"/>
      <c r="I10" s="39"/>
      <c r="J10" s="13"/>
      <c r="K10" s="13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39"/>
      <c r="W10" s="39"/>
      <c r="X10" s="13"/>
      <c r="Y10" s="13"/>
      <c r="Z10" s="43">
        <v>0.36319444444444443</v>
      </c>
      <c r="AA10" s="43">
        <v>0.16597222222222222</v>
      </c>
      <c r="AB10" s="43">
        <v>0.35138888888888886</v>
      </c>
      <c r="AC10" s="43">
        <v>0.16180555555555556</v>
      </c>
      <c r="AD10" s="43">
        <v>0.35416666666666669</v>
      </c>
      <c r="AE10" s="43">
        <v>0.12638888888888888</v>
      </c>
      <c r="AF10" s="43">
        <v>0.35972222222222222</v>
      </c>
      <c r="AG10" s="43"/>
      <c r="AH10" s="43">
        <v>0.35416666666666669</v>
      </c>
      <c r="AI10" s="43">
        <v>0.13263888888888889</v>
      </c>
      <c r="AJ10" s="10"/>
      <c r="AK10" s="10"/>
      <c r="AL10" s="12"/>
      <c r="AM10" s="12"/>
      <c r="AN10" s="43"/>
      <c r="AO10" s="43">
        <v>0.15347222222222223</v>
      </c>
      <c r="AP10" s="43">
        <v>0.36249999999999999</v>
      </c>
      <c r="AQ10" s="43"/>
      <c r="AR10" s="46">
        <v>0.35208333333333336</v>
      </c>
      <c r="AS10" s="47">
        <v>0.16041666666666668</v>
      </c>
      <c r="AT10" s="43">
        <v>0.35555555555555557</v>
      </c>
      <c r="AU10" s="43">
        <v>0.18472222222222223</v>
      </c>
      <c r="AV10" s="43"/>
      <c r="AW10" s="43"/>
      <c r="AX10" s="10"/>
      <c r="AY10" s="10"/>
      <c r="AZ10" s="12"/>
      <c r="BA10" s="12"/>
      <c r="BB10" s="43">
        <v>0.35833333333333334</v>
      </c>
      <c r="BC10" s="43"/>
      <c r="BD10" s="43"/>
      <c r="BE10" s="43"/>
      <c r="BF10" s="43"/>
      <c r="BG10" s="43"/>
      <c r="BH10" s="43"/>
      <c r="BI10" s="43"/>
      <c r="BJ10" s="43"/>
      <c r="BK10" s="43"/>
      <c r="BL10" s="10"/>
      <c r="BM10" s="10"/>
      <c r="BN10" t="str">
        <f t="shared" si="0"/>
        <v>R1|JAIR ABRAHAM GONZALEZ|TLANE PARK III</v>
      </c>
    </row>
    <row r="11" spans="1:66" hidden="1">
      <c r="A11" s="8" t="s">
        <v>5</v>
      </c>
      <c r="B11" s="6" t="s">
        <v>15</v>
      </c>
      <c r="C11" s="6" t="s">
        <v>17</v>
      </c>
      <c r="D11" s="13"/>
      <c r="E11" s="13"/>
      <c r="F11" s="41"/>
      <c r="G11" s="41"/>
      <c r="H11" s="39"/>
      <c r="I11" s="39"/>
      <c r="J11" s="13"/>
      <c r="K11" s="13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39"/>
      <c r="W11" s="39"/>
      <c r="X11" s="13"/>
      <c r="Y11" s="1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10"/>
      <c r="AK11" s="10"/>
      <c r="AL11" s="12"/>
      <c r="AM11" s="12"/>
      <c r="AN11" s="43">
        <v>0.35972222222222222</v>
      </c>
      <c r="AO11" s="43"/>
      <c r="AP11" s="43"/>
      <c r="AQ11" s="43"/>
      <c r="AR11" s="46"/>
      <c r="AS11" s="47"/>
      <c r="AT11" s="43"/>
      <c r="AU11" s="43"/>
      <c r="AV11" s="43">
        <v>0.36041666666666666</v>
      </c>
      <c r="AW11" s="43"/>
      <c r="AX11" s="10"/>
      <c r="AY11" s="10"/>
      <c r="AZ11" s="12"/>
      <c r="BA11" s="12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10"/>
      <c r="BM11" s="10"/>
      <c r="BN11" t="str">
        <f t="shared" si="0"/>
        <v>R1|JAIR ABRAHAM GONZALEZ|VIA MORELOS</v>
      </c>
    </row>
    <row r="12" spans="1:66" hidden="1">
      <c r="A12" s="8" t="s">
        <v>5</v>
      </c>
      <c r="B12" s="6" t="s">
        <v>15</v>
      </c>
      <c r="C12" s="6" t="s">
        <v>18</v>
      </c>
      <c r="D12" s="13"/>
      <c r="E12" s="13"/>
      <c r="F12" s="41"/>
      <c r="G12" s="41"/>
      <c r="H12" s="39"/>
      <c r="I12" s="39"/>
      <c r="J12" s="13"/>
      <c r="K12" s="13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39"/>
      <c r="W12" s="39"/>
      <c r="X12" s="13"/>
      <c r="Y12" s="1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10"/>
      <c r="AK12" s="10"/>
      <c r="AL12" s="12"/>
      <c r="AM12" s="12"/>
      <c r="AN12" s="43"/>
      <c r="AO12" s="43"/>
      <c r="AP12" s="43"/>
      <c r="AQ12" s="43"/>
      <c r="AR12" s="46"/>
      <c r="AS12" s="47"/>
      <c r="AT12" s="43"/>
      <c r="AU12" s="43"/>
      <c r="AV12" s="43"/>
      <c r="AW12" s="43"/>
      <c r="AX12" s="10"/>
      <c r="AY12" s="10"/>
      <c r="AZ12" s="12"/>
      <c r="BA12" s="12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10"/>
      <c r="BM12" s="10"/>
      <c r="BN12" t="str">
        <f t="shared" si="0"/>
        <v>R1|JAIR ABRAHAM GONZALEZ|TLANE PARK V</v>
      </c>
    </row>
    <row r="13" spans="1:66" hidden="1">
      <c r="A13" s="8" t="s">
        <v>5</v>
      </c>
      <c r="B13" s="6" t="s">
        <v>15</v>
      </c>
      <c r="C13" s="6" t="s">
        <v>19</v>
      </c>
      <c r="D13" s="13"/>
      <c r="E13" s="13"/>
      <c r="F13" s="41"/>
      <c r="G13" s="41"/>
      <c r="H13" s="39"/>
      <c r="I13" s="39"/>
      <c r="J13" s="13"/>
      <c r="K13" s="13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39"/>
      <c r="W13" s="39"/>
      <c r="X13" s="13"/>
      <c r="Y13" s="1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10"/>
      <c r="AK13" s="10"/>
      <c r="AL13" s="12"/>
      <c r="AM13" s="12"/>
      <c r="AN13" s="43"/>
      <c r="AO13" s="43"/>
      <c r="AP13" s="43"/>
      <c r="AQ13" s="43"/>
      <c r="AR13" s="46"/>
      <c r="AS13" s="47"/>
      <c r="AT13" s="43"/>
      <c r="AU13" s="43"/>
      <c r="AV13" s="43"/>
      <c r="AW13" s="43"/>
      <c r="AX13" s="10"/>
      <c r="AY13" s="10"/>
      <c r="AZ13" s="12"/>
      <c r="BA13" s="12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10"/>
      <c r="BM13" s="10"/>
      <c r="BN13" t="str">
        <f t="shared" si="0"/>
        <v>R1|JAIR ABRAHAM GONZALEZ|VALLEJO 2000</v>
      </c>
    </row>
    <row r="14" spans="1:66" hidden="1">
      <c r="A14" s="8" t="s">
        <v>5</v>
      </c>
      <c r="B14" s="6" t="s">
        <v>15</v>
      </c>
      <c r="C14" s="6" t="s">
        <v>20</v>
      </c>
      <c r="D14" s="13"/>
      <c r="E14" s="13"/>
      <c r="F14" s="41"/>
      <c r="G14" s="41"/>
      <c r="H14" s="39"/>
      <c r="I14" s="39"/>
      <c r="J14" s="13"/>
      <c r="K14" s="13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39"/>
      <c r="W14" s="39"/>
      <c r="X14" s="13"/>
      <c r="Y14" s="1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10"/>
      <c r="AK14" s="10"/>
      <c r="AL14" s="12"/>
      <c r="AM14" s="12"/>
      <c r="AN14" s="43"/>
      <c r="AO14" s="43"/>
      <c r="AP14" s="43"/>
      <c r="AQ14" s="43"/>
      <c r="AR14" s="46"/>
      <c r="AS14" s="47"/>
      <c r="AT14" s="43"/>
      <c r="AU14" s="43"/>
      <c r="AV14" s="43"/>
      <c r="AW14" s="43"/>
      <c r="AX14" s="10"/>
      <c r="AY14" s="10"/>
      <c r="AZ14" s="12"/>
      <c r="BA14" s="12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10"/>
      <c r="BM14" s="10"/>
      <c r="BN14" t="str">
        <f t="shared" si="0"/>
        <v>R1|JAIR ABRAHAM GONZALEZ|LA PRESA</v>
      </c>
    </row>
    <row r="15" spans="1:66" hidden="1">
      <c r="A15" s="8" t="s">
        <v>5</v>
      </c>
      <c r="B15" s="6" t="s">
        <v>15</v>
      </c>
      <c r="C15" s="6" t="s">
        <v>21</v>
      </c>
      <c r="D15" s="13"/>
      <c r="E15" s="13"/>
      <c r="F15" s="41"/>
      <c r="G15" s="41"/>
      <c r="H15" s="39"/>
      <c r="I15" s="39"/>
      <c r="J15" s="13"/>
      <c r="K15" s="13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39"/>
      <c r="W15" s="39"/>
      <c r="X15" s="13"/>
      <c r="Y15" s="1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10"/>
      <c r="AK15" s="10"/>
      <c r="AL15" s="12"/>
      <c r="AM15" s="12"/>
      <c r="AN15" s="43"/>
      <c r="AO15" s="43"/>
      <c r="AP15" s="43"/>
      <c r="AQ15" s="43"/>
      <c r="AR15" s="46"/>
      <c r="AS15" s="47"/>
      <c r="AT15" s="43"/>
      <c r="AU15" s="43"/>
      <c r="AV15" s="43"/>
      <c r="AW15" s="43"/>
      <c r="AX15" s="10"/>
      <c r="AY15" s="10"/>
      <c r="AZ15" s="12"/>
      <c r="BA15" s="12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10"/>
      <c r="BM15" s="10"/>
      <c r="BN15" t="str">
        <f t="shared" si="0"/>
        <v>R1|JAIR ABRAHAM GONZALEZ|CHIQUIHUITE (WALMART)</v>
      </c>
    </row>
    <row r="16" spans="1:66" hidden="1">
      <c r="A16" s="8" t="s">
        <v>5</v>
      </c>
      <c r="B16" s="6" t="s">
        <v>22</v>
      </c>
      <c r="C16" s="6" t="s">
        <v>23</v>
      </c>
      <c r="D16" s="13"/>
      <c r="E16" s="13"/>
      <c r="F16" s="41"/>
      <c r="G16" s="41"/>
      <c r="H16" s="39"/>
      <c r="I16" s="39"/>
      <c r="J16" s="13"/>
      <c r="K16" s="13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39"/>
      <c r="W16" s="39"/>
      <c r="X16" s="13"/>
      <c r="Y16" s="13"/>
      <c r="Z16" s="43">
        <v>0.33680555555555558</v>
      </c>
      <c r="AA16" s="43">
        <v>0.1701388888888889</v>
      </c>
      <c r="AB16" s="43">
        <v>0.3527777777777778</v>
      </c>
      <c r="AC16" s="43"/>
      <c r="AD16" s="43">
        <v>0.34791666666666665</v>
      </c>
      <c r="AE16" s="43">
        <v>0.1736111111111111</v>
      </c>
      <c r="AF16" s="43"/>
      <c r="AG16" s="43"/>
      <c r="AH16" s="43">
        <v>0.32847222222222222</v>
      </c>
      <c r="AI16" s="43">
        <v>0.18194444444444444</v>
      </c>
      <c r="AJ16" s="10">
        <v>0.36736111111111114</v>
      </c>
      <c r="AK16" s="10"/>
      <c r="AL16" s="12"/>
      <c r="AM16" s="12"/>
      <c r="AN16" s="43">
        <v>0.35208333333333336</v>
      </c>
      <c r="AO16" s="43">
        <v>0.16944444444444445</v>
      </c>
      <c r="AP16" s="43">
        <v>0.35902777777777778</v>
      </c>
      <c r="AQ16" s="43">
        <v>0.17291666666666666</v>
      </c>
      <c r="AR16" s="46">
        <v>0.33611111111111114</v>
      </c>
      <c r="AS16" s="47">
        <v>0.18680555555555556</v>
      </c>
      <c r="AT16" s="43">
        <v>0.35416666666666669</v>
      </c>
      <c r="AU16" s="43">
        <v>0.17777777777777778</v>
      </c>
      <c r="AV16" s="43">
        <v>0.33888888888888891</v>
      </c>
      <c r="AW16" s="43">
        <v>0.17986111111111111</v>
      </c>
      <c r="AX16" s="10"/>
      <c r="AY16" s="10"/>
      <c r="AZ16" s="12"/>
      <c r="BA16" s="12"/>
      <c r="BB16" s="43">
        <v>0.32708333333333334</v>
      </c>
      <c r="BC16" s="43"/>
      <c r="BD16" s="43"/>
      <c r="BE16" s="43"/>
      <c r="BF16" s="43"/>
      <c r="BG16" s="43"/>
      <c r="BH16" s="43"/>
      <c r="BI16" s="43"/>
      <c r="BJ16" s="43"/>
      <c r="BK16" s="43"/>
      <c r="BL16" s="10"/>
      <c r="BM16" s="10"/>
      <c r="BN16" t="str">
        <f t="shared" si="0"/>
        <v>R1|GEOVANI PEÑA|LOS REYES</v>
      </c>
    </row>
    <row r="17" spans="1:66" hidden="1">
      <c r="A17" s="8" t="s">
        <v>5</v>
      </c>
      <c r="B17" s="6" t="s">
        <v>22</v>
      </c>
      <c r="C17" s="6" t="s">
        <v>24</v>
      </c>
      <c r="D17" s="13"/>
      <c r="E17" s="13"/>
      <c r="F17" s="41"/>
      <c r="G17" s="41"/>
      <c r="H17" s="40">
        <v>0.35416666666666669</v>
      </c>
      <c r="I17" s="39"/>
      <c r="J17" s="13"/>
      <c r="K17" s="13"/>
      <c r="L17" s="42">
        <v>0.31597222222222221</v>
      </c>
      <c r="M17" s="42">
        <v>0.66319444444444442</v>
      </c>
      <c r="N17" s="42">
        <v>0.32569444444444451</v>
      </c>
      <c r="O17" s="42">
        <v>0.66319444444444442</v>
      </c>
      <c r="P17" s="42">
        <v>0.33055555555555549</v>
      </c>
      <c r="Q17" s="42">
        <v>0.70902777777777781</v>
      </c>
      <c r="R17" s="42">
        <v>0.32847222222222222</v>
      </c>
      <c r="S17" s="42">
        <v>0.66666666666666663</v>
      </c>
      <c r="T17" s="42">
        <v>0.3347222222222222</v>
      </c>
      <c r="U17" s="42">
        <v>0.68194444444444446</v>
      </c>
      <c r="V17" s="39"/>
      <c r="W17" s="39"/>
      <c r="X17" s="13"/>
      <c r="Y17" s="1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10"/>
      <c r="AK17" s="10"/>
      <c r="AL17" s="12"/>
      <c r="AM17" s="12"/>
      <c r="AN17" s="43"/>
      <c r="AO17" s="43"/>
      <c r="AP17" s="43"/>
      <c r="AQ17" s="43"/>
      <c r="AR17" s="46"/>
      <c r="AS17" s="47"/>
      <c r="AT17" s="43"/>
      <c r="AU17" s="43"/>
      <c r="AV17" s="43"/>
      <c r="AW17" s="43"/>
      <c r="AX17" s="10"/>
      <c r="AY17" s="10"/>
      <c r="AZ17" s="12"/>
      <c r="BA17" s="12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10"/>
      <c r="BM17" s="10"/>
      <c r="BN17" t="str">
        <f t="shared" si="0"/>
        <v>R1|GEOVANI PEÑA|IXTAPALUCA</v>
      </c>
    </row>
    <row r="18" spans="1:66" hidden="1">
      <c r="A18" s="8" t="s">
        <v>5</v>
      </c>
      <c r="B18" s="6" t="s">
        <v>22</v>
      </c>
      <c r="C18" s="6" t="s">
        <v>25</v>
      </c>
      <c r="D18" s="13"/>
      <c r="E18" s="13"/>
      <c r="F18" s="41"/>
      <c r="G18" s="41"/>
      <c r="H18" s="39"/>
      <c r="I18" s="39"/>
      <c r="J18" s="13"/>
      <c r="K18" s="13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39"/>
      <c r="W18" s="39"/>
      <c r="X18" s="13"/>
      <c r="Y18" s="1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10"/>
      <c r="AK18" s="10"/>
      <c r="AL18" s="12"/>
      <c r="AM18" s="12"/>
      <c r="AN18" s="43"/>
      <c r="AO18" s="43"/>
      <c r="AP18" s="43"/>
      <c r="AQ18" s="43"/>
      <c r="AR18" s="46"/>
      <c r="AS18" s="47"/>
      <c r="AT18" s="43"/>
      <c r="AU18" s="43"/>
      <c r="AV18" s="43"/>
      <c r="AW18" s="43"/>
      <c r="AX18" s="10"/>
      <c r="AY18" s="10"/>
      <c r="AZ18" s="12"/>
      <c r="BA18" s="12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10"/>
      <c r="BM18" s="10"/>
      <c r="BN18" t="str">
        <f t="shared" si="0"/>
        <v>R1|GEOVANI PEÑA|IZTAPALAPA</v>
      </c>
    </row>
    <row r="19" spans="1:66" hidden="1">
      <c r="A19" s="8" t="s">
        <v>26</v>
      </c>
      <c r="B19" s="6" t="s">
        <v>27</v>
      </c>
      <c r="C19" s="6" t="s">
        <v>28</v>
      </c>
      <c r="D19" s="13"/>
      <c r="E19" s="13"/>
      <c r="F19" s="41"/>
      <c r="G19" s="41"/>
      <c r="H19" s="39"/>
      <c r="I19" s="39"/>
      <c r="J19" s="13"/>
      <c r="K19" s="13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39"/>
      <c r="W19" s="39"/>
      <c r="X19" s="13"/>
      <c r="Y19" s="13"/>
      <c r="Z19" s="43">
        <v>0.37777777777777777</v>
      </c>
      <c r="AA19" s="43">
        <v>0.12708333333333333</v>
      </c>
      <c r="AB19" s="43">
        <v>0.38124999999999998</v>
      </c>
      <c r="AC19" s="43">
        <v>0.12569444444444444</v>
      </c>
      <c r="AD19" s="43">
        <v>0.3840277777777778</v>
      </c>
      <c r="AE19" s="43">
        <v>0.1388888888888889</v>
      </c>
      <c r="AF19" s="43">
        <v>0.37916666666666665</v>
      </c>
      <c r="AG19" s="43">
        <v>0.13125000000000001</v>
      </c>
      <c r="AH19" s="43">
        <v>0.38680555555555557</v>
      </c>
      <c r="AI19" s="43">
        <v>0.12638888888888888</v>
      </c>
      <c r="AJ19" s="10">
        <v>0.38333333333333336</v>
      </c>
      <c r="AK19" s="10"/>
      <c r="AL19" s="12"/>
      <c r="AM19" s="12"/>
      <c r="AN19" s="43">
        <v>0.38124999999999998</v>
      </c>
      <c r="AO19" s="43">
        <v>0.13194444444444445</v>
      </c>
      <c r="AP19" s="43">
        <v>0.37986111111111109</v>
      </c>
      <c r="AQ19" s="43">
        <v>0.13055555555555556</v>
      </c>
      <c r="AR19" s="46">
        <v>0.38472222222222224</v>
      </c>
      <c r="AS19" s="47"/>
      <c r="AT19" s="43">
        <v>0.4513888888888889</v>
      </c>
      <c r="AU19" s="43">
        <v>0.12222222222222222</v>
      </c>
      <c r="AV19" s="43">
        <v>0.38472222222222224</v>
      </c>
      <c r="AW19" s="43">
        <v>0.16180555555555556</v>
      </c>
      <c r="AX19" s="10"/>
      <c r="AY19" s="10"/>
      <c r="AZ19" s="12"/>
      <c r="BA19" s="12"/>
      <c r="BB19" s="43">
        <v>0.37847222222222221</v>
      </c>
      <c r="BC19" s="43"/>
      <c r="BD19" s="43"/>
      <c r="BE19" s="43"/>
      <c r="BF19" s="43"/>
      <c r="BG19" s="43"/>
      <c r="BH19" s="43"/>
      <c r="BI19" s="43"/>
      <c r="BJ19" s="43"/>
      <c r="BK19" s="43"/>
      <c r="BL19" s="10"/>
      <c r="BM19" s="10"/>
      <c r="BN19" t="str">
        <f t="shared" si="0"/>
        <v>R2|OMAR SANCHEZ|TULTI PARK I</v>
      </c>
    </row>
    <row r="20" spans="1:66" hidden="1">
      <c r="A20" s="8" t="s">
        <v>26</v>
      </c>
      <c r="B20" s="6" t="s">
        <v>29</v>
      </c>
      <c r="C20" s="6" t="s">
        <v>30</v>
      </c>
      <c r="D20" s="13"/>
      <c r="E20" s="13"/>
      <c r="F20" s="42">
        <v>0.35625000000000001</v>
      </c>
      <c r="G20" s="42">
        <v>0.60416666666666663</v>
      </c>
      <c r="H20" s="40">
        <v>0.37083333333333329</v>
      </c>
      <c r="I20" s="39"/>
      <c r="J20" s="13"/>
      <c r="K20" s="13"/>
      <c r="L20" s="42">
        <v>0.35555555555555562</v>
      </c>
      <c r="M20" s="42">
        <v>0.63263888888888886</v>
      </c>
      <c r="N20" s="42">
        <v>0.34861111111111109</v>
      </c>
      <c r="O20" s="42">
        <v>0.63472222222222219</v>
      </c>
      <c r="P20" s="42">
        <v>0.34444444444444439</v>
      </c>
      <c r="Q20" s="42">
        <v>0.63888888888888884</v>
      </c>
      <c r="R20" s="42">
        <v>0.34097222222222218</v>
      </c>
      <c r="S20" s="42">
        <v>0.64097222222222228</v>
      </c>
      <c r="T20" s="42">
        <v>0.34444444444444439</v>
      </c>
      <c r="U20" s="42">
        <v>0.60902777777777772</v>
      </c>
      <c r="V20" s="40">
        <v>0.35625000000000001</v>
      </c>
      <c r="W20" s="39"/>
      <c r="X20" s="13"/>
      <c r="Y20" s="13"/>
      <c r="Z20" s="43">
        <v>0.34791666666666665</v>
      </c>
      <c r="AA20" s="43">
        <v>0.12430555555555556</v>
      </c>
      <c r="AB20" s="43">
        <v>0.34861111111111109</v>
      </c>
      <c r="AC20" s="43">
        <v>9.2361111111111116E-2</v>
      </c>
      <c r="AD20" s="43">
        <v>0.34375</v>
      </c>
      <c r="AE20" s="43">
        <v>0.11319444444444444</v>
      </c>
      <c r="AF20" s="43">
        <v>0.34444444444444444</v>
      </c>
      <c r="AG20" s="43">
        <v>0.10555555555555556</v>
      </c>
      <c r="AH20" s="43">
        <v>0.34097222222222223</v>
      </c>
      <c r="AI20" s="43">
        <v>0.10208333333333333</v>
      </c>
      <c r="AJ20" s="10"/>
      <c r="AK20" s="10"/>
      <c r="AL20" s="12"/>
      <c r="AM20" s="12"/>
      <c r="AN20" s="43">
        <v>0.35347222222222224</v>
      </c>
      <c r="AO20" s="43">
        <v>0.12916666666666668</v>
      </c>
      <c r="AP20" s="43">
        <v>0.35694444444444445</v>
      </c>
      <c r="AQ20" s="43">
        <v>0.1423611111111111</v>
      </c>
      <c r="AR20" s="46">
        <v>0.36666666666666664</v>
      </c>
      <c r="AS20" s="47">
        <v>0.13819444444444445</v>
      </c>
      <c r="AT20" s="43">
        <v>0.39444444444444443</v>
      </c>
      <c r="AU20" s="43">
        <v>0.12986111111111112</v>
      </c>
      <c r="AV20" s="43">
        <v>0.33958333333333335</v>
      </c>
      <c r="AW20" s="43">
        <v>0.13055555555555556</v>
      </c>
      <c r="AX20" s="10">
        <v>0.30555555555555558</v>
      </c>
      <c r="AY20" s="10"/>
      <c r="AZ20" s="12"/>
      <c r="BA20" s="12"/>
      <c r="BB20" s="43">
        <v>0.35416666666666669</v>
      </c>
      <c r="BC20" s="43"/>
      <c r="BD20" s="43"/>
      <c r="BE20" s="43"/>
      <c r="BF20" s="43"/>
      <c r="BG20" s="43"/>
      <c r="BH20" s="43"/>
      <c r="BI20" s="43"/>
      <c r="BJ20" s="43"/>
      <c r="BK20" s="43"/>
      <c r="BL20" s="10"/>
      <c r="BM20" s="10"/>
      <c r="BN20" t="str">
        <f t="shared" si="0"/>
        <v>R2|ARTURO ESPINOSA|JAMES WATT</v>
      </c>
    </row>
    <row r="21" spans="1:66" hidden="1">
      <c r="A21" s="8" t="s">
        <v>26</v>
      </c>
      <c r="B21" s="6" t="s">
        <v>31</v>
      </c>
      <c r="C21" s="6" t="s">
        <v>32</v>
      </c>
      <c r="D21" s="13"/>
      <c r="E21" s="13"/>
      <c r="F21" s="41"/>
      <c r="G21" s="41"/>
      <c r="H21" s="39"/>
      <c r="I21" s="39"/>
      <c r="J21" s="13"/>
      <c r="K21" s="13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39"/>
      <c r="W21" s="39"/>
      <c r="X21" s="13"/>
      <c r="Y21" s="13"/>
      <c r="Z21" s="43">
        <v>0.36249999999999999</v>
      </c>
      <c r="AA21" s="43">
        <v>0.15833333333333333</v>
      </c>
      <c r="AB21" s="43"/>
      <c r="AC21" s="43"/>
      <c r="AD21" s="43">
        <v>0.37638888888888888</v>
      </c>
      <c r="AE21" s="43">
        <v>0.19513888888888889</v>
      </c>
      <c r="AF21" s="43">
        <v>0.38611111111111113</v>
      </c>
      <c r="AG21" s="43"/>
      <c r="AH21" s="43"/>
      <c r="AI21" s="43"/>
      <c r="AJ21" s="10"/>
      <c r="AK21" s="10"/>
      <c r="AL21" s="12"/>
      <c r="AM21" s="12"/>
      <c r="AN21" s="43">
        <v>0.3840277777777778</v>
      </c>
      <c r="AO21" s="43"/>
      <c r="AP21" s="43">
        <v>0.37986111111111109</v>
      </c>
      <c r="AQ21" s="43">
        <v>0.1361111111111111</v>
      </c>
      <c r="AR21" s="46"/>
      <c r="AS21" s="47"/>
      <c r="AT21" s="43"/>
      <c r="AU21" s="43"/>
      <c r="AV21" s="43"/>
      <c r="AW21" s="43"/>
      <c r="AX21" s="10"/>
      <c r="AY21" s="10"/>
      <c r="AZ21" s="12"/>
      <c r="BA21" s="12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10"/>
      <c r="BM21" s="10"/>
      <c r="BN21" t="str">
        <f t="shared" si="0"/>
        <v>R2|ARTURO VALERIO|LA PALMA</v>
      </c>
    </row>
    <row r="22" spans="1:66" hidden="1">
      <c r="A22" s="8" t="s">
        <v>26</v>
      </c>
      <c r="B22" s="6" t="s">
        <v>31</v>
      </c>
      <c r="C22" s="6" t="s">
        <v>33</v>
      </c>
      <c r="D22" s="13"/>
      <c r="E22" s="13"/>
      <c r="F22" s="41"/>
      <c r="G22" s="41"/>
      <c r="H22" s="39"/>
      <c r="I22" s="39"/>
      <c r="J22" s="13"/>
      <c r="K22" s="13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39"/>
      <c r="W22" s="39"/>
      <c r="X22" s="13"/>
      <c r="Y22" s="13"/>
      <c r="Z22" s="43"/>
      <c r="AA22" s="43"/>
      <c r="AB22" s="43"/>
      <c r="AC22" s="43">
        <v>0.15416666666666667</v>
      </c>
      <c r="AD22" s="43"/>
      <c r="AE22" s="43"/>
      <c r="AF22" s="43"/>
      <c r="AG22" s="43"/>
      <c r="AH22" s="43">
        <v>0.36875000000000002</v>
      </c>
      <c r="AI22" s="43"/>
      <c r="AJ22" s="10"/>
      <c r="AK22" s="10"/>
      <c r="AL22" s="12"/>
      <c r="AM22" s="12"/>
      <c r="AN22" s="43"/>
      <c r="AO22" s="43"/>
      <c r="AP22" s="43"/>
      <c r="AQ22" s="43"/>
      <c r="AR22" s="46">
        <v>0.38541666666666669</v>
      </c>
      <c r="AS22" s="47"/>
      <c r="AT22" s="43"/>
      <c r="AU22" s="43"/>
      <c r="AV22" s="43"/>
      <c r="AW22" s="43"/>
      <c r="AX22" s="10"/>
      <c r="AY22" s="10"/>
      <c r="AZ22" s="12"/>
      <c r="BA22" s="12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10"/>
      <c r="BM22" s="10"/>
      <c r="BN22" t="str">
        <f t="shared" si="0"/>
        <v>R2|ARTURO VALERIO|LA JOYA I Y II</v>
      </c>
    </row>
    <row r="23" spans="1:66" hidden="1">
      <c r="A23" s="8" t="s">
        <v>26</v>
      </c>
      <c r="B23" s="6" t="s">
        <v>31</v>
      </c>
      <c r="C23" s="6" t="s">
        <v>34</v>
      </c>
      <c r="D23" s="13"/>
      <c r="E23" s="13"/>
      <c r="F23" s="41"/>
      <c r="G23" s="41"/>
      <c r="H23" s="39"/>
      <c r="I23" s="39"/>
      <c r="J23" s="13"/>
      <c r="K23" s="13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39"/>
      <c r="W23" s="39"/>
      <c r="X23" s="13"/>
      <c r="Y23" s="13"/>
      <c r="Z23" s="43"/>
      <c r="AA23" s="43"/>
      <c r="AB23" s="43"/>
      <c r="AC23" s="43"/>
      <c r="AD23" s="43"/>
      <c r="AE23" s="43"/>
      <c r="AF23" s="43"/>
      <c r="AG23" s="43">
        <v>0.19097222222222221</v>
      </c>
      <c r="AH23" s="43"/>
      <c r="AI23" s="43"/>
      <c r="AJ23" s="10"/>
      <c r="AK23" s="10"/>
      <c r="AL23" s="12"/>
      <c r="AM23" s="12"/>
      <c r="AN23" s="43"/>
      <c r="AO23" s="43">
        <v>0.13958333333333334</v>
      </c>
      <c r="AP23" s="43"/>
      <c r="AQ23" s="43"/>
      <c r="AR23" s="46"/>
      <c r="AS23" s="47"/>
      <c r="AT23" s="43">
        <v>0.34861111111111109</v>
      </c>
      <c r="AU23" s="43"/>
      <c r="AV23" s="43"/>
      <c r="AW23" s="43"/>
      <c r="AX23" s="10"/>
      <c r="AY23" s="10"/>
      <c r="AZ23" s="12"/>
      <c r="BA23" s="12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10"/>
      <c r="BM23" s="10"/>
      <c r="BN23" t="str">
        <f t="shared" si="0"/>
        <v>R2|ARTURO VALERIO|LA JOYA III</v>
      </c>
    </row>
    <row r="24" spans="1:66" hidden="1">
      <c r="A24" s="8" t="s">
        <v>26</v>
      </c>
      <c r="B24" s="6" t="s">
        <v>31</v>
      </c>
      <c r="C24" s="6" t="s">
        <v>35</v>
      </c>
      <c r="D24" s="13"/>
      <c r="E24" s="13"/>
      <c r="F24" s="41"/>
      <c r="G24" s="41"/>
      <c r="H24" s="39"/>
      <c r="I24" s="39"/>
      <c r="J24" s="13"/>
      <c r="K24" s="13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39"/>
      <c r="W24" s="39"/>
      <c r="X24" s="13"/>
      <c r="Y24" s="1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10"/>
      <c r="AK24" s="10"/>
      <c r="AL24" s="12"/>
      <c r="AM24" s="12"/>
      <c r="AN24" s="43"/>
      <c r="AO24" s="43"/>
      <c r="AP24" s="43"/>
      <c r="AQ24" s="43"/>
      <c r="AR24" s="46"/>
      <c r="AS24" s="47"/>
      <c r="AT24" s="43"/>
      <c r="AU24" s="43"/>
      <c r="AV24" s="43"/>
      <c r="AW24" s="43"/>
      <c r="AX24" s="10"/>
      <c r="AY24" s="10"/>
      <c r="AZ24" s="12"/>
      <c r="BA24" s="12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10"/>
      <c r="BM24" s="10"/>
      <c r="BN24" t="str">
        <f t="shared" si="0"/>
        <v>R2|ARTURO VALERIO|LA JOYA IV</v>
      </c>
    </row>
    <row r="25" spans="1:66" hidden="1">
      <c r="A25" s="8" t="s">
        <v>26</v>
      </c>
      <c r="B25" s="6" t="s">
        <v>31</v>
      </c>
      <c r="C25" s="6" t="s">
        <v>36</v>
      </c>
      <c r="D25" s="13"/>
      <c r="E25" s="13"/>
      <c r="F25" s="41"/>
      <c r="G25" s="41"/>
      <c r="H25" s="39"/>
      <c r="I25" s="39"/>
      <c r="J25" s="13"/>
      <c r="K25" s="13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39"/>
      <c r="W25" s="39"/>
      <c r="X25" s="13"/>
      <c r="Y25" s="1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10"/>
      <c r="AK25" s="10"/>
      <c r="AL25" s="12"/>
      <c r="AM25" s="12"/>
      <c r="AN25" s="43"/>
      <c r="AO25" s="43"/>
      <c r="AP25" s="43"/>
      <c r="AQ25" s="43"/>
      <c r="AR25" s="46"/>
      <c r="AS25" s="47"/>
      <c r="AT25" s="43"/>
      <c r="AU25" s="43"/>
      <c r="AV25" s="43"/>
      <c r="AW25" s="43"/>
      <c r="AX25" s="10"/>
      <c r="AY25" s="10"/>
      <c r="AZ25" s="12"/>
      <c r="BA25" s="12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10"/>
      <c r="BM25" s="10"/>
      <c r="BN25" t="str">
        <f t="shared" si="0"/>
        <v>R2|ARTURO VALERIO|LA JOYA V</v>
      </c>
    </row>
    <row r="26" spans="1:66" hidden="1">
      <c r="A26" s="8" t="s">
        <v>26</v>
      </c>
      <c r="B26" s="6" t="s">
        <v>31</v>
      </c>
      <c r="C26" s="6" t="s">
        <v>37</v>
      </c>
      <c r="D26" s="13"/>
      <c r="E26" s="13"/>
      <c r="F26" s="41"/>
      <c r="G26" s="41"/>
      <c r="H26" s="39"/>
      <c r="I26" s="39"/>
      <c r="J26" s="13"/>
      <c r="K26" s="13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39"/>
      <c r="W26" s="39"/>
      <c r="X26" s="13"/>
      <c r="Y26" s="1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10"/>
      <c r="AK26" s="10"/>
      <c r="AL26" s="12"/>
      <c r="AM26" s="12"/>
      <c r="AN26" s="43"/>
      <c r="AO26" s="43"/>
      <c r="AP26" s="43"/>
      <c r="AQ26" s="43"/>
      <c r="AR26" s="46"/>
      <c r="AS26" s="47"/>
      <c r="AT26" s="43"/>
      <c r="AU26" s="43">
        <v>0.1388888888888889</v>
      </c>
      <c r="AV26" s="43"/>
      <c r="AW26" s="43"/>
      <c r="AX26" s="10"/>
      <c r="AY26" s="10"/>
      <c r="AZ26" s="12"/>
      <c r="BA26" s="12"/>
      <c r="BB26" s="43">
        <v>0.37777777777777777</v>
      </c>
      <c r="BC26" s="43"/>
      <c r="BD26" s="43"/>
      <c r="BE26" s="43"/>
      <c r="BF26" s="43"/>
      <c r="BG26" s="43"/>
      <c r="BH26" s="43"/>
      <c r="BI26" s="43"/>
      <c r="BJ26" s="43"/>
      <c r="BK26" s="43"/>
      <c r="BL26" s="10"/>
      <c r="BM26" s="10"/>
      <c r="BN26" t="str">
        <f t="shared" si="0"/>
        <v>R2|ARTURO VALERIO|DIAMANTE</v>
      </c>
    </row>
    <row r="27" spans="1:66" hidden="1">
      <c r="A27" s="8" t="s">
        <v>26</v>
      </c>
      <c r="B27" s="6" t="s">
        <v>31</v>
      </c>
      <c r="C27" s="6" t="s">
        <v>38</v>
      </c>
      <c r="D27" s="13"/>
      <c r="E27" s="13"/>
      <c r="F27" s="41"/>
      <c r="G27" s="41"/>
      <c r="H27" s="39"/>
      <c r="I27" s="39"/>
      <c r="J27" s="13"/>
      <c r="K27" s="13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39"/>
      <c r="W27" s="39"/>
      <c r="X27" s="13"/>
      <c r="Y27" s="13"/>
      <c r="Z27" s="43"/>
      <c r="AA27" s="43"/>
      <c r="AB27" s="43">
        <v>0.37638888888888888</v>
      </c>
      <c r="AC27" s="43"/>
      <c r="AD27" s="43"/>
      <c r="AE27" s="43"/>
      <c r="AF27" s="43"/>
      <c r="AG27" s="43"/>
      <c r="AH27" s="43"/>
      <c r="AI27" s="43"/>
      <c r="AJ27" s="10"/>
      <c r="AK27" s="10"/>
      <c r="AL27" s="12"/>
      <c r="AM27" s="12"/>
      <c r="AN27" s="43"/>
      <c r="AO27" s="43"/>
      <c r="AP27" s="43"/>
      <c r="AQ27" s="43"/>
      <c r="AR27" s="46"/>
      <c r="AS27" s="47"/>
      <c r="AT27" s="43"/>
      <c r="AU27" s="43"/>
      <c r="AV27" s="43">
        <v>0.35347222222222224</v>
      </c>
      <c r="AW27" s="43"/>
      <c r="AX27" s="10"/>
      <c r="AY27" s="10"/>
      <c r="AZ27" s="12"/>
      <c r="BA27" s="12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10"/>
      <c r="BM27" s="10"/>
      <c r="BN27" t="str">
        <f t="shared" si="0"/>
        <v>R2|ARTURO VALERIO|PUMA</v>
      </c>
    </row>
    <row r="28" spans="1:66" hidden="1">
      <c r="A28" s="8" t="s">
        <v>26</v>
      </c>
      <c r="B28" s="6" t="s">
        <v>39</v>
      </c>
      <c r="C28" s="6" t="s">
        <v>40</v>
      </c>
      <c r="D28" s="13"/>
      <c r="E28" s="13"/>
      <c r="F28" s="41"/>
      <c r="G28" s="41"/>
      <c r="H28" s="39"/>
      <c r="I28" s="39"/>
      <c r="J28" s="13"/>
      <c r="K28" s="13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39"/>
      <c r="W28" s="39"/>
      <c r="X28" s="13"/>
      <c r="Y28" s="13"/>
      <c r="Z28" s="43">
        <v>0.35625000000000001</v>
      </c>
      <c r="AA28" s="43">
        <v>0.14374999999999999</v>
      </c>
      <c r="AB28" s="43">
        <v>0.38194444444444442</v>
      </c>
      <c r="AC28" s="43">
        <v>0.14930555555555555</v>
      </c>
      <c r="AD28" s="43">
        <v>0.40277777777777779</v>
      </c>
      <c r="AE28" s="43">
        <v>0.15</v>
      </c>
      <c r="AF28" s="43">
        <v>0.39791666666666664</v>
      </c>
      <c r="AG28" s="43">
        <v>0.15138888888888888</v>
      </c>
      <c r="AH28" s="43">
        <v>0.3659722222222222</v>
      </c>
      <c r="AI28" s="43">
        <v>0.14791666666666667</v>
      </c>
      <c r="AJ28" s="10"/>
      <c r="AK28" s="10"/>
      <c r="AL28" s="12"/>
      <c r="AM28" s="12"/>
      <c r="AN28" s="43">
        <v>0.37986111111111109</v>
      </c>
      <c r="AO28" s="43">
        <v>0.15625</v>
      </c>
      <c r="AP28" s="43">
        <v>0.38472222222222224</v>
      </c>
      <c r="AQ28" s="43"/>
      <c r="AR28" s="46">
        <v>0.38055555555555554</v>
      </c>
      <c r="AS28" s="47"/>
      <c r="AT28" s="43">
        <v>0.37430555555555556</v>
      </c>
      <c r="AU28" s="43">
        <v>0.14861111111111111</v>
      </c>
      <c r="AV28" s="43">
        <v>0.38541666666666669</v>
      </c>
      <c r="AW28" s="43">
        <v>0.15347222222222223</v>
      </c>
      <c r="AX28" s="10"/>
      <c r="AY28" s="10"/>
      <c r="AZ28" s="12"/>
      <c r="BA28" s="12"/>
      <c r="BB28" s="43">
        <v>0.37361111111111112</v>
      </c>
      <c r="BC28" s="43"/>
      <c r="BD28" s="43"/>
      <c r="BE28" s="43"/>
      <c r="BF28" s="43"/>
      <c r="BG28" s="43"/>
      <c r="BH28" s="43"/>
      <c r="BI28" s="43"/>
      <c r="BJ28" s="43"/>
      <c r="BK28" s="43"/>
      <c r="BL28" s="10"/>
      <c r="BM28" s="10"/>
      <c r="BN28" t="str">
        <f t="shared" si="0"/>
        <v>R2|MONSERRAT ESQUIVEL|TULTITLAN I</v>
      </c>
    </row>
    <row r="29" spans="1:66" hidden="1">
      <c r="A29" s="8" t="s">
        <v>26</v>
      </c>
      <c r="B29" s="6" t="s">
        <v>41</v>
      </c>
      <c r="C29" s="6" t="s">
        <v>42</v>
      </c>
      <c r="D29" s="13"/>
      <c r="E29" s="13"/>
      <c r="F29" s="42">
        <v>0.36944444444444452</v>
      </c>
      <c r="G29" s="42">
        <v>0.65138888888888891</v>
      </c>
      <c r="H29" s="39"/>
      <c r="I29" s="39"/>
      <c r="J29" s="13"/>
      <c r="K29" s="13"/>
      <c r="L29" s="42">
        <v>0.37291666666666667</v>
      </c>
      <c r="M29" s="42">
        <v>0.6694444444444444</v>
      </c>
      <c r="N29" s="42">
        <v>0.38472222222222219</v>
      </c>
      <c r="O29" s="42">
        <v>0.64583333333333337</v>
      </c>
      <c r="P29" s="42">
        <v>0.3888888888888889</v>
      </c>
      <c r="Q29" s="42">
        <v>0.64652777777777781</v>
      </c>
      <c r="R29" s="42">
        <v>0.36319444444444438</v>
      </c>
      <c r="S29" s="42">
        <v>0.64722222222222225</v>
      </c>
      <c r="T29" s="42">
        <v>0.37013888888888891</v>
      </c>
      <c r="U29" s="42">
        <v>0.65486111111111112</v>
      </c>
      <c r="V29" s="39"/>
      <c r="W29" s="39"/>
      <c r="X29" s="13"/>
      <c r="Y29" s="13"/>
      <c r="Z29" s="43">
        <v>0.36666666666666664</v>
      </c>
      <c r="AA29" s="43">
        <v>0.19444444444444445</v>
      </c>
      <c r="AB29" s="43">
        <v>0.37708333333333333</v>
      </c>
      <c r="AC29" s="43">
        <v>0.16597222222222222</v>
      </c>
      <c r="AD29" s="43"/>
      <c r="AE29" s="43"/>
      <c r="AF29" s="43">
        <v>0.40347222222222223</v>
      </c>
      <c r="AG29" s="43">
        <v>0.13750000000000001</v>
      </c>
      <c r="AH29" s="43"/>
      <c r="AI29" s="43"/>
      <c r="AJ29" s="10"/>
      <c r="AK29" s="10"/>
      <c r="AL29" s="12"/>
      <c r="AM29" s="12"/>
      <c r="AN29" s="43">
        <v>0.36805555555555558</v>
      </c>
      <c r="AO29" s="43"/>
      <c r="AP29" s="43">
        <v>0.37777777777777777</v>
      </c>
      <c r="AQ29" s="43"/>
      <c r="AR29" s="46">
        <v>0.35416666666666669</v>
      </c>
      <c r="AS29" s="47"/>
      <c r="AT29" s="43">
        <v>0.36527777777777776</v>
      </c>
      <c r="AU29" s="43"/>
      <c r="AV29" s="43">
        <v>0.36666666666666664</v>
      </c>
      <c r="AW29" s="43">
        <v>0.13680555555555557</v>
      </c>
      <c r="AX29" s="10"/>
      <c r="AY29" s="10"/>
      <c r="AZ29" s="12"/>
      <c r="BA29" s="12"/>
      <c r="BB29" s="43">
        <v>0.36527777777777776</v>
      </c>
      <c r="BC29" s="43"/>
      <c r="BD29" s="43"/>
      <c r="BE29" s="43"/>
      <c r="BF29" s="43"/>
      <c r="BG29" s="43"/>
      <c r="BH29" s="43"/>
      <c r="BI29" s="43"/>
      <c r="BJ29" s="43"/>
      <c r="BK29" s="43"/>
      <c r="BL29" s="10"/>
      <c r="BM29" s="10"/>
      <c r="BN29" t="str">
        <f t="shared" si="0"/>
        <v>R2|RAFAEL PONCE|TULTITLAN II</v>
      </c>
    </row>
    <row r="30" spans="1:66" hidden="1">
      <c r="A30" s="8" t="s">
        <v>43</v>
      </c>
      <c r="B30" s="6" t="s">
        <v>44</v>
      </c>
      <c r="C30" s="6" t="s">
        <v>45</v>
      </c>
      <c r="D30" s="13"/>
      <c r="E30" s="13"/>
      <c r="F30" s="42">
        <v>0.38541666666666669</v>
      </c>
      <c r="G30" s="42">
        <v>0.6958333333333333</v>
      </c>
      <c r="H30" s="40">
        <v>0.47499999999999998</v>
      </c>
      <c r="I30" s="39"/>
      <c r="J30" s="13"/>
      <c r="K30" s="13"/>
      <c r="L30" s="42">
        <v>0.42986111111111108</v>
      </c>
      <c r="M30" s="42">
        <v>0.69166666666666665</v>
      </c>
      <c r="N30" s="42">
        <v>0.44861111111111113</v>
      </c>
      <c r="O30" s="42">
        <v>0.67638888888888893</v>
      </c>
      <c r="P30" s="42">
        <v>0.4</v>
      </c>
      <c r="Q30" s="42">
        <v>0.68055555555555558</v>
      </c>
      <c r="R30" s="42">
        <v>0.37152777777777779</v>
      </c>
      <c r="S30" s="42">
        <v>0.70625000000000004</v>
      </c>
      <c r="T30" s="42">
        <v>0.37222222222222218</v>
      </c>
      <c r="U30" s="42">
        <v>0.61944444444444446</v>
      </c>
      <c r="V30" s="40">
        <v>0.37986111111111109</v>
      </c>
      <c r="W30" s="39"/>
      <c r="X30" s="13"/>
      <c r="Y30" s="13"/>
      <c r="Z30" s="43">
        <v>0.35972222222222222</v>
      </c>
      <c r="AA30" s="43">
        <v>0.13958333333333334</v>
      </c>
      <c r="AB30" s="43">
        <v>0.35694444444444445</v>
      </c>
      <c r="AC30" s="43">
        <v>0.1361111111111111</v>
      </c>
      <c r="AD30" s="43">
        <v>0.41736111111111113</v>
      </c>
      <c r="AE30" s="43">
        <v>0.11666666666666667</v>
      </c>
      <c r="AF30" s="43">
        <v>0.37708333333333333</v>
      </c>
      <c r="AG30" s="43">
        <v>0.21041666666666667</v>
      </c>
      <c r="AH30" s="43">
        <v>0.37152777777777779</v>
      </c>
      <c r="AI30" s="43">
        <v>0.14166666666666666</v>
      </c>
      <c r="AJ30" s="10">
        <v>0.42708333333333331</v>
      </c>
      <c r="AK30" s="10"/>
      <c r="AL30" s="12"/>
      <c r="AM30" s="12"/>
      <c r="AN30" s="43">
        <v>0.36249999999999999</v>
      </c>
      <c r="AO30" s="43">
        <v>0.15</v>
      </c>
      <c r="AP30" s="43">
        <v>0.4152777777777778</v>
      </c>
      <c r="AQ30" s="43">
        <v>0.14166666666666666</v>
      </c>
      <c r="AR30" s="46">
        <v>0.3527777777777778</v>
      </c>
      <c r="AS30" s="47">
        <v>0.15555555555555556</v>
      </c>
      <c r="AT30" s="43">
        <v>0.37361111111111112</v>
      </c>
      <c r="AU30" s="43">
        <v>0.13750000000000001</v>
      </c>
      <c r="AV30" s="43">
        <v>0.36805555555555558</v>
      </c>
      <c r="AW30" s="43">
        <v>0.12986111111111112</v>
      </c>
      <c r="AX30" s="10"/>
      <c r="AY30" s="10"/>
      <c r="AZ30" s="12"/>
      <c r="BA30" s="12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10"/>
      <c r="BM30" s="10"/>
      <c r="BN30" t="str">
        <f t="shared" si="0"/>
        <v>R3|CARLOS A. CARRILLO|TULTI PARK II</v>
      </c>
    </row>
    <row r="31" spans="1:66" hidden="1">
      <c r="A31" s="8" t="s">
        <v>43</v>
      </c>
      <c r="B31" s="6" t="s">
        <v>46</v>
      </c>
      <c r="C31" s="6" t="s">
        <v>47</v>
      </c>
      <c r="D31" s="13"/>
      <c r="E31" s="13"/>
      <c r="F31" s="41"/>
      <c r="G31" s="41"/>
      <c r="H31" s="39"/>
      <c r="I31" s="39"/>
      <c r="J31" s="13"/>
      <c r="K31" s="13"/>
      <c r="L31" s="42">
        <v>0.34305555555555561</v>
      </c>
      <c r="M31" s="42">
        <v>0.64930555555555558</v>
      </c>
      <c r="N31" s="41"/>
      <c r="O31" s="41"/>
      <c r="P31" s="41"/>
      <c r="Q31" s="41"/>
      <c r="R31" s="42">
        <v>0.34305555555555561</v>
      </c>
      <c r="S31" s="42">
        <v>0.62777777777777777</v>
      </c>
      <c r="T31" s="42">
        <v>0.34861111111111109</v>
      </c>
      <c r="U31" s="42">
        <v>0.62638888888888888</v>
      </c>
      <c r="V31" s="39"/>
      <c r="W31" s="39"/>
      <c r="X31" s="13"/>
      <c r="Y31" s="13"/>
      <c r="Z31" s="43">
        <v>0.3576388888888889</v>
      </c>
      <c r="AA31" s="43">
        <v>0.15486111111111112</v>
      </c>
      <c r="AB31" s="43">
        <v>0.36249999999999999</v>
      </c>
      <c r="AC31" s="43">
        <v>0.15</v>
      </c>
      <c r="AD31" s="43">
        <v>0.37222222222222223</v>
      </c>
      <c r="AE31" s="43">
        <v>0.13402777777777777</v>
      </c>
      <c r="AF31" s="43">
        <v>0.36180555555555555</v>
      </c>
      <c r="AG31" s="43">
        <v>0.14722222222222223</v>
      </c>
      <c r="AH31" s="43">
        <v>0.36805555555555558</v>
      </c>
      <c r="AI31" s="43">
        <v>0.14374999999999999</v>
      </c>
      <c r="AJ31" s="10"/>
      <c r="AK31" s="10"/>
      <c r="AL31" s="12"/>
      <c r="AM31" s="12"/>
      <c r="AN31" s="43">
        <v>0.34722222222222221</v>
      </c>
      <c r="AO31" s="43">
        <v>0.13125000000000001</v>
      </c>
      <c r="AP31" s="43">
        <v>0.37222222222222223</v>
      </c>
      <c r="AQ31" s="43">
        <v>0.16875000000000001</v>
      </c>
      <c r="AR31" s="46">
        <v>0.35416666666666669</v>
      </c>
      <c r="AS31" s="47">
        <v>0.13472222222222222</v>
      </c>
      <c r="AT31" s="43">
        <v>0.3527777777777778</v>
      </c>
      <c r="AU31" s="43">
        <v>0.17152777777777778</v>
      </c>
      <c r="AV31" s="43">
        <v>0.36805555555555558</v>
      </c>
      <c r="AW31" s="43">
        <v>0.15486111111111112</v>
      </c>
      <c r="AX31" s="10"/>
      <c r="AY31" s="10"/>
      <c r="AZ31" s="12"/>
      <c r="BA31" s="12"/>
      <c r="BB31" s="43">
        <v>0.35069444444444442</v>
      </c>
      <c r="BC31" s="43"/>
      <c r="BD31" s="43"/>
      <c r="BE31" s="43"/>
      <c r="BF31" s="43"/>
      <c r="BG31" s="43"/>
      <c r="BH31" s="43"/>
      <c r="BI31" s="43"/>
      <c r="BJ31" s="43"/>
      <c r="BK31" s="43"/>
      <c r="BL31" s="10"/>
      <c r="BM31" s="10"/>
      <c r="BN31" t="str">
        <f t="shared" si="0"/>
        <v>R3|IVAN GONZALEZ|TULTI PARK III</v>
      </c>
    </row>
    <row r="32" spans="1:66" hidden="1">
      <c r="A32" s="8" t="s">
        <v>43</v>
      </c>
      <c r="B32" s="6" t="s">
        <v>48</v>
      </c>
      <c r="C32" s="6" t="s">
        <v>49</v>
      </c>
      <c r="D32" s="13"/>
      <c r="E32" s="13"/>
      <c r="F32" s="42">
        <v>0.35347222222222219</v>
      </c>
      <c r="G32" s="42">
        <v>0.70694444444444449</v>
      </c>
      <c r="H32" s="39"/>
      <c r="I32" s="39"/>
      <c r="J32" s="13"/>
      <c r="K32" s="13"/>
      <c r="L32" s="42">
        <v>0.37430555555555561</v>
      </c>
      <c r="M32" s="42">
        <v>0.67777777777777781</v>
      </c>
      <c r="N32" s="42">
        <v>0.36458333333333331</v>
      </c>
      <c r="O32" s="42">
        <v>0.67500000000000004</v>
      </c>
      <c r="P32" s="42">
        <v>0.36249999999999999</v>
      </c>
      <c r="Q32" s="42">
        <v>0.65069444444444446</v>
      </c>
      <c r="R32" s="42">
        <v>0.35902777777777778</v>
      </c>
      <c r="S32" s="42">
        <v>0.65555555555555556</v>
      </c>
      <c r="T32" s="42">
        <v>0.36249999999999999</v>
      </c>
      <c r="U32" s="42">
        <v>0.65138888888888891</v>
      </c>
      <c r="V32" s="39"/>
      <c r="W32" s="39"/>
      <c r="X32" s="13"/>
      <c r="Y32" s="13"/>
      <c r="Z32" s="43">
        <v>0.37013888888888891</v>
      </c>
      <c r="AA32" s="43">
        <v>0.15555555555555556</v>
      </c>
      <c r="AB32" s="43">
        <v>0.35902777777777778</v>
      </c>
      <c r="AC32" s="43"/>
      <c r="AD32" s="43">
        <v>0.37777777777777777</v>
      </c>
      <c r="AE32" s="43">
        <v>0.15972222222222221</v>
      </c>
      <c r="AF32" s="43">
        <v>0.37083333333333335</v>
      </c>
      <c r="AG32" s="43"/>
      <c r="AH32" s="43">
        <v>0.36319444444444443</v>
      </c>
      <c r="AI32" s="43">
        <v>0.15694444444444444</v>
      </c>
      <c r="AJ32" s="10">
        <v>0.39652777777777776</v>
      </c>
      <c r="AK32" s="10"/>
      <c r="AL32" s="12"/>
      <c r="AM32" s="12"/>
      <c r="AN32" s="43">
        <v>0.37013888888888891</v>
      </c>
      <c r="AO32" s="43"/>
      <c r="AP32" s="43">
        <v>0.38263888888888886</v>
      </c>
      <c r="AQ32" s="43">
        <v>0.18472222222222223</v>
      </c>
      <c r="AR32" s="46">
        <v>0.36666666666666664</v>
      </c>
      <c r="AS32" s="47">
        <v>0.20277777777777778</v>
      </c>
      <c r="AT32" s="43">
        <v>0.36666666666666664</v>
      </c>
      <c r="AU32" s="43">
        <v>0.14861111111111111</v>
      </c>
      <c r="AV32" s="43">
        <v>0.37708333333333333</v>
      </c>
      <c r="AW32" s="43"/>
      <c r="AX32" s="10"/>
      <c r="AY32" s="10"/>
      <c r="AZ32" s="12"/>
      <c r="BA32" s="12"/>
      <c r="BB32" s="43">
        <v>0.38194444444444442</v>
      </c>
      <c r="BC32" s="43"/>
      <c r="BD32" s="43"/>
      <c r="BE32" s="43"/>
      <c r="BF32" s="43"/>
      <c r="BG32" s="43"/>
      <c r="BH32" s="43"/>
      <c r="BI32" s="43"/>
      <c r="BJ32" s="43"/>
      <c r="BK32" s="43"/>
      <c r="BL32" s="10"/>
      <c r="BM32" s="10"/>
      <c r="BN32" t="str">
        <f t="shared" si="0"/>
        <v>R3|ANDREA F. MIRANDA|TULTI PARK IV</v>
      </c>
    </row>
    <row r="33" spans="1:66" hidden="1">
      <c r="A33" s="8" t="s">
        <v>43</v>
      </c>
      <c r="B33" s="6" t="s">
        <v>48</v>
      </c>
      <c r="C33" s="6" t="s">
        <v>50</v>
      </c>
      <c r="D33" s="13"/>
      <c r="E33" s="13"/>
      <c r="F33" s="41"/>
      <c r="G33" s="41"/>
      <c r="H33" s="39"/>
      <c r="I33" s="39"/>
      <c r="J33" s="13"/>
      <c r="K33" s="13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39"/>
      <c r="W33" s="39"/>
      <c r="X33" s="13"/>
      <c r="Y33" s="1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10"/>
      <c r="AK33" s="10"/>
      <c r="AL33" s="12"/>
      <c r="AM33" s="12"/>
      <c r="AN33" s="43"/>
      <c r="AO33" s="43"/>
      <c r="AP33" s="43"/>
      <c r="AQ33" s="43"/>
      <c r="AR33" s="46"/>
      <c r="AS33" s="47"/>
      <c r="AT33" s="43"/>
      <c r="AU33" s="43"/>
      <c r="AV33" s="43"/>
      <c r="AW33" s="43"/>
      <c r="AX33" s="10"/>
      <c r="AY33" s="10"/>
      <c r="AZ33" s="12"/>
      <c r="BA33" s="12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10"/>
      <c r="BM33" s="10"/>
      <c r="BN33" t="str">
        <f t="shared" si="0"/>
        <v>R3|ANDREA F. MIRANDA|COACALCO</v>
      </c>
    </row>
    <row r="34" spans="1:66" hidden="1">
      <c r="A34" s="8" t="s">
        <v>43</v>
      </c>
      <c r="B34" s="6" t="s">
        <v>51</v>
      </c>
      <c r="C34" s="6" t="s">
        <v>52</v>
      </c>
      <c r="D34" s="13"/>
      <c r="E34" s="13"/>
      <c r="F34" s="42">
        <v>0.35486111111111113</v>
      </c>
      <c r="G34" s="42">
        <v>0.69097222222222221</v>
      </c>
      <c r="H34" s="39"/>
      <c r="I34" s="39"/>
      <c r="J34" s="13"/>
      <c r="K34" s="13"/>
      <c r="L34" s="42">
        <v>0.34930555555555548</v>
      </c>
      <c r="M34" s="42">
        <v>0.64652777777777781</v>
      </c>
      <c r="N34" s="42">
        <v>0.34930555555555548</v>
      </c>
      <c r="O34" s="42">
        <v>0.63611111111111107</v>
      </c>
      <c r="P34" s="42">
        <v>0.35069444444444442</v>
      </c>
      <c r="Q34" s="42">
        <v>0.66111111111111109</v>
      </c>
      <c r="R34" s="42">
        <v>0.35</v>
      </c>
      <c r="S34" s="41"/>
      <c r="T34" s="42">
        <v>0.35486111111111113</v>
      </c>
      <c r="U34" s="42">
        <v>0.64513888888888893</v>
      </c>
      <c r="V34" s="39"/>
      <c r="W34" s="39"/>
      <c r="X34" s="13"/>
      <c r="Y34" s="13"/>
      <c r="Z34" s="43">
        <v>0.3576388888888889</v>
      </c>
      <c r="AA34" s="43">
        <v>0.15902777777777777</v>
      </c>
      <c r="AB34" s="43">
        <v>0.34513888888888888</v>
      </c>
      <c r="AC34" s="43">
        <v>0.16180555555555556</v>
      </c>
      <c r="AD34" s="43">
        <v>0.36875000000000002</v>
      </c>
      <c r="AE34" s="43">
        <v>0.15208333333333332</v>
      </c>
      <c r="AF34" s="43">
        <v>0.35555555555555557</v>
      </c>
      <c r="AG34" s="43">
        <v>0.13541666666666666</v>
      </c>
      <c r="AH34" s="43">
        <v>0.3659722222222222</v>
      </c>
      <c r="AI34" s="43">
        <v>0.12430555555555556</v>
      </c>
      <c r="AJ34" s="10">
        <v>0.3611111111111111</v>
      </c>
      <c r="AK34" s="10"/>
      <c r="AL34" s="12"/>
      <c r="AM34" s="12"/>
      <c r="AN34" s="43">
        <v>0.35625000000000001</v>
      </c>
      <c r="AO34" s="43">
        <v>0.15208333333333332</v>
      </c>
      <c r="AP34" s="43">
        <v>0.36249999999999999</v>
      </c>
      <c r="AQ34" s="43">
        <v>0.13263888888888889</v>
      </c>
      <c r="AR34" s="46">
        <v>0.36249999999999999</v>
      </c>
      <c r="AS34" s="47">
        <v>0.11458333333333333</v>
      </c>
      <c r="AT34" s="43">
        <v>0.36319444444444443</v>
      </c>
      <c r="AU34" s="43">
        <v>0.17499999999999999</v>
      </c>
      <c r="AV34" s="43">
        <v>0.34652777777777777</v>
      </c>
      <c r="AW34" s="43"/>
      <c r="AX34" s="10"/>
      <c r="AY34" s="10"/>
      <c r="AZ34" s="12"/>
      <c r="BA34" s="12"/>
      <c r="BB34" s="43">
        <v>0.34791666666666665</v>
      </c>
      <c r="BC34" s="43"/>
      <c r="BD34" s="43"/>
      <c r="BE34" s="43"/>
      <c r="BF34" s="43"/>
      <c r="BG34" s="43"/>
      <c r="BH34" s="43"/>
      <c r="BI34" s="43"/>
      <c r="BJ34" s="43"/>
      <c r="BK34" s="43"/>
      <c r="BL34" s="10"/>
      <c r="BM34" s="10"/>
      <c r="BN34" t="str">
        <f t="shared" si="0"/>
        <v>R3|MARCO A. CERVANTES|MEXIQUENSE</v>
      </c>
    </row>
    <row r="35" spans="1:66" hidden="1">
      <c r="A35" s="8" t="s">
        <v>43</v>
      </c>
      <c r="B35" s="6" t="s">
        <v>51</v>
      </c>
      <c r="C35" s="6" t="s">
        <v>53</v>
      </c>
      <c r="D35" s="13"/>
      <c r="E35" s="13"/>
      <c r="F35" s="42"/>
      <c r="G35" s="42"/>
      <c r="H35" s="39"/>
      <c r="I35" s="39"/>
      <c r="J35" s="13"/>
      <c r="K35" s="13"/>
      <c r="L35" s="42"/>
      <c r="M35" s="42"/>
      <c r="N35" s="42"/>
      <c r="O35" s="42"/>
      <c r="P35" s="42"/>
      <c r="Q35" s="42"/>
      <c r="R35" s="42"/>
      <c r="S35" s="41"/>
      <c r="T35" s="42"/>
      <c r="U35" s="42"/>
      <c r="V35" s="39"/>
      <c r="W35" s="39"/>
      <c r="X35" s="13"/>
      <c r="Y35" s="13"/>
      <c r="Z35" s="43"/>
      <c r="AA35" s="43"/>
      <c r="AB35" s="43"/>
      <c r="AC35" s="43">
        <v>0.16597222222222222</v>
      </c>
      <c r="AD35" s="43">
        <v>0.36875000000000002</v>
      </c>
      <c r="AE35" s="43"/>
      <c r="AF35" s="43"/>
      <c r="AG35" s="43"/>
      <c r="AH35" s="43"/>
      <c r="AI35" s="43"/>
      <c r="AJ35" s="10"/>
      <c r="AK35" s="10"/>
      <c r="AL35" s="12"/>
      <c r="AM35" s="12"/>
      <c r="AN35" s="43"/>
      <c r="AO35" s="43"/>
      <c r="AP35" s="43"/>
      <c r="AQ35" s="43"/>
      <c r="AR35" s="46"/>
      <c r="AS35" s="47"/>
      <c r="AT35" s="43">
        <v>0.48194444444444445</v>
      </c>
      <c r="AU35" s="43"/>
      <c r="AV35" s="43"/>
      <c r="AW35" s="43"/>
      <c r="AX35" s="10"/>
      <c r="AY35" s="10"/>
      <c r="AZ35" s="12"/>
      <c r="BA35" s="12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10"/>
      <c r="BM35" s="10"/>
      <c r="BN35"/>
    </row>
    <row r="36" spans="1:66" hidden="1">
      <c r="A36" s="8" t="s">
        <v>43</v>
      </c>
      <c r="B36" s="6" t="s">
        <v>54</v>
      </c>
      <c r="C36" s="6" t="s">
        <v>55</v>
      </c>
      <c r="D36" s="13"/>
      <c r="E36" s="13"/>
      <c r="F36" s="42">
        <v>0.35972222222222222</v>
      </c>
      <c r="G36" s="42">
        <v>0.64722222222222225</v>
      </c>
      <c r="H36" s="39"/>
      <c r="I36" s="39"/>
      <c r="J36" s="13"/>
      <c r="K36" s="13"/>
      <c r="L36" s="42">
        <v>0.35833333333333328</v>
      </c>
      <c r="M36" s="42">
        <v>0.67708333333333337</v>
      </c>
      <c r="N36" s="42">
        <v>0.35208333333333341</v>
      </c>
      <c r="O36" s="41"/>
      <c r="P36" s="42">
        <v>0.34861111111111109</v>
      </c>
      <c r="Q36" s="42">
        <v>0.69236111111111109</v>
      </c>
      <c r="R36" s="42">
        <v>0.34861111111111109</v>
      </c>
      <c r="S36" s="42">
        <v>0.65833333333333333</v>
      </c>
      <c r="T36" s="42">
        <v>0.34375</v>
      </c>
      <c r="U36" s="42">
        <v>0.6743055555555556</v>
      </c>
      <c r="V36" s="40">
        <v>0.3972222222222222</v>
      </c>
      <c r="W36" s="39"/>
      <c r="X36" s="13"/>
      <c r="Y36" s="13"/>
      <c r="Z36" s="43">
        <v>0.3576388888888889</v>
      </c>
      <c r="AA36" s="43">
        <v>0.16666666666666666</v>
      </c>
      <c r="AB36" s="43">
        <v>0.35694444444444445</v>
      </c>
      <c r="AC36" s="43">
        <v>0.10069444444444445</v>
      </c>
      <c r="AD36" s="43">
        <v>0.36458333333333331</v>
      </c>
      <c r="AE36" s="43"/>
      <c r="AF36" s="43">
        <v>0.34583333333333333</v>
      </c>
      <c r="AG36" s="43">
        <v>0.1361111111111111</v>
      </c>
      <c r="AH36" s="43">
        <v>0.33055555555555555</v>
      </c>
      <c r="AI36" s="43">
        <v>0.13402777777777777</v>
      </c>
      <c r="AJ36" s="10"/>
      <c r="AK36" s="10"/>
      <c r="AL36" s="12"/>
      <c r="AM36" s="12"/>
      <c r="AN36" s="43">
        <v>0.35972222222222222</v>
      </c>
      <c r="AO36" s="43">
        <v>0.18055555555555555</v>
      </c>
      <c r="AP36" s="43">
        <v>0.3611111111111111</v>
      </c>
      <c r="AQ36" s="43">
        <v>0.12916666666666668</v>
      </c>
      <c r="AR36" s="46">
        <v>0.41597222222222224</v>
      </c>
      <c r="AS36" s="47"/>
      <c r="AT36" s="43">
        <v>0.35972222222222222</v>
      </c>
      <c r="AU36" s="43">
        <v>0.16875000000000001</v>
      </c>
      <c r="AV36" s="43">
        <v>0.37777777777777777</v>
      </c>
      <c r="AW36" s="43">
        <v>0.13055555555555556</v>
      </c>
      <c r="AX36" s="10">
        <v>0.38124999999999998</v>
      </c>
      <c r="AY36" s="10"/>
      <c r="AZ36" s="12"/>
      <c r="BA36" s="12"/>
      <c r="BB36" s="43">
        <v>0.35416666666666669</v>
      </c>
      <c r="BC36" s="43"/>
      <c r="BD36" s="43"/>
      <c r="BE36" s="43"/>
      <c r="BF36" s="43"/>
      <c r="BG36" s="43"/>
      <c r="BH36" s="43"/>
      <c r="BI36" s="43"/>
      <c r="BJ36" s="43"/>
      <c r="BK36" s="43"/>
      <c r="BL36" s="10"/>
      <c r="BM36" s="10"/>
      <c r="BN36" t="str">
        <f t="shared" si="0"/>
        <v>R3|PAOLA S. ANSELMO|TULTE PARK</v>
      </c>
    </row>
    <row r="37" spans="1:66" hidden="1">
      <c r="A37" s="8" t="s">
        <v>56</v>
      </c>
      <c r="B37" s="6" t="s">
        <v>57</v>
      </c>
      <c r="C37" s="6" t="s">
        <v>58</v>
      </c>
      <c r="D37" s="13"/>
      <c r="E37" s="13"/>
      <c r="F37" s="42">
        <v>0.37916666666666671</v>
      </c>
      <c r="G37" s="41"/>
      <c r="H37" s="39"/>
      <c r="I37" s="39"/>
      <c r="J37" s="13"/>
      <c r="K37" s="13"/>
      <c r="L37" s="42">
        <v>0.3576388888888889</v>
      </c>
      <c r="M37" s="42">
        <v>0.64583333333333337</v>
      </c>
      <c r="N37" s="42">
        <v>0.35833333333333328</v>
      </c>
      <c r="O37" s="41"/>
      <c r="P37" s="42">
        <v>0.3888888888888889</v>
      </c>
      <c r="Q37" s="41"/>
      <c r="R37" s="42">
        <v>0.375</v>
      </c>
      <c r="S37" s="42">
        <v>0.68472222222222223</v>
      </c>
      <c r="T37" s="42">
        <v>0.38541666666666669</v>
      </c>
      <c r="U37" s="41"/>
      <c r="V37" s="40">
        <v>0.37986111111111109</v>
      </c>
      <c r="W37" s="39"/>
      <c r="X37" s="13"/>
      <c r="Y37" s="1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10"/>
      <c r="AK37" s="10"/>
      <c r="AL37" s="12"/>
      <c r="AM37" s="12"/>
      <c r="AN37" s="43"/>
      <c r="AO37" s="43"/>
      <c r="AP37" s="43"/>
      <c r="AQ37" s="43"/>
      <c r="AR37" s="46">
        <v>0.375</v>
      </c>
      <c r="AS37" s="47">
        <v>0.13472222222222222</v>
      </c>
      <c r="AT37" s="43"/>
      <c r="AU37" s="43"/>
      <c r="AV37" s="43"/>
      <c r="AW37" s="43"/>
      <c r="AX37" s="10"/>
      <c r="AY37" s="10"/>
      <c r="AZ37" s="12"/>
      <c r="BA37" s="12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10"/>
      <c r="BM37" s="10"/>
      <c r="BN37" t="str">
        <f t="shared" si="0"/>
        <v>R4|JESUS BECERRA|LAGO I</v>
      </c>
    </row>
    <row r="38" spans="1:66" hidden="1">
      <c r="A38" s="8" t="s">
        <v>56</v>
      </c>
      <c r="B38" s="6" t="s">
        <v>57</v>
      </c>
      <c r="C38" s="6" t="s">
        <v>59</v>
      </c>
      <c r="D38" s="13"/>
      <c r="E38" s="13"/>
      <c r="F38" s="42">
        <v>0.40347222222222218</v>
      </c>
      <c r="G38" s="42">
        <v>0.67500000000000004</v>
      </c>
      <c r="H38" s="40">
        <v>0.40416666666666667</v>
      </c>
      <c r="I38" s="39"/>
      <c r="J38" s="13"/>
      <c r="K38" s="13"/>
      <c r="L38" s="41"/>
      <c r="M38" s="41"/>
      <c r="N38" s="41"/>
      <c r="O38" s="42">
        <v>0.66597222222222219</v>
      </c>
      <c r="P38" s="41"/>
      <c r="Q38" s="42">
        <v>0.63263888888888886</v>
      </c>
      <c r="R38" s="41"/>
      <c r="S38" s="41"/>
      <c r="T38" s="41"/>
      <c r="U38" s="42">
        <v>0.65486111111111112</v>
      </c>
      <c r="V38" s="39"/>
      <c r="W38" s="39"/>
      <c r="X38" s="13"/>
      <c r="Y38" s="13"/>
      <c r="Z38" s="43">
        <v>0.35555555555555557</v>
      </c>
      <c r="AA38" s="43">
        <v>0.16875000000000001</v>
      </c>
      <c r="AB38" s="43">
        <v>0.3298611111111111</v>
      </c>
      <c r="AC38" s="43">
        <v>0.12291666666666666</v>
      </c>
      <c r="AD38" s="43">
        <v>0.37291666666666667</v>
      </c>
      <c r="AE38" s="43">
        <v>0.125</v>
      </c>
      <c r="AF38" s="43">
        <v>0.36041666666666666</v>
      </c>
      <c r="AG38" s="43">
        <v>0.15833333333333333</v>
      </c>
      <c r="AH38" s="43">
        <v>0.39097222222222222</v>
      </c>
      <c r="AI38" s="43">
        <v>0.13819444444444445</v>
      </c>
      <c r="AJ38" s="10">
        <v>0.35347222222222224</v>
      </c>
      <c r="AK38" s="10">
        <v>0.53541666666666665</v>
      </c>
      <c r="AL38" s="12"/>
      <c r="AM38" s="12"/>
      <c r="AN38" s="43">
        <v>0.37152777777777779</v>
      </c>
      <c r="AO38" s="43">
        <v>0.17222222222222222</v>
      </c>
      <c r="AP38" s="43">
        <v>0.36319444444444443</v>
      </c>
      <c r="AQ38" s="43">
        <v>0.1423611111111111</v>
      </c>
      <c r="AR38" s="46"/>
      <c r="AS38" s="47"/>
      <c r="AT38" s="43">
        <v>0.37152777777777779</v>
      </c>
      <c r="AU38" s="43">
        <v>0.16180555555555556</v>
      </c>
      <c r="AV38" s="43">
        <v>0.36249999999999999</v>
      </c>
      <c r="AW38" s="43">
        <v>0.12638888888888888</v>
      </c>
      <c r="AX38" s="10">
        <v>0.38541666666666669</v>
      </c>
      <c r="AY38" s="10"/>
      <c r="AZ38" s="12"/>
      <c r="BA38" s="12"/>
      <c r="BB38" s="43">
        <v>0.36249999999999999</v>
      </c>
      <c r="BC38" s="43"/>
      <c r="BD38" s="43"/>
      <c r="BE38" s="43"/>
      <c r="BF38" s="43"/>
      <c r="BG38" s="43"/>
      <c r="BH38" s="43"/>
      <c r="BI38" s="43"/>
      <c r="BJ38" s="43"/>
      <c r="BK38" s="43"/>
      <c r="BL38" s="10"/>
      <c r="BM38" s="10"/>
      <c r="BN38" t="str">
        <f t="shared" si="0"/>
        <v>R4|JESUS BECERRA|LAGO II</v>
      </c>
    </row>
    <row r="39" spans="1:66" hidden="1">
      <c r="A39" s="8" t="s">
        <v>56</v>
      </c>
      <c r="B39" s="6" t="s">
        <v>60</v>
      </c>
      <c r="C39" s="6" t="s">
        <v>61</v>
      </c>
      <c r="D39" s="13"/>
      <c r="E39" s="13"/>
      <c r="F39" s="41"/>
      <c r="G39" s="41"/>
      <c r="H39" s="39"/>
      <c r="I39" s="39"/>
      <c r="J39" s="13"/>
      <c r="K39" s="13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39"/>
      <c r="W39" s="39"/>
      <c r="X39" s="13"/>
      <c r="Y39" s="13"/>
      <c r="Z39" s="43"/>
      <c r="AA39" s="43"/>
      <c r="AB39" s="43">
        <v>0.3611111111111111</v>
      </c>
      <c r="AC39" s="43">
        <v>0.15902777777777777</v>
      </c>
      <c r="AD39" s="43"/>
      <c r="AE39" s="43"/>
      <c r="AF39" s="43">
        <v>0.35902777777777778</v>
      </c>
      <c r="AG39" s="43">
        <v>0.14374999999999999</v>
      </c>
      <c r="AH39" s="43"/>
      <c r="AI39" s="43">
        <v>0.13402777777777777</v>
      </c>
      <c r="AJ39" s="10"/>
      <c r="AK39" s="10"/>
      <c r="AL39" s="12"/>
      <c r="AM39" s="12"/>
      <c r="AN39" s="43">
        <v>0.36319444444444443</v>
      </c>
      <c r="AO39" s="43"/>
      <c r="AP39" s="43"/>
      <c r="AQ39" s="43"/>
      <c r="AR39" s="46">
        <v>0.35486111111111113</v>
      </c>
      <c r="AS39" s="47">
        <v>0.15763888888888888</v>
      </c>
      <c r="AT39" s="43"/>
      <c r="AU39" s="43"/>
      <c r="AV39" s="43"/>
      <c r="AW39" s="43">
        <v>0.14791666666666667</v>
      </c>
      <c r="AX39" s="10"/>
      <c r="AY39" s="10"/>
      <c r="AZ39" s="12"/>
      <c r="BA39" s="12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10"/>
      <c r="BM39" s="10"/>
      <c r="BN39" t="str">
        <f t="shared" si="0"/>
        <v>R4|EDGAR S. MARQUEZ|LAGO III</v>
      </c>
    </row>
    <row r="40" spans="1:66" hidden="1">
      <c r="A40" s="8" t="s">
        <v>56</v>
      </c>
      <c r="B40" s="6" t="s">
        <v>60</v>
      </c>
      <c r="C40" s="6" t="s">
        <v>62</v>
      </c>
      <c r="D40" s="13"/>
      <c r="E40" s="13"/>
      <c r="F40" s="41"/>
      <c r="G40" s="41"/>
      <c r="H40" s="39"/>
      <c r="I40" s="39"/>
      <c r="J40" s="13"/>
      <c r="K40" s="13"/>
      <c r="L40" s="42">
        <v>0.35555555555555562</v>
      </c>
      <c r="M40" s="42">
        <v>0.65</v>
      </c>
      <c r="N40" s="42">
        <v>0.35347222222222219</v>
      </c>
      <c r="O40" s="42">
        <v>0.65486111111111112</v>
      </c>
      <c r="P40" s="42">
        <v>0.35138888888888892</v>
      </c>
      <c r="Q40" s="42">
        <v>0.65277777777777779</v>
      </c>
      <c r="R40" s="42">
        <v>0.35069444444444442</v>
      </c>
      <c r="S40" s="42">
        <v>0.65625</v>
      </c>
      <c r="T40" s="42">
        <v>0.35833333333333328</v>
      </c>
      <c r="U40" s="42">
        <v>0.65208333333333335</v>
      </c>
      <c r="V40" s="40">
        <v>0.36666666666666659</v>
      </c>
      <c r="W40" s="39"/>
      <c r="X40" s="13"/>
      <c r="Y40" s="13"/>
      <c r="Z40" s="43">
        <v>0.37638888888888888</v>
      </c>
      <c r="AA40" s="43">
        <v>0.1361111111111111</v>
      </c>
      <c r="AB40" s="43"/>
      <c r="AC40" s="43"/>
      <c r="AD40" s="43"/>
      <c r="AE40" s="43">
        <v>0.15694444444444444</v>
      </c>
      <c r="AF40" s="43"/>
      <c r="AG40" s="43"/>
      <c r="AH40" s="43">
        <v>0.35347222222222224</v>
      </c>
      <c r="AI40" s="43">
        <v>0.19166666666666668</v>
      </c>
      <c r="AJ40" s="10"/>
      <c r="AK40" s="10"/>
      <c r="AL40" s="12"/>
      <c r="AM40" s="12"/>
      <c r="AN40" s="43"/>
      <c r="AO40" s="43"/>
      <c r="AP40" s="43">
        <v>0.34861111111111109</v>
      </c>
      <c r="AQ40" s="43">
        <v>0.15694444444444444</v>
      </c>
      <c r="AR40" s="46"/>
      <c r="AS40" s="47"/>
      <c r="AT40" s="43">
        <v>0.36180555555555555</v>
      </c>
      <c r="AU40" s="43">
        <v>0.16388888888888889</v>
      </c>
      <c r="AV40" s="43"/>
      <c r="AW40" s="43"/>
      <c r="AX40" s="10">
        <v>0.35625000000000001</v>
      </c>
      <c r="AY40" s="10"/>
      <c r="AZ40" s="12"/>
      <c r="BA40" s="12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10"/>
      <c r="BM40" s="10"/>
      <c r="BN40" t="str">
        <f t="shared" si="0"/>
        <v>R4|EDGAR S. MARQUEZ|FUNO CENTER</v>
      </c>
    </row>
    <row r="41" spans="1:66" hidden="1">
      <c r="A41" s="8" t="s">
        <v>56</v>
      </c>
      <c r="B41" s="6" t="s">
        <v>63</v>
      </c>
      <c r="C41" s="6" t="s">
        <v>64</v>
      </c>
      <c r="D41" s="13"/>
      <c r="E41" s="13"/>
      <c r="F41" s="42">
        <v>0.39166666666666672</v>
      </c>
      <c r="G41" s="41"/>
      <c r="H41" s="39"/>
      <c r="I41" s="39"/>
      <c r="J41" s="13"/>
      <c r="K41" s="13"/>
      <c r="L41" s="42">
        <v>0.39583333333333331</v>
      </c>
      <c r="M41" s="42">
        <v>0.74652777777777779</v>
      </c>
      <c r="N41" s="42">
        <v>0.40138888888888891</v>
      </c>
      <c r="O41" s="41"/>
      <c r="P41" s="42">
        <v>0.40763888888888888</v>
      </c>
      <c r="Q41" s="42">
        <v>0.68402777777777779</v>
      </c>
      <c r="R41" s="41"/>
      <c r="S41" s="41"/>
      <c r="T41" s="42">
        <v>0.4</v>
      </c>
      <c r="U41" s="42">
        <v>0.70763888888888893</v>
      </c>
      <c r="V41" s="39"/>
      <c r="W41" s="39"/>
      <c r="X41" s="13"/>
      <c r="Y41" s="13"/>
      <c r="Z41" s="43">
        <v>0.40277777777777779</v>
      </c>
      <c r="AA41" s="43">
        <v>0.1986111111111111</v>
      </c>
      <c r="AB41" s="43"/>
      <c r="AC41" s="43">
        <v>0.125</v>
      </c>
      <c r="AD41" s="43">
        <v>0.41597222222222224</v>
      </c>
      <c r="AE41" s="43"/>
      <c r="AF41" s="43">
        <v>0.40833333333333333</v>
      </c>
      <c r="AG41" s="43">
        <v>0.19166666666666668</v>
      </c>
      <c r="AH41" s="43"/>
      <c r="AI41" s="43">
        <v>0.21736111111111112</v>
      </c>
      <c r="AJ41" s="10"/>
      <c r="AK41" s="10"/>
      <c r="AL41" s="12"/>
      <c r="AM41" s="12"/>
      <c r="AN41" s="43">
        <v>0.38611111111111113</v>
      </c>
      <c r="AO41" s="43"/>
      <c r="AP41" s="43">
        <v>0.39444444444444443</v>
      </c>
      <c r="AQ41" s="43"/>
      <c r="AR41" s="46"/>
      <c r="AS41" s="47"/>
      <c r="AT41" s="43">
        <v>0.4</v>
      </c>
      <c r="AU41" s="43">
        <v>0.18472222222222223</v>
      </c>
      <c r="AV41" s="43">
        <v>0.49722222222222223</v>
      </c>
      <c r="AW41" s="43">
        <v>0.20416666666666666</v>
      </c>
      <c r="AX41" s="10"/>
      <c r="AY41" s="10"/>
      <c r="AZ41" s="12"/>
      <c r="BA41" s="12"/>
      <c r="BB41" s="43">
        <v>0.40763888888888888</v>
      </c>
      <c r="BC41" s="43"/>
      <c r="BD41" s="43"/>
      <c r="BE41" s="43"/>
      <c r="BF41" s="43"/>
      <c r="BG41" s="43"/>
      <c r="BH41" s="43"/>
      <c r="BI41" s="43"/>
      <c r="BJ41" s="43"/>
      <c r="BK41" s="43"/>
      <c r="BL41" s="10"/>
      <c r="BM41" s="10"/>
      <c r="BN41" t="str">
        <f t="shared" si="0"/>
        <v>R4|ANTONIO MARTINEZ|SMO I</v>
      </c>
    </row>
    <row r="42" spans="1:66" hidden="1">
      <c r="A42" s="8" t="s">
        <v>56</v>
      </c>
      <c r="B42" s="6" t="s">
        <v>63</v>
      </c>
      <c r="C42" s="6" t="s">
        <v>65</v>
      </c>
      <c r="D42" s="13"/>
      <c r="E42" s="13"/>
      <c r="F42" s="41"/>
      <c r="G42" s="41"/>
      <c r="H42" s="39"/>
      <c r="I42" s="39"/>
      <c r="J42" s="13"/>
      <c r="K42" s="13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39"/>
      <c r="W42" s="39"/>
      <c r="X42" s="13"/>
      <c r="Y42" s="13"/>
      <c r="Z42" s="43">
        <v>0.40277777777777779</v>
      </c>
      <c r="AA42" s="43"/>
      <c r="AB42" s="43"/>
      <c r="AC42" s="43">
        <v>0.15902777777777777</v>
      </c>
      <c r="AD42" s="43"/>
      <c r="AE42" s="43">
        <v>0.20416666666666666</v>
      </c>
      <c r="AF42" s="43"/>
      <c r="AG42" s="43"/>
      <c r="AH42" s="43">
        <v>0.38680555555555557</v>
      </c>
      <c r="AI42" s="43"/>
      <c r="AJ42" s="10"/>
      <c r="AK42" s="10"/>
      <c r="AL42" s="12"/>
      <c r="AM42" s="12"/>
      <c r="AN42" s="43"/>
      <c r="AO42" s="43">
        <v>0.2</v>
      </c>
      <c r="AP42" s="43">
        <v>0.40763888888888888</v>
      </c>
      <c r="AQ42" s="43">
        <v>0.23194444444444445</v>
      </c>
      <c r="AR42" s="46"/>
      <c r="AS42" s="47"/>
      <c r="AT42" s="43"/>
      <c r="AU42" s="43"/>
      <c r="AV42" s="43"/>
      <c r="AW42" s="43"/>
      <c r="AX42" s="10"/>
      <c r="AY42" s="10"/>
      <c r="AZ42" s="12"/>
      <c r="BA42" s="12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10"/>
      <c r="BM42" s="10"/>
      <c r="BN42" t="str">
        <f t="shared" si="0"/>
        <v>R4|ANTONIO MARTINEZ|SMO II</v>
      </c>
    </row>
    <row r="43" spans="1:66" hidden="1">
      <c r="A43" s="8" t="s">
        <v>56</v>
      </c>
      <c r="B43" s="6" t="s">
        <v>66</v>
      </c>
      <c r="C43" s="6" t="s">
        <v>67</v>
      </c>
      <c r="D43" s="13"/>
      <c r="E43" s="13"/>
      <c r="F43" s="41"/>
      <c r="G43" s="41"/>
      <c r="H43" s="39"/>
      <c r="I43" s="39"/>
      <c r="J43" s="13"/>
      <c r="K43" s="13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39"/>
      <c r="W43" s="39"/>
      <c r="X43" s="13"/>
      <c r="Y43" s="13"/>
      <c r="Z43" s="43">
        <v>0.35694444444444445</v>
      </c>
      <c r="AA43" s="43">
        <v>0.13958333333333334</v>
      </c>
      <c r="AB43" s="43">
        <v>0.35486111111111113</v>
      </c>
      <c r="AC43" s="43">
        <v>0.13194444444444445</v>
      </c>
      <c r="AD43" s="43">
        <v>0.36805555555555558</v>
      </c>
      <c r="AE43" s="43">
        <v>0.12569444444444444</v>
      </c>
      <c r="AF43" s="43">
        <v>0.39097222222222222</v>
      </c>
      <c r="AG43" s="43">
        <v>0.16875000000000001</v>
      </c>
      <c r="AH43" s="43"/>
      <c r="AI43" s="43"/>
      <c r="AJ43" s="10">
        <v>0.35902777777777778</v>
      </c>
      <c r="AK43" s="10">
        <v>4.5138888888888888E-2</v>
      </c>
      <c r="AL43" s="12"/>
      <c r="AM43" s="12"/>
      <c r="AN43" s="43"/>
      <c r="AO43" s="43"/>
      <c r="AP43" s="43">
        <v>0.36666666666666664</v>
      </c>
      <c r="AQ43" s="43">
        <v>0.1423611111111111</v>
      </c>
      <c r="AR43" s="46">
        <v>0.35902777777777778</v>
      </c>
      <c r="AS43" s="47">
        <v>0.15625</v>
      </c>
      <c r="AT43" s="43">
        <v>0.35486111111111113</v>
      </c>
      <c r="AU43" s="43">
        <v>0.13402777777777777</v>
      </c>
      <c r="AV43" s="43">
        <v>0.35416666666666669</v>
      </c>
      <c r="AW43" s="43">
        <v>0.14583333333333334</v>
      </c>
      <c r="AX43" s="10"/>
      <c r="AY43" s="10"/>
      <c r="AZ43" s="12"/>
      <c r="BA43" s="12"/>
      <c r="BB43" s="43">
        <v>0.36249999999999999</v>
      </c>
      <c r="BC43" s="43"/>
      <c r="BD43" s="43"/>
      <c r="BE43" s="43"/>
      <c r="BF43" s="43"/>
      <c r="BG43" s="43"/>
      <c r="BH43" s="43"/>
      <c r="BI43" s="43"/>
      <c r="BJ43" s="43"/>
      <c r="BK43" s="43"/>
      <c r="BL43" s="10"/>
      <c r="BM43" s="10"/>
      <c r="BN43" t="str">
        <f t="shared" si="0"/>
        <v>R4|GERARDO ALONSO|SMO III</v>
      </c>
    </row>
    <row r="44" spans="1:66" hidden="1">
      <c r="A44" s="8" t="s">
        <v>56</v>
      </c>
      <c r="B44" s="6" t="s">
        <v>68</v>
      </c>
      <c r="C44" s="6" t="s">
        <v>69</v>
      </c>
      <c r="D44" s="13"/>
      <c r="E44" s="13"/>
      <c r="F44" s="41"/>
      <c r="G44" s="41"/>
      <c r="H44" s="39"/>
      <c r="I44" s="39"/>
      <c r="J44" s="13"/>
      <c r="K44" s="13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39"/>
      <c r="W44" s="39"/>
      <c r="X44" s="13"/>
      <c r="Y44" s="13"/>
      <c r="Z44" s="43">
        <v>0.36875000000000002</v>
      </c>
      <c r="AA44" s="43">
        <v>0.12777777777777777</v>
      </c>
      <c r="AB44" s="43">
        <v>0.34583333333333333</v>
      </c>
      <c r="AC44" s="43"/>
      <c r="AD44" s="43">
        <v>0.36736111111111114</v>
      </c>
      <c r="AE44" s="43">
        <v>0.12569444444444444</v>
      </c>
      <c r="AF44" s="43">
        <v>0.35555555555555557</v>
      </c>
      <c r="AG44" s="43"/>
      <c r="AH44" s="43"/>
      <c r="AI44" s="43"/>
      <c r="AJ44" s="10"/>
      <c r="AK44" s="10"/>
      <c r="AL44" s="12"/>
      <c r="AM44" s="12"/>
      <c r="AN44" s="43">
        <v>0.35625000000000001</v>
      </c>
      <c r="AO44" s="43"/>
      <c r="AP44" s="43">
        <v>0.34305555555555556</v>
      </c>
      <c r="AQ44" s="43"/>
      <c r="AR44" s="46">
        <v>0.35069444444444442</v>
      </c>
      <c r="AS44" s="47"/>
      <c r="AT44" s="43">
        <v>0.35</v>
      </c>
      <c r="AU44" s="43"/>
      <c r="AV44" s="43">
        <v>0.34722222222222221</v>
      </c>
      <c r="AW44" s="43"/>
      <c r="AX44" s="10">
        <v>0.3576388888888889</v>
      </c>
      <c r="AY44" s="10"/>
      <c r="AZ44" s="12"/>
      <c r="BA44" s="12"/>
      <c r="BB44" s="43">
        <v>0.35555555555555557</v>
      </c>
      <c r="BC44" s="43"/>
      <c r="BD44" s="43"/>
      <c r="BE44" s="43"/>
      <c r="BF44" s="43"/>
      <c r="BG44" s="43"/>
      <c r="BH44" s="43"/>
      <c r="BI44" s="43"/>
      <c r="BJ44" s="43"/>
      <c r="BK44" s="43"/>
      <c r="BL44" s="10"/>
      <c r="BM44" s="10"/>
      <c r="BN44" t="str">
        <f t="shared" si="0"/>
        <v>R4|JULIO CESAR NERI|TLANE PARK IV/ BARRIENTOS II</v>
      </c>
    </row>
    <row r="45" spans="1:66" hidden="1">
      <c r="A45" s="8" t="s">
        <v>56</v>
      </c>
      <c r="B45" s="6" t="s">
        <v>70</v>
      </c>
      <c r="C45" s="6" t="s">
        <v>71</v>
      </c>
      <c r="D45" s="13"/>
      <c r="E45" s="13"/>
      <c r="F45" s="41"/>
      <c r="G45" s="41"/>
      <c r="H45" s="39"/>
      <c r="I45" s="39"/>
      <c r="J45" s="13"/>
      <c r="K45" s="13"/>
      <c r="L45" s="42">
        <v>0.34166666666666667</v>
      </c>
      <c r="M45" s="42">
        <v>0.63055555555555554</v>
      </c>
      <c r="N45" s="42">
        <v>0.34444444444444439</v>
      </c>
      <c r="O45" s="42">
        <v>0.66388888888888886</v>
      </c>
      <c r="P45" s="42">
        <v>0.34097222222222218</v>
      </c>
      <c r="Q45" s="42">
        <v>0.62986111111111109</v>
      </c>
      <c r="R45" s="42">
        <v>0.34722222222222221</v>
      </c>
      <c r="S45" s="41"/>
      <c r="T45" s="42">
        <v>0.34236111111111112</v>
      </c>
      <c r="U45" s="42">
        <v>0.68611111111111112</v>
      </c>
      <c r="V45" s="40">
        <v>0.35625000000000001</v>
      </c>
      <c r="W45" s="39"/>
      <c r="X45" s="13"/>
      <c r="Y45" s="13"/>
      <c r="Z45" s="43">
        <v>0.3527777777777778</v>
      </c>
      <c r="AA45" s="43">
        <v>0.13263888888888889</v>
      </c>
      <c r="AB45" s="43">
        <v>0.35208333333333336</v>
      </c>
      <c r="AC45" s="43">
        <v>0.13194444444444445</v>
      </c>
      <c r="AD45" s="43">
        <v>0.36249999999999999</v>
      </c>
      <c r="AE45" s="43">
        <v>0.14652777777777778</v>
      </c>
      <c r="AF45" s="43">
        <v>0.35694444444444445</v>
      </c>
      <c r="AG45" s="43">
        <v>0.14097222222222222</v>
      </c>
      <c r="AH45" s="43">
        <v>0.35972222222222222</v>
      </c>
      <c r="AI45" s="43">
        <v>0.14097222222222222</v>
      </c>
      <c r="AJ45" s="10"/>
      <c r="AK45" s="10"/>
      <c r="AL45" s="12"/>
      <c r="AM45" s="12"/>
      <c r="AN45" s="43">
        <v>0.36041666666666666</v>
      </c>
      <c r="AO45" s="43">
        <v>0.15625</v>
      </c>
      <c r="AP45" s="43">
        <v>0.35625000000000001</v>
      </c>
      <c r="AQ45" s="43">
        <v>0.12638888888888888</v>
      </c>
      <c r="AR45" s="46">
        <v>0.36527777777777776</v>
      </c>
      <c r="AS45" s="47">
        <v>0.13194444444444445</v>
      </c>
      <c r="AT45" s="43">
        <v>0.37083333333333335</v>
      </c>
      <c r="AU45" s="43">
        <v>0.13333333333333333</v>
      </c>
      <c r="AV45" s="43">
        <v>0.35208333333333336</v>
      </c>
      <c r="AW45" s="43">
        <v>0.13819444444444445</v>
      </c>
      <c r="AX45" s="10">
        <v>0.3611111111111111</v>
      </c>
      <c r="AY45" s="10"/>
      <c r="AZ45" s="12"/>
      <c r="BA45" s="12"/>
      <c r="BB45" s="43">
        <v>0.35694444444444445</v>
      </c>
      <c r="BC45" s="43"/>
      <c r="BD45" s="43"/>
      <c r="BE45" s="43"/>
      <c r="BF45" s="43"/>
      <c r="BG45" s="43"/>
      <c r="BH45" s="43"/>
      <c r="BI45" s="43"/>
      <c r="BJ45" s="43"/>
      <c r="BK45" s="43"/>
      <c r="BL45" s="10"/>
      <c r="BM45" s="10"/>
      <c r="BN45" t="str">
        <f t="shared" si="0"/>
        <v>R4|JOSUE GUADARRAMA|ATIZAPAN PARK</v>
      </c>
    </row>
    <row r="46" spans="1:66" hidden="1">
      <c r="A46" s="8" t="s">
        <v>72</v>
      </c>
      <c r="B46" s="6" t="s">
        <v>73</v>
      </c>
      <c r="C46" s="6" t="s">
        <v>74</v>
      </c>
      <c r="D46" s="13"/>
      <c r="E46" s="13"/>
      <c r="F46" s="41"/>
      <c r="G46" s="41"/>
      <c r="H46" s="39"/>
      <c r="I46" s="39"/>
      <c r="J46" s="13"/>
      <c r="K46" s="13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39"/>
      <c r="W46" s="39"/>
      <c r="X46" s="13"/>
      <c r="Y46" s="13"/>
      <c r="Z46" s="43">
        <v>0.42430555555555555</v>
      </c>
      <c r="AA46" s="43">
        <v>0.15277777777777779</v>
      </c>
      <c r="AB46" s="43">
        <v>0.41666666666666669</v>
      </c>
      <c r="AC46" s="43">
        <v>0.11874999999999999</v>
      </c>
      <c r="AD46" s="43">
        <v>0.43680555555555556</v>
      </c>
      <c r="AE46" s="43">
        <v>0.20208333333333334</v>
      </c>
      <c r="AF46" s="43">
        <v>0.37638888888888888</v>
      </c>
      <c r="AG46" s="43">
        <v>0.10625</v>
      </c>
      <c r="AH46" s="43"/>
      <c r="AI46" s="43">
        <v>0.13958333333333334</v>
      </c>
      <c r="AJ46" s="10"/>
      <c r="AK46" s="10"/>
      <c r="AL46" s="12"/>
      <c r="AM46" s="12"/>
      <c r="AN46" s="43">
        <v>0.43819444444444444</v>
      </c>
      <c r="AO46" s="43">
        <v>0.14930555555555555</v>
      </c>
      <c r="AP46" s="43">
        <v>0.4513888888888889</v>
      </c>
      <c r="AQ46" s="43">
        <v>0.11180555555555556</v>
      </c>
      <c r="AR46" s="46"/>
      <c r="AS46" s="47">
        <v>0.2048611111111111</v>
      </c>
      <c r="AT46" s="43">
        <v>0.40138888888888891</v>
      </c>
      <c r="AU46" s="43">
        <v>0.1388888888888889</v>
      </c>
      <c r="AV46" s="43">
        <v>0.47152777777777777</v>
      </c>
      <c r="AW46" s="43">
        <v>0.16041666666666668</v>
      </c>
      <c r="AX46" s="10">
        <v>0.41041666666666665</v>
      </c>
      <c r="AY46" s="10"/>
      <c r="AZ46" s="12"/>
      <c r="BA46" s="12"/>
      <c r="BB46" s="43">
        <v>0.41458333333333336</v>
      </c>
      <c r="BC46" s="43"/>
      <c r="BD46" s="43"/>
      <c r="BE46" s="43"/>
      <c r="BF46" s="43"/>
      <c r="BG46" s="43"/>
      <c r="BH46" s="43"/>
      <c r="BI46" s="43"/>
      <c r="BJ46" s="43"/>
      <c r="BK46" s="43"/>
      <c r="BL46" s="10"/>
      <c r="BM46" s="10"/>
      <c r="BN46" t="str">
        <f t="shared" si="0"/>
        <v>R5|JUAN C. HERNANDEZ|TEPOZOTLAN PARK</v>
      </c>
    </row>
    <row r="47" spans="1:66" hidden="1">
      <c r="A47" s="8" t="s">
        <v>72</v>
      </c>
      <c r="B47" s="6" t="s">
        <v>73</v>
      </c>
      <c r="C47" s="6" t="s">
        <v>75</v>
      </c>
      <c r="D47" s="13"/>
      <c r="E47" s="13"/>
      <c r="F47" s="41"/>
      <c r="G47" s="41"/>
      <c r="H47" s="39"/>
      <c r="I47" s="39"/>
      <c r="J47" s="13"/>
      <c r="K47" s="13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39"/>
      <c r="W47" s="39"/>
      <c r="X47" s="13"/>
      <c r="Y47" s="1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10"/>
      <c r="AK47" s="10"/>
      <c r="AL47" s="12"/>
      <c r="AM47" s="12"/>
      <c r="AN47" s="43"/>
      <c r="AO47" s="43"/>
      <c r="AP47" s="43"/>
      <c r="AQ47" s="43"/>
      <c r="AR47" s="46"/>
      <c r="AS47" s="47"/>
      <c r="AT47" s="43"/>
      <c r="AU47" s="43"/>
      <c r="AV47" s="43"/>
      <c r="AW47" s="43"/>
      <c r="AX47" s="10"/>
      <c r="AY47" s="10"/>
      <c r="AZ47" s="12"/>
      <c r="BA47" s="12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10"/>
      <c r="BM47" s="10"/>
      <c r="BN47" t="str">
        <f t="shared" si="0"/>
        <v>R5|JUAN C. HERNANDEZ|TEPOZOTLAN (CONVENTO).</v>
      </c>
    </row>
    <row r="48" spans="1:66" hidden="1">
      <c r="A48" s="8" t="s">
        <v>72</v>
      </c>
      <c r="B48" s="6" t="s">
        <v>76</v>
      </c>
      <c r="C48" s="6" t="s">
        <v>77</v>
      </c>
      <c r="D48" s="13"/>
      <c r="E48" s="13"/>
      <c r="F48" s="42">
        <v>0.35625000000000001</v>
      </c>
      <c r="G48" s="42">
        <v>0.67569444444444449</v>
      </c>
      <c r="H48" s="40">
        <v>0.35555555555555562</v>
      </c>
      <c r="I48" s="40">
        <v>0.5444444444444444</v>
      </c>
      <c r="J48" s="13"/>
      <c r="K48" s="13"/>
      <c r="L48" s="42">
        <v>0.3527777777777778</v>
      </c>
      <c r="M48" s="42">
        <v>0.66874999999999996</v>
      </c>
      <c r="N48" s="42">
        <v>0.3527777777777778</v>
      </c>
      <c r="O48" s="42">
        <v>0.67222222222222228</v>
      </c>
      <c r="P48" s="42">
        <v>0.36736111111111108</v>
      </c>
      <c r="Q48" s="42">
        <v>0.66805555555555551</v>
      </c>
      <c r="R48" s="42">
        <v>0.33958333333333329</v>
      </c>
      <c r="S48" s="42">
        <v>0.66527777777777775</v>
      </c>
      <c r="T48" s="42">
        <v>0.36041666666666672</v>
      </c>
      <c r="U48" s="42">
        <v>0.6694444444444444</v>
      </c>
      <c r="V48" s="39"/>
      <c r="W48" s="39"/>
      <c r="X48" s="13"/>
      <c r="Y48" s="13"/>
      <c r="Z48" s="43">
        <v>0.35416666666666669</v>
      </c>
      <c r="AA48" s="43">
        <v>0.21388888888888888</v>
      </c>
      <c r="AB48" s="43">
        <v>0.35625000000000001</v>
      </c>
      <c r="AC48" s="43">
        <v>0.2048611111111111</v>
      </c>
      <c r="AD48" s="43">
        <v>0.35972222222222222</v>
      </c>
      <c r="AE48" s="43">
        <v>0.1701388888888889</v>
      </c>
      <c r="AF48" s="43">
        <v>0.36249999999999999</v>
      </c>
      <c r="AG48" s="43">
        <v>0.17777777777777778</v>
      </c>
      <c r="AH48" s="43">
        <v>0.34513888888888888</v>
      </c>
      <c r="AI48" s="43">
        <v>0.15</v>
      </c>
      <c r="AJ48" s="10">
        <v>0.35486111111111113</v>
      </c>
      <c r="AK48" s="10"/>
      <c r="AL48" s="12"/>
      <c r="AM48" s="12"/>
      <c r="AN48" s="43">
        <v>0.35138888888888886</v>
      </c>
      <c r="AO48" s="43">
        <v>0.17291666666666666</v>
      </c>
      <c r="AP48" s="43">
        <v>0.37083333333333335</v>
      </c>
      <c r="AQ48" s="43">
        <v>6.9444444444444448E-2</v>
      </c>
      <c r="AR48" s="46">
        <v>0.40416666666666667</v>
      </c>
      <c r="AS48" s="47">
        <v>0.21041666666666667</v>
      </c>
      <c r="AT48" s="43">
        <v>0.35625000000000001</v>
      </c>
      <c r="AU48" s="43">
        <v>0.1701388888888889</v>
      </c>
      <c r="AV48" s="43">
        <v>0.38750000000000001</v>
      </c>
      <c r="AW48" s="43">
        <v>0.1763888888888889</v>
      </c>
      <c r="AX48" s="10"/>
      <c r="AY48" s="10"/>
      <c r="AZ48" s="12"/>
      <c r="BA48" s="12"/>
      <c r="BB48" s="43">
        <v>0.35208333333333336</v>
      </c>
      <c r="BC48" s="43"/>
      <c r="BD48" s="43"/>
      <c r="BE48" s="43"/>
      <c r="BF48" s="43"/>
      <c r="BG48" s="43"/>
      <c r="BH48" s="43"/>
      <c r="BI48" s="43"/>
      <c r="BJ48" s="43"/>
      <c r="BK48" s="43"/>
      <c r="BL48" s="10"/>
      <c r="BM48" s="10"/>
      <c r="BN48" t="str">
        <f t="shared" si="0"/>
        <v>R5|DIEGO GARCIA|CUAUTI PARK II</v>
      </c>
    </row>
    <row r="49" spans="1:66" hidden="1">
      <c r="A49" s="8" t="s">
        <v>72</v>
      </c>
      <c r="B49" s="6" t="s">
        <v>76</v>
      </c>
      <c r="C49" s="6" t="s">
        <v>78</v>
      </c>
      <c r="D49" s="13"/>
      <c r="E49" s="13"/>
      <c r="F49" s="41"/>
      <c r="G49" s="41"/>
      <c r="H49" s="39"/>
      <c r="I49" s="39"/>
      <c r="J49" s="13"/>
      <c r="K49" s="13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39"/>
      <c r="W49" s="39"/>
      <c r="X49" s="13"/>
      <c r="Y49" s="1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10"/>
      <c r="AK49" s="10"/>
      <c r="AL49" s="12"/>
      <c r="AM49" s="12"/>
      <c r="AN49" s="43"/>
      <c r="AO49" s="43"/>
      <c r="AP49" s="43"/>
      <c r="AQ49" s="43"/>
      <c r="AR49" s="46"/>
      <c r="AS49" s="47"/>
      <c r="AT49" s="43"/>
      <c r="AU49" s="43"/>
      <c r="AV49" s="43"/>
      <c r="AW49" s="43"/>
      <c r="AX49" s="10"/>
      <c r="AY49" s="10"/>
      <c r="AZ49" s="12"/>
      <c r="BA49" s="12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10"/>
      <c r="BM49" s="10"/>
      <c r="BN49" t="str">
        <f t="shared" si="0"/>
        <v>R5|DIEGO GARCIA|CUAUTI PARK III</v>
      </c>
    </row>
    <row r="50" spans="1:66" hidden="1">
      <c r="A50" s="8" t="s">
        <v>72</v>
      </c>
      <c r="B50" s="6" t="s">
        <v>76</v>
      </c>
      <c r="C50" s="6" t="s">
        <v>79</v>
      </c>
      <c r="D50" s="13"/>
      <c r="E50" s="13"/>
      <c r="F50" s="41"/>
      <c r="G50" s="41"/>
      <c r="H50" s="39"/>
      <c r="I50" s="39"/>
      <c r="J50" s="13"/>
      <c r="K50" s="13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39"/>
      <c r="W50" s="39"/>
      <c r="X50" s="13"/>
      <c r="Y50" s="1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10"/>
      <c r="AK50" s="10"/>
      <c r="AL50" s="12"/>
      <c r="AM50" s="12"/>
      <c r="AN50" s="43"/>
      <c r="AO50" s="43"/>
      <c r="AP50" s="43"/>
      <c r="AQ50" s="43"/>
      <c r="AR50" s="46"/>
      <c r="AS50" s="47"/>
      <c r="AT50" s="43"/>
      <c r="AU50" s="43"/>
      <c r="AV50" s="43"/>
      <c r="AW50" s="43"/>
      <c r="AX50" s="10"/>
      <c r="AY50" s="10"/>
      <c r="AZ50" s="12"/>
      <c r="BA50" s="12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10"/>
      <c r="BM50" s="10"/>
      <c r="BN50" t="str">
        <f t="shared" si="0"/>
        <v>R5|DIEGO GARCIA|PUENTE GRANDE I</v>
      </c>
    </row>
    <row r="51" spans="1:66" hidden="1">
      <c r="A51" s="8" t="s">
        <v>72</v>
      </c>
      <c r="B51" s="6" t="s">
        <v>76</v>
      </c>
      <c r="C51" s="6" t="s">
        <v>80</v>
      </c>
      <c r="D51" s="13"/>
      <c r="E51" s="13"/>
      <c r="F51" s="41"/>
      <c r="G51" s="41"/>
      <c r="H51" s="39"/>
      <c r="I51" s="39"/>
      <c r="J51" s="13"/>
      <c r="K51" s="13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39"/>
      <c r="W51" s="39"/>
      <c r="X51" s="13"/>
      <c r="Y51" s="1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10"/>
      <c r="AK51" s="10"/>
      <c r="AL51" s="12"/>
      <c r="AM51" s="12"/>
      <c r="AN51" s="43"/>
      <c r="AO51" s="43"/>
      <c r="AP51" s="43"/>
      <c r="AQ51" s="43"/>
      <c r="AR51" s="46"/>
      <c r="AS51" s="47"/>
      <c r="AT51" s="43"/>
      <c r="AU51" s="43"/>
      <c r="AV51" s="43"/>
      <c r="AW51" s="43"/>
      <c r="AX51" s="10"/>
      <c r="AY51" s="10"/>
      <c r="AZ51" s="12"/>
      <c r="BA51" s="12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10"/>
      <c r="BM51" s="10"/>
      <c r="BN51" t="str">
        <f t="shared" si="0"/>
        <v>R5|DIEGO GARCIA|PUENTE GRANDE II</v>
      </c>
    </row>
    <row r="52" spans="1:66" hidden="1">
      <c r="A52" s="8" t="s">
        <v>72</v>
      </c>
      <c r="B52" s="6" t="s">
        <v>76</v>
      </c>
      <c r="C52" s="6" t="s">
        <v>81</v>
      </c>
      <c r="D52" s="13"/>
      <c r="E52" s="13"/>
      <c r="F52" s="41"/>
      <c r="G52" s="41"/>
      <c r="H52" s="39"/>
      <c r="I52" s="39"/>
      <c r="J52" s="13"/>
      <c r="K52" s="13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39"/>
      <c r="W52" s="39"/>
      <c r="X52" s="13"/>
      <c r="Y52" s="1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10"/>
      <c r="AK52" s="10"/>
      <c r="AL52" s="12"/>
      <c r="AM52" s="12"/>
      <c r="AN52" s="43"/>
      <c r="AO52" s="43"/>
      <c r="AP52" s="43"/>
      <c r="AQ52" s="43"/>
      <c r="AR52" s="46"/>
      <c r="AS52" s="47"/>
      <c r="AT52" s="43"/>
      <c r="AU52" s="43"/>
      <c r="AV52" s="43"/>
      <c r="AW52" s="43"/>
      <c r="AX52" s="10"/>
      <c r="AY52" s="10"/>
      <c r="AZ52" s="12"/>
      <c r="BA52" s="12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10"/>
      <c r="BM52" s="10"/>
      <c r="BN52" t="str">
        <f t="shared" si="0"/>
        <v>R5|DIEGO GARCIA|TAJUELOS II</v>
      </c>
    </row>
    <row r="53" spans="1:66" hidden="1">
      <c r="A53" s="8" t="s">
        <v>72</v>
      </c>
      <c r="B53" s="6" t="s">
        <v>82</v>
      </c>
      <c r="C53" s="6" t="s">
        <v>83</v>
      </c>
      <c r="D53" s="13"/>
      <c r="E53" s="13"/>
      <c r="F53" s="41"/>
      <c r="G53" s="41"/>
      <c r="H53" s="39"/>
      <c r="I53" s="39"/>
      <c r="J53" s="13"/>
      <c r="K53" s="13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39"/>
      <c r="W53" s="39"/>
      <c r="X53" s="13"/>
      <c r="Y53" s="13"/>
      <c r="Z53" s="43">
        <v>0.39583333333333331</v>
      </c>
      <c r="AA53" s="43">
        <v>0.14722222222222223</v>
      </c>
      <c r="AB53" s="43"/>
      <c r="AC53" s="43"/>
      <c r="AD53" s="43"/>
      <c r="AE53" s="43"/>
      <c r="AF53" s="43"/>
      <c r="AG53" s="43">
        <v>0.24930555555555556</v>
      </c>
      <c r="AH53" s="43">
        <v>0.39930555555555558</v>
      </c>
      <c r="AI53" s="43"/>
      <c r="AJ53" s="10"/>
      <c r="AK53" s="10"/>
      <c r="AL53" s="12"/>
      <c r="AM53" s="12"/>
      <c r="AN53" s="43"/>
      <c r="AO53" s="43"/>
      <c r="AP53" s="43"/>
      <c r="AQ53" s="43"/>
      <c r="AR53" s="46"/>
      <c r="AS53" s="47"/>
      <c r="AT53" s="43"/>
      <c r="AU53" s="43"/>
      <c r="AV53" s="43"/>
      <c r="AW53" s="43"/>
      <c r="AX53" s="10"/>
      <c r="AY53" s="10"/>
      <c r="AZ53" s="12"/>
      <c r="BA53" s="12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10"/>
      <c r="BM53" s="10"/>
      <c r="BN53" t="str">
        <f t="shared" si="0"/>
        <v>R5|GUSTAVO R. VARGAS|SAN JOSE</v>
      </c>
    </row>
    <row r="54" spans="1:66" hidden="1">
      <c r="A54" s="8" t="s">
        <v>72</v>
      </c>
      <c r="B54" s="6" t="s">
        <v>82</v>
      </c>
      <c r="C54" s="6" t="s">
        <v>84</v>
      </c>
      <c r="D54" s="13"/>
      <c r="E54" s="13"/>
      <c r="F54" s="41"/>
      <c r="G54" s="41"/>
      <c r="H54" s="39"/>
      <c r="I54" s="39"/>
      <c r="J54" s="13"/>
      <c r="K54" s="13"/>
      <c r="L54" s="42">
        <v>0.37013888888888891</v>
      </c>
      <c r="M54" s="42">
        <v>0.72152777777777777</v>
      </c>
      <c r="N54" s="42">
        <v>0.40694444444444439</v>
      </c>
      <c r="O54" s="42">
        <v>0.70208333333333328</v>
      </c>
      <c r="P54" s="42">
        <v>0.39791666666666659</v>
      </c>
      <c r="Q54" s="42">
        <v>0.65416666666666667</v>
      </c>
      <c r="R54" s="42">
        <v>0.39791666666666659</v>
      </c>
      <c r="S54" s="42">
        <v>0.65625</v>
      </c>
      <c r="T54" s="42">
        <v>0.39791666666666659</v>
      </c>
      <c r="U54" s="42">
        <v>0.65069444444444446</v>
      </c>
      <c r="V54" s="40">
        <v>0.39305555555555549</v>
      </c>
      <c r="W54" s="39"/>
      <c r="X54" s="13"/>
      <c r="Y54" s="13"/>
      <c r="Z54" s="43"/>
      <c r="AA54" s="43"/>
      <c r="AB54" s="43">
        <v>0.39444444444444443</v>
      </c>
      <c r="AC54" s="43"/>
      <c r="AD54" s="43">
        <v>0.41597222222222224</v>
      </c>
      <c r="AE54" s="43">
        <v>0.22708333333333333</v>
      </c>
      <c r="AF54" s="43"/>
      <c r="AG54" s="43"/>
      <c r="AH54" s="43"/>
      <c r="AI54" s="43"/>
      <c r="AJ54" s="10">
        <v>0.39374999999999999</v>
      </c>
      <c r="AK54" s="10"/>
      <c r="AL54" s="12"/>
      <c r="AM54" s="12"/>
      <c r="AN54" s="43">
        <v>0.38750000000000001</v>
      </c>
      <c r="AO54" s="43"/>
      <c r="AP54" s="43">
        <v>0.39027777777777778</v>
      </c>
      <c r="AQ54" s="43">
        <v>0.24097222222222223</v>
      </c>
      <c r="AR54" s="46"/>
      <c r="AS54" s="47"/>
      <c r="AT54" s="43">
        <v>0.41249999999999998</v>
      </c>
      <c r="AU54" s="43"/>
      <c r="AV54" s="43"/>
      <c r="AW54" s="43">
        <v>0.16111111111111112</v>
      </c>
      <c r="AX54" s="10">
        <v>0.39027777777777778</v>
      </c>
      <c r="AY54" s="10"/>
      <c r="AZ54" s="12"/>
      <c r="BA54" s="12"/>
      <c r="BB54" s="43">
        <v>0.37916666666666665</v>
      </c>
      <c r="BC54" s="43"/>
      <c r="BD54" s="43"/>
      <c r="BE54" s="43"/>
      <c r="BF54" s="43"/>
      <c r="BG54" s="43"/>
      <c r="BH54" s="43"/>
      <c r="BI54" s="43"/>
      <c r="BJ54" s="43"/>
      <c r="BK54" s="43"/>
      <c r="BL54" s="10"/>
      <c r="BM54" s="10"/>
      <c r="BN54" t="str">
        <f t="shared" si="0"/>
        <v>R5|GUSTAVO R. VARGAS|TEPOZ PARK II</v>
      </c>
    </row>
    <row r="55" spans="1:66" hidden="1">
      <c r="A55" s="8" t="s">
        <v>72</v>
      </c>
      <c r="B55" s="6" t="s">
        <v>85</v>
      </c>
      <c r="C55" s="6" t="s">
        <v>86</v>
      </c>
      <c r="D55" s="13"/>
      <c r="E55" s="13"/>
      <c r="F55" s="42">
        <v>0.40625</v>
      </c>
      <c r="G55" s="42">
        <v>0.65138888888888891</v>
      </c>
      <c r="H55" s="40">
        <v>0.40694444444444439</v>
      </c>
      <c r="I55" s="39"/>
      <c r="J55" s="13"/>
      <c r="K55" s="13"/>
      <c r="L55" s="42">
        <v>0.41111111111111109</v>
      </c>
      <c r="M55" s="42">
        <v>0.66041666666666665</v>
      </c>
      <c r="N55" s="42">
        <v>0.41666666666666669</v>
      </c>
      <c r="O55" s="42">
        <v>0.70833333333333337</v>
      </c>
      <c r="P55" s="42">
        <v>0.39513888888888887</v>
      </c>
      <c r="Q55" s="42">
        <v>0.69166666666666665</v>
      </c>
      <c r="R55" s="42">
        <v>0.40625</v>
      </c>
      <c r="S55" s="42">
        <v>0.70347222222222228</v>
      </c>
      <c r="T55" s="42">
        <v>0.42499999999999999</v>
      </c>
      <c r="U55" s="42">
        <v>0.64930555555555558</v>
      </c>
      <c r="V55" s="39"/>
      <c r="W55" s="39"/>
      <c r="X55" s="13"/>
      <c r="Y55" s="13"/>
      <c r="Z55" s="43"/>
      <c r="AA55" s="43"/>
      <c r="AB55" s="43"/>
      <c r="AC55" s="43"/>
      <c r="AD55" s="43">
        <v>0.38611111111111113</v>
      </c>
      <c r="AE55" s="43"/>
      <c r="AF55" s="43"/>
      <c r="AG55" s="43">
        <v>0.17847222222222223</v>
      </c>
      <c r="AH55" s="43"/>
      <c r="AI55" s="43"/>
      <c r="AJ55" s="10">
        <v>0.38194444444444442</v>
      </c>
      <c r="AK55" s="10"/>
      <c r="AL55" s="12"/>
      <c r="AM55" s="12"/>
      <c r="AN55" s="43">
        <v>0.38333333333333336</v>
      </c>
      <c r="AO55" s="43"/>
      <c r="AP55" s="43"/>
      <c r="AQ55" s="43">
        <v>0.14027777777777778</v>
      </c>
      <c r="AR55" s="46"/>
      <c r="AS55" s="47"/>
      <c r="AT55" s="43"/>
      <c r="AU55" s="43">
        <v>0.17083333333333334</v>
      </c>
      <c r="AV55" s="43">
        <v>0.39027777777777778</v>
      </c>
      <c r="AW55" s="43"/>
      <c r="AX55" s="10"/>
      <c r="AY55" s="10"/>
      <c r="AZ55" s="12"/>
      <c r="BA55" s="12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10"/>
      <c r="BM55" s="10"/>
      <c r="BN55" t="str">
        <f t="shared" si="0"/>
        <v>R5|ALLAN A. GONZALEZ|TEPOZ PARK III</v>
      </c>
    </row>
    <row r="56" spans="1:66" hidden="1">
      <c r="A56" s="8" t="s">
        <v>72</v>
      </c>
      <c r="B56" s="6" t="s">
        <v>85</v>
      </c>
      <c r="C56" s="6" t="s">
        <v>87</v>
      </c>
      <c r="D56" s="13"/>
      <c r="E56" s="13"/>
      <c r="F56" s="41"/>
      <c r="G56" s="41"/>
      <c r="H56" s="39"/>
      <c r="I56" s="39"/>
      <c r="J56" s="13"/>
      <c r="K56" s="13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39"/>
      <c r="W56" s="39"/>
      <c r="X56" s="13"/>
      <c r="Y56" s="13"/>
      <c r="Z56" s="43">
        <v>0.43819444444444444</v>
      </c>
      <c r="AA56" s="43"/>
      <c r="AB56" s="43"/>
      <c r="AC56" s="43"/>
      <c r="AD56" s="43"/>
      <c r="AE56" s="43">
        <v>0.16805555555555557</v>
      </c>
      <c r="AF56" s="43">
        <v>0.39652777777777776</v>
      </c>
      <c r="AG56" s="43"/>
      <c r="AH56" s="43"/>
      <c r="AI56" s="43"/>
      <c r="AJ56" s="10">
        <v>0.50416666666666665</v>
      </c>
      <c r="AK56" s="10"/>
      <c r="AL56" s="12"/>
      <c r="AM56" s="12"/>
      <c r="AN56" s="43"/>
      <c r="AO56" s="43"/>
      <c r="AP56" s="43">
        <v>0.40277777777777779</v>
      </c>
      <c r="AQ56" s="43"/>
      <c r="AR56" s="46"/>
      <c r="AS56" s="47"/>
      <c r="AT56" s="43">
        <v>0.39513888888888887</v>
      </c>
      <c r="AU56" s="43"/>
      <c r="AV56" s="43"/>
      <c r="AW56" s="43"/>
      <c r="AX56" s="10"/>
      <c r="AY56" s="10"/>
      <c r="AZ56" s="12"/>
      <c r="BA56" s="12"/>
      <c r="BB56" s="43">
        <v>0.41319444444444442</v>
      </c>
      <c r="BC56" s="43"/>
      <c r="BD56" s="43"/>
      <c r="BE56" s="43"/>
      <c r="BF56" s="43"/>
      <c r="BG56" s="43"/>
      <c r="BH56" s="43"/>
      <c r="BI56" s="43"/>
      <c r="BJ56" s="43"/>
      <c r="BK56" s="43"/>
      <c r="BL56" s="10"/>
      <c r="BM56" s="10"/>
      <c r="BN56" t="str">
        <f t="shared" si="0"/>
        <v>R5|ALLAN A. GONZALEZ|TEPOZ PARK IV</v>
      </c>
    </row>
    <row r="57" spans="1:66" hidden="1">
      <c r="A57" s="8" t="s">
        <v>72</v>
      </c>
      <c r="B57" s="6" t="s">
        <v>85</v>
      </c>
      <c r="C57" s="6" t="s">
        <v>88</v>
      </c>
      <c r="D57" s="13"/>
      <c r="E57" s="13"/>
      <c r="F57" s="41"/>
      <c r="G57" s="41"/>
      <c r="H57" s="39"/>
      <c r="I57" s="39"/>
      <c r="J57" s="13"/>
      <c r="K57" s="13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39"/>
      <c r="W57" s="39"/>
      <c r="X57" s="13"/>
      <c r="Y57" s="13"/>
      <c r="Z57" s="43"/>
      <c r="AA57" s="43"/>
      <c r="AB57" s="43">
        <v>0.3840277777777778</v>
      </c>
      <c r="AC57" s="43"/>
      <c r="AD57" s="43"/>
      <c r="AE57" s="43"/>
      <c r="AF57" s="43"/>
      <c r="AG57" s="43"/>
      <c r="AH57" s="43"/>
      <c r="AI57" s="43"/>
      <c r="AJ57" s="10"/>
      <c r="AK57" s="10"/>
      <c r="AL57" s="12"/>
      <c r="AM57" s="12"/>
      <c r="AN57" s="43"/>
      <c r="AO57" s="43">
        <v>0.14652777777777778</v>
      </c>
      <c r="AP57" s="43"/>
      <c r="AQ57" s="43"/>
      <c r="AR57" s="46"/>
      <c r="AS57" s="47"/>
      <c r="AT57" s="43"/>
      <c r="AU57" s="43"/>
      <c r="AV57" s="43"/>
      <c r="AW57" s="43"/>
      <c r="AX57" s="10"/>
      <c r="AY57" s="10"/>
      <c r="AZ57" s="12"/>
      <c r="BA57" s="12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10"/>
      <c r="BM57" s="10"/>
      <c r="BN57" t="str">
        <f t="shared" si="0"/>
        <v>R5|ALLAN A. GONZALEZ|TEPOZ PARK V</v>
      </c>
    </row>
    <row r="58" spans="1:66" hidden="1">
      <c r="A58" s="8" t="s">
        <v>72</v>
      </c>
      <c r="B58" s="6" t="s">
        <v>89</v>
      </c>
      <c r="C58" s="6" t="s">
        <v>90</v>
      </c>
      <c r="D58" s="13"/>
      <c r="E58" s="13"/>
      <c r="F58" s="42">
        <v>0.3576388888888889</v>
      </c>
      <c r="G58" s="42">
        <v>0.65625</v>
      </c>
      <c r="H58" s="40">
        <v>0.40208333333333329</v>
      </c>
      <c r="I58" s="39"/>
      <c r="J58" s="13"/>
      <c r="K58" s="13"/>
      <c r="L58" s="42">
        <v>0.38472222222222219</v>
      </c>
      <c r="M58" s="42">
        <v>0.6645833333333333</v>
      </c>
      <c r="N58" s="42">
        <v>0.38750000000000001</v>
      </c>
      <c r="O58" s="42">
        <v>0.66319444444444442</v>
      </c>
      <c r="P58" s="41"/>
      <c r="Q58" s="41"/>
      <c r="R58" s="41"/>
      <c r="S58" s="41"/>
      <c r="T58" s="41"/>
      <c r="U58" s="41"/>
      <c r="V58" s="39"/>
      <c r="W58" s="39"/>
      <c r="X58" s="13"/>
      <c r="Y58" s="13"/>
      <c r="Z58" s="43"/>
      <c r="AA58" s="43">
        <v>0.20624999999999999</v>
      </c>
      <c r="AB58" s="43">
        <v>0.40069444444444446</v>
      </c>
      <c r="AC58" s="43">
        <v>0.2388888888888889</v>
      </c>
      <c r="AD58" s="43">
        <v>0.39583333333333331</v>
      </c>
      <c r="AE58" s="43"/>
      <c r="AF58" s="43">
        <v>0.4465277777777778</v>
      </c>
      <c r="AG58" s="43">
        <v>0.19583333333333333</v>
      </c>
      <c r="AH58" s="43"/>
      <c r="AI58" s="43"/>
      <c r="AJ58" s="10"/>
      <c r="AK58" s="10"/>
      <c r="AL58" s="12"/>
      <c r="AM58" s="12"/>
      <c r="AN58" s="43">
        <v>0.40347222222222223</v>
      </c>
      <c r="AO58" s="43">
        <v>0.18333333333333332</v>
      </c>
      <c r="AP58" s="43">
        <v>0.3888888888888889</v>
      </c>
      <c r="AQ58" s="43">
        <v>0.16666666666666666</v>
      </c>
      <c r="AR58" s="46">
        <v>0.39513888888888887</v>
      </c>
      <c r="AS58" s="47">
        <v>0.1763888888888889</v>
      </c>
      <c r="AT58" s="43">
        <v>0.38750000000000001</v>
      </c>
      <c r="AU58" s="43">
        <v>0.19027777777777777</v>
      </c>
      <c r="AV58" s="43">
        <v>0.3923611111111111</v>
      </c>
      <c r="AW58" s="43">
        <v>0.15763888888888888</v>
      </c>
      <c r="AX58" s="10">
        <v>0.38958333333333334</v>
      </c>
      <c r="AY58" s="10">
        <v>0.5229166666666667</v>
      </c>
      <c r="AZ58" s="12"/>
      <c r="BA58" s="12"/>
      <c r="BB58" s="43">
        <v>0.38611111111111113</v>
      </c>
      <c r="BC58" s="43"/>
      <c r="BD58" s="43"/>
      <c r="BE58" s="43"/>
      <c r="BF58" s="43"/>
      <c r="BG58" s="43"/>
      <c r="BH58" s="43"/>
      <c r="BI58" s="43"/>
      <c r="BJ58" s="43"/>
      <c r="BK58" s="43"/>
      <c r="BL58" s="10"/>
      <c r="BM58" s="10"/>
      <c r="BN58" t="str">
        <f t="shared" si="0"/>
        <v>R5|PABLO REYES|TEOLO PARK</v>
      </c>
    </row>
    <row r="59" spans="1:66" hidden="1">
      <c r="A59" s="8" t="s">
        <v>72</v>
      </c>
      <c r="B59" s="6" t="s">
        <v>91</v>
      </c>
      <c r="C59" s="6" t="s">
        <v>92</v>
      </c>
      <c r="D59" s="13"/>
      <c r="E59" s="13"/>
      <c r="F59" s="41"/>
      <c r="G59" s="41"/>
      <c r="H59" s="39"/>
      <c r="I59" s="39"/>
      <c r="J59" s="13"/>
      <c r="K59" s="13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39"/>
      <c r="W59" s="39"/>
      <c r="X59" s="13"/>
      <c r="Y59" s="13"/>
      <c r="Z59" s="43"/>
      <c r="AA59" s="43">
        <v>0.1875</v>
      </c>
      <c r="AB59" s="43">
        <v>0.44236111111111109</v>
      </c>
      <c r="AC59" s="43">
        <v>0.17708333333333334</v>
      </c>
      <c r="AD59" s="43">
        <v>0.36319444444444443</v>
      </c>
      <c r="AE59" s="43">
        <v>0.23125000000000001</v>
      </c>
      <c r="AF59" s="43">
        <v>0.39930555555555558</v>
      </c>
      <c r="AG59" s="43">
        <v>0.16041666666666668</v>
      </c>
      <c r="AH59" s="43">
        <v>0.36388888888888887</v>
      </c>
      <c r="AI59" s="43">
        <v>0.17986111111111111</v>
      </c>
      <c r="AJ59" s="10"/>
      <c r="AK59" s="10"/>
      <c r="AL59" s="12"/>
      <c r="AM59" s="12"/>
      <c r="AN59" s="43">
        <v>0.40347222222222223</v>
      </c>
      <c r="AO59" s="43"/>
      <c r="AP59" s="43"/>
      <c r="AQ59" s="43">
        <v>0.21249999999999999</v>
      </c>
      <c r="AR59" s="46">
        <v>0.42291666666666666</v>
      </c>
      <c r="AS59" s="47">
        <v>0.2298611111111111</v>
      </c>
      <c r="AT59" s="43">
        <v>0.37083333333333335</v>
      </c>
      <c r="AU59" s="43">
        <v>0.27708333333333335</v>
      </c>
      <c r="AV59" s="43">
        <v>0.37222222222222223</v>
      </c>
      <c r="AW59" s="43">
        <v>0.22222222222222221</v>
      </c>
      <c r="AX59" s="10">
        <v>0.44027777777777777</v>
      </c>
      <c r="AY59" s="10">
        <v>0.05</v>
      </c>
      <c r="AZ59" s="12"/>
      <c r="BA59" s="12"/>
      <c r="BB59" s="43">
        <v>0.39444444444444443</v>
      </c>
      <c r="BC59" s="43"/>
      <c r="BD59" s="43"/>
      <c r="BE59" s="43"/>
      <c r="BF59" s="43"/>
      <c r="BG59" s="43"/>
      <c r="BH59" s="43"/>
      <c r="BI59" s="43"/>
      <c r="BJ59" s="43"/>
      <c r="BK59" s="43"/>
      <c r="BL59" s="10"/>
      <c r="BM59" s="10"/>
      <c r="BN59" t="str">
        <f t="shared" si="0"/>
        <v>R5|ANAHI CALLEJAS|TEPEJI PARK</v>
      </c>
    </row>
    <row r="60" spans="1:66" hidden="1">
      <c r="A60" s="8" t="s">
        <v>72</v>
      </c>
      <c r="B60" s="6" t="s">
        <v>91</v>
      </c>
      <c r="C60" s="6" t="s">
        <v>93</v>
      </c>
      <c r="D60" s="13"/>
      <c r="E60" s="13"/>
      <c r="F60" s="41"/>
      <c r="G60" s="41"/>
      <c r="H60" s="39"/>
      <c r="I60" s="39"/>
      <c r="J60" s="13"/>
      <c r="K60" s="13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39"/>
      <c r="W60" s="39"/>
      <c r="X60" s="13"/>
      <c r="Y60" s="1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10"/>
      <c r="AK60" s="10"/>
      <c r="AL60" s="12"/>
      <c r="AM60" s="12"/>
      <c r="AN60" s="43"/>
      <c r="AO60" s="43"/>
      <c r="AP60" s="43"/>
      <c r="AQ60" s="43"/>
      <c r="AR60" s="46"/>
      <c r="AS60" s="47"/>
      <c r="AT60" s="43"/>
      <c r="AU60" s="43"/>
      <c r="AV60" s="43"/>
      <c r="AW60" s="43"/>
      <c r="AX60" s="10"/>
      <c r="AY60" s="10"/>
      <c r="AZ60" s="12"/>
      <c r="BA60" s="12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10"/>
      <c r="BM60" s="10"/>
      <c r="BN60" t="str">
        <f t="shared" si="0"/>
        <v>R5|ANAHI CALLEJAS|PARQUE INDUSTRIAL TEPEJI.</v>
      </c>
    </row>
    <row r="61" spans="1:66" hidden="1">
      <c r="A61" s="8" t="s">
        <v>94</v>
      </c>
      <c r="B61" s="6" t="s">
        <v>95</v>
      </c>
      <c r="C61" s="6" t="s">
        <v>96</v>
      </c>
      <c r="D61" s="13"/>
      <c r="E61" s="13"/>
      <c r="F61" s="42">
        <v>0.38333333333333341</v>
      </c>
      <c r="G61" s="42">
        <v>0.64930555555555558</v>
      </c>
      <c r="H61" s="39"/>
      <c r="I61" s="39"/>
      <c r="J61" s="13"/>
      <c r="K61" s="13"/>
      <c r="L61" s="42">
        <v>0.36180555555555549</v>
      </c>
      <c r="M61" s="42">
        <v>0.65694444444444444</v>
      </c>
      <c r="N61" s="42">
        <v>0.39166666666666672</v>
      </c>
      <c r="O61" s="42">
        <v>0.64583333333333337</v>
      </c>
      <c r="P61" s="42">
        <v>0.37847222222222221</v>
      </c>
      <c r="Q61" s="42">
        <v>0.65694444444444444</v>
      </c>
      <c r="R61" s="42">
        <v>0.39583333333333331</v>
      </c>
      <c r="S61" s="42">
        <v>0.68680555555555556</v>
      </c>
      <c r="T61" s="42">
        <v>0.38750000000000001</v>
      </c>
      <c r="U61" s="42">
        <v>0.63888888888888884</v>
      </c>
      <c r="V61" s="39"/>
      <c r="W61" s="39"/>
      <c r="X61" s="13"/>
      <c r="Y61" s="13"/>
      <c r="Z61" s="43">
        <v>0.35694444444444445</v>
      </c>
      <c r="AA61" s="43">
        <v>0.15277777777777779</v>
      </c>
      <c r="AB61" s="43">
        <v>0.36319444444444443</v>
      </c>
      <c r="AC61" s="43"/>
      <c r="AD61" s="43">
        <v>0.35972222222222222</v>
      </c>
      <c r="AE61" s="43">
        <v>0.14097222222222222</v>
      </c>
      <c r="AF61" s="43">
        <v>0.35694444444444445</v>
      </c>
      <c r="AG61" s="43">
        <v>0.15277777777777779</v>
      </c>
      <c r="AH61" s="43">
        <v>0.36666666666666664</v>
      </c>
      <c r="AI61" s="43">
        <v>0.13958333333333334</v>
      </c>
      <c r="AJ61" s="10"/>
      <c r="AK61" s="10"/>
      <c r="AL61" s="12"/>
      <c r="AM61" s="12"/>
      <c r="AN61" s="43">
        <v>0.36319444444444443</v>
      </c>
      <c r="AO61" s="43">
        <v>0.13680555555555557</v>
      </c>
      <c r="AP61" s="43">
        <v>0.36527777777777776</v>
      </c>
      <c r="AQ61" s="43">
        <v>0.14374999999999999</v>
      </c>
      <c r="AR61" s="46">
        <v>0.36805555555555558</v>
      </c>
      <c r="AS61" s="47">
        <v>0.1423611111111111</v>
      </c>
      <c r="AT61" s="43">
        <v>0.38472222222222224</v>
      </c>
      <c r="AU61" s="43">
        <v>0.23472222222222222</v>
      </c>
      <c r="AV61" s="43">
        <v>0.36458333333333331</v>
      </c>
      <c r="AW61" s="43">
        <v>0.13958333333333334</v>
      </c>
      <c r="AX61" s="10"/>
      <c r="AY61" s="10"/>
      <c r="AZ61" s="12"/>
      <c r="BA61" s="12"/>
      <c r="BB61" s="43">
        <v>0.35902777777777778</v>
      </c>
      <c r="BC61" s="43"/>
      <c r="BD61" s="43"/>
      <c r="BE61" s="43"/>
      <c r="BF61" s="43"/>
      <c r="BG61" s="43"/>
      <c r="BH61" s="43"/>
      <c r="BI61" s="43"/>
      <c r="BJ61" s="43"/>
      <c r="BK61" s="43"/>
      <c r="BL61" s="10"/>
      <c r="BM61" s="10"/>
      <c r="BN61" t="str">
        <f t="shared" si="0"/>
        <v>T-EMEX|JOSE LUIS GARCIA|T-MEX PARK</v>
      </c>
    </row>
    <row r="62" spans="1:66" hidden="1">
      <c r="A62" s="8" t="s">
        <v>97</v>
      </c>
      <c r="B62" s="6" t="s">
        <v>98</v>
      </c>
      <c r="C62" s="6" t="s">
        <v>99</v>
      </c>
      <c r="D62" s="13"/>
      <c r="E62" s="13"/>
      <c r="F62" s="41"/>
      <c r="G62" s="41"/>
      <c r="H62" s="39"/>
      <c r="I62" s="39"/>
      <c r="J62" s="13"/>
      <c r="K62" s="13"/>
      <c r="L62" s="42">
        <v>0.38472222222222219</v>
      </c>
      <c r="M62" s="42">
        <v>0.65138888888888891</v>
      </c>
      <c r="N62" s="42">
        <v>0.46666666666666667</v>
      </c>
      <c r="O62" s="41"/>
      <c r="P62" s="42">
        <v>0.46666666666666667</v>
      </c>
      <c r="Q62" s="42">
        <v>0.79166666666666663</v>
      </c>
      <c r="R62" s="42">
        <v>0.43333333333333329</v>
      </c>
      <c r="S62" s="41"/>
      <c r="T62" s="42">
        <v>0.40555555555555561</v>
      </c>
      <c r="U62" s="42">
        <v>0.76944444444444449</v>
      </c>
      <c r="V62" s="40">
        <v>0.40486111111111112</v>
      </c>
      <c r="W62" s="39"/>
      <c r="X62" s="13"/>
      <c r="Y62" s="13"/>
      <c r="Z62" s="43">
        <v>0.41111111111111109</v>
      </c>
      <c r="AA62" s="43">
        <v>0.16041666666666668</v>
      </c>
      <c r="AB62" s="43">
        <v>0.40833333333333333</v>
      </c>
      <c r="AC62" s="43"/>
      <c r="AD62" s="43">
        <v>0.3840277777777778</v>
      </c>
      <c r="AE62" s="43">
        <v>0.12847222222222221</v>
      </c>
      <c r="AF62" s="43">
        <v>0.42222222222222222</v>
      </c>
      <c r="AG62" s="43">
        <v>0.16666666666666666</v>
      </c>
      <c r="AH62" s="43">
        <v>0.48819444444444443</v>
      </c>
      <c r="AI62" s="43">
        <v>0.18680555555555556</v>
      </c>
      <c r="AJ62" s="10">
        <v>0.41111111111111109</v>
      </c>
      <c r="AK62" s="10"/>
      <c r="AL62" s="12"/>
      <c r="AM62" s="12"/>
      <c r="AN62" s="43"/>
      <c r="AO62" s="43">
        <v>0.2013888888888889</v>
      </c>
      <c r="AP62" s="43">
        <v>0.36458333333333331</v>
      </c>
      <c r="AQ62" s="43"/>
      <c r="AR62" s="46"/>
      <c r="AS62" s="47">
        <v>0.20347222222222222</v>
      </c>
      <c r="AT62" s="43"/>
      <c r="AU62" s="43"/>
      <c r="AV62" s="43">
        <v>0.37986111111111109</v>
      </c>
      <c r="AW62" s="43"/>
      <c r="AX62" s="10"/>
      <c r="AY62" s="10"/>
      <c r="AZ62" s="12"/>
      <c r="BA62" s="12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10"/>
      <c r="BM62" s="10"/>
      <c r="BN62" t="str">
        <f t="shared" si="0"/>
        <v>R6|ANA BRITO|QUERETARO PARK III</v>
      </c>
    </row>
    <row r="63" spans="1:66" hidden="1">
      <c r="A63" s="8" t="s">
        <v>97</v>
      </c>
      <c r="B63" s="6" t="s">
        <v>100</v>
      </c>
      <c r="C63" s="6" t="s">
        <v>101</v>
      </c>
      <c r="D63" s="13"/>
      <c r="E63" s="13"/>
      <c r="F63" s="41"/>
      <c r="G63" s="41"/>
      <c r="H63" s="39"/>
      <c r="I63" s="39"/>
      <c r="J63" s="13"/>
      <c r="K63" s="13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39"/>
      <c r="W63" s="39"/>
      <c r="X63" s="13"/>
      <c r="Y63" s="13"/>
      <c r="Z63" s="43">
        <v>0.46527777777777779</v>
      </c>
      <c r="AA63" s="43"/>
      <c r="AB63" s="43"/>
      <c r="AC63" s="43">
        <v>0.14652777777777778</v>
      </c>
      <c r="AD63" s="43">
        <v>0.45416666666666666</v>
      </c>
      <c r="AE63" s="43"/>
      <c r="AF63" s="43">
        <v>0.40833333333333333</v>
      </c>
      <c r="AG63" s="43"/>
      <c r="AH63" s="43">
        <v>0.44305555555555554</v>
      </c>
      <c r="AI63" s="43">
        <v>0.2638888888888889</v>
      </c>
      <c r="AJ63" s="10"/>
      <c r="AK63" s="10"/>
      <c r="AL63" s="12"/>
      <c r="AM63" s="12"/>
      <c r="AN63" s="43"/>
      <c r="AO63" s="43">
        <v>0.29583333333333334</v>
      </c>
      <c r="AP63" s="43">
        <v>0.37986111111111109</v>
      </c>
      <c r="AQ63" s="43">
        <v>0.31041666666666667</v>
      </c>
      <c r="AR63" s="46">
        <v>0.39097222222222222</v>
      </c>
      <c r="AS63" s="47"/>
      <c r="AT63" s="43"/>
      <c r="AU63" s="43">
        <v>0.2076388888888889</v>
      </c>
      <c r="AV63" s="43">
        <v>0.44027777777777777</v>
      </c>
      <c r="AW63" s="43">
        <v>0.24027777777777778</v>
      </c>
      <c r="AX63" s="10"/>
      <c r="AY63" s="10"/>
      <c r="AZ63" s="12"/>
      <c r="BA63" s="12"/>
      <c r="BB63" s="43">
        <v>0.44374999999999998</v>
      </c>
      <c r="BC63" s="43"/>
      <c r="BD63" s="43"/>
      <c r="BE63" s="43"/>
      <c r="BF63" s="43"/>
      <c r="BG63" s="43"/>
      <c r="BH63" s="43"/>
      <c r="BI63" s="43"/>
      <c r="BJ63" s="43"/>
      <c r="BK63" s="43"/>
      <c r="BL63" s="10"/>
      <c r="BM63" s="10"/>
      <c r="BN63" t="str">
        <f t="shared" si="0"/>
        <v>R6|ERIKA TREJO|QUERETARO PARK IV</v>
      </c>
    </row>
    <row r="64" spans="1:66" hidden="1">
      <c r="A64" s="8" t="s">
        <v>97</v>
      </c>
      <c r="B64" s="6" t="s">
        <v>102</v>
      </c>
      <c r="C64" s="6" t="s">
        <v>103</v>
      </c>
      <c r="D64" s="13"/>
      <c r="E64" s="13"/>
      <c r="F64" s="41"/>
      <c r="G64" s="41"/>
      <c r="H64" s="39"/>
      <c r="I64" s="39"/>
      <c r="J64" s="13"/>
      <c r="K64" s="13"/>
      <c r="L64" s="42">
        <v>0.39166666666666672</v>
      </c>
      <c r="M64" s="42">
        <v>0.68194444444444446</v>
      </c>
      <c r="N64" s="42">
        <v>0.38750000000000001</v>
      </c>
      <c r="O64" s="41"/>
      <c r="P64" s="42">
        <v>0.38472222222222219</v>
      </c>
      <c r="Q64" s="42">
        <v>0.68472222222222223</v>
      </c>
      <c r="R64" s="42">
        <v>0.40416666666666667</v>
      </c>
      <c r="S64" s="41"/>
      <c r="T64" s="42">
        <v>0.36666666666666659</v>
      </c>
      <c r="U64" s="41"/>
      <c r="V64" s="39"/>
      <c r="W64" s="39"/>
      <c r="X64" s="13"/>
      <c r="Y64" s="13"/>
      <c r="Z64" s="43"/>
      <c r="AA64" s="43"/>
      <c r="AB64" s="43">
        <v>0.39583333333333331</v>
      </c>
      <c r="AC64" s="43"/>
      <c r="AD64" s="43"/>
      <c r="AE64" s="43"/>
      <c r="AF64" s="43"/>
      <c r="AG64" s="43">
        <v>0.1763888888888889</v>
      </c>
      <c r="AH64" s="43">
        <v>0.4152777777777778</v>
      </c>
      <c r="AI64" s="43">
        <v>0.16319444444444445</v>
      </c>
      <c r="AJ64" s="10"/>
      <c r="AK64" s="10"/>
      <c r="AL64" s="12"/>
      <c r="AM64" s="12"/>
      <c r="AN64" s="43">
        <v>0.39166666666666666</v>
      </c>
      <c r="AO64" s="43"/>
      <c r="AP64" s="43">
        <v>0.40208333333333335</v>
      </c>
      <c r="AQ64" s="43"/>
      <c r="AR64" s="46"/>
      <c r="AS64" s="47">
        <v>0.23333333333333334</v>
      </c>
      <c r="AT64" s="43"/>
      <c r="AU64" s="43"/>
      <c r="AV64" s="43"/>
      <c r="AW64" s="43"/>
      <c r="AX64" s="10"/>
      <c r="AY64" s="10"/>
      <c r="AZ64" s="12"/>
      <c r="BA64" s="12"/>
      <c r="BB64" s="43">
        <v>0.41111111111111109</v>
      </c>
      <c r="BC64" s="43"/>
      <c r="BD64" s="43"/>
      <c r="BE64" s="43"/>
      <c r="BF64" s="43"/>
      <c r="BG64" s="43"/>
      <c r="BH64" s="43"/>
      <c r="BI64" s="43"/>
      <c r="BJ64" s="43"/>
      <c r="BK64" s="43"/>
      <c r="BL64" s="10"/>
      <c r="BM64" s="10"/>
      <c r="BN64" t="str">
        <f t="shared" si="0"/>
        <v>R6|MARIANO D. LORENZO|QUERETARO PARK V</v>
      </c>
    </row>
    <row r="65" spans="1:66" hidden="1">
      <c r="A65" s="8" t="s">
        <v>97</v>
      </c>
      <c r="B65" s="6" t="s">
        <v>102</v>
      </c>
      <c r="C65" s="6" t="s">
        <v>104</v>
      </c>
      <c r="D65" s="13"/>
      <c r="E65" s="13"/>
      <c r="F65" s="41"/>
      <c r="G65" s="41"/>
      <c r="H65" s="39"/>
      <c r="I65" s="39"/>
      <c r="J65" s="13"/>
      <c r="K65" s="13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39"/>
      <c r="W65" s="39"/>
      <c r="X65" s="13"/>
      <c r="Y65" s="13"/>
      <c r="Z65" s="43">
        <v>0.38194444444444442</v>
      </c>
      <c r="AA65" s="43">
        <v>0.18402777777777779</v>
      </c>
      <c r="AB65" s="43">
        <v>0.38611111111111113</v>
      </c>
      <c r="AC65" s="43"/>
      <c r="AD65" s="43"/>
      <c r="AE65" s="43">
        <v>0.22430555555555556</v>
      </c>
      <c r="AF65" s="43">
        <v>0.37916666666666665</v>
      </c>
      <c r="AG65" s="43"/>
      <c r="AH65" s="43"/>
      <c r="AI65" s="43"/>
      <c r="AJ65" s="10"/>
      <c r="AK65" s="10"/>
      <c r="AL65" s="12"/>
      <c r="AM65" s="12"/>
      <c r="AN65" s="43"/>
      <c r="AO65" s="43">
        <v>0.22847222222222222</v>
      </c>
      <c r="AP65" s="43"/>
      <c r="AQ65" s="43"/>
      <c r="AR65" s="46">
        <v>0.40694444444444444</v>
      </c>
      <c r="AS65" s="47"/>
      <c r="AT65" s="43">
        <v>0.39444444444444443</v>
      </c>
      <c r="AU65" s="43"/>
      <c r="AV65" s="43">
        <v>0.42638888888888887</v>
      </c>
      <c r="AW65" s="43"/>
      <c r="AX65" s="10"/>
      <c r="AY65" s="10"/>
      <c r="AZ65" s="12"/>
      <c r="BA65" s="12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10"/>
      <c r="BM65" s="10"/>
      <c r="BN65" t="str">
        <f t="shared" si="0"/>
        <v>R6|MARIANO D. LORENZO|QUERETARO PARK VI</v>
      </c>
    </row>
    <row r="66" spans="1:66" hidden="1">
      <c r="A66" s="8" t="s">
        <v>97</v>
      </c>
      <c r="B66" s="6" t="s">
        <v>105</v>
      </c>
      <c r="C66" s="6" t="s">
        <v>106</v>
      </c>
      <c r="D66" s="13"/>
      <c r="E66" s="13"/>
      <c r="F66" s="41"/>
      <c r="G66" s="41"/>
      <c r="H66" s="39"/>
      <c r="I66" s="39"/>
      <c r="J66" s="13"/>
      <c r="K66" s="13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39"/>
      <c r="W66" s="39"/>
      <c r="X66" s="13"/>
      <c r="Y66" s="13"/>
      <c r="Z66" s="43">
        <v>0.38680555555555557</v>
      </c>
      <c r="AA66" s="43"/>
      <c r="AB66" s="43">
        <v>0.40208333333333335</v>
      </c>
      <c r="AC66" s="43">
        <v>0.20069444444444445</v>
      </c>
      <c r="AD66" s="43">
        <v>0.39513888888888887</v>
      </c>
      <c r="AE66" s="43">
        <v>0.22430555555555556</v>
      </c>
      <c r="AF66" s="43">
        <v>0.40694444444444444</v>
      </c>
      <c r="AG66" s="43"/>
      <c r="AH66" s="43">
        <v>0.44722222222222224</v>
      </c>
      <c r="AI66" s="43"/>
      <c r="AJ66" s="10"/>
      <c r="AK66" s="10">
        <v>5.1388888888888887E-2</v>
      </c>
      <c r="AL66" s="12"/>
      <c r="AM66" s="12"/>
      <c r="AN66" s="43">
        <v>0.41805555555555557</v>
      </c>
      <c r="AO66" s="43"/>
      <c r="AP66" s="43">
        <v>0.43333333333333335</v>
      </c>
      <c r="AQ66" s="43">
        <v>0.23402777777777778</v>
      </c>
      <c r="AR66" s="46"/>
      <c r="AS66" s="47"/>
      <c r="AT66" s="43">
        <v>0.36875000000000002</v>
      </c>
      <c r="AU66" s="43">
        <v>8.611111111111111E-2</v>
      </c>
      <c r="AV66" s="43">
        <v>0.40763888888888888</v>
      </c>
      <c r="AW66" s="43">
        <v>0.27569444444444446</v>
      </c>
      <c r="AX66" s="10"/>
      <c r="AY66" s="10"/>
      <c r="AZ66" s="12"/>
      <c r="BA66" s="12"/>
      <c r="BB66" s="43">
        <v>0.36458333333333331</v>
      </c>
      <c r="BC66" s="43"/>
      <c r="BD66" s="43"/>
      <c r="BE66" s="43"/>
      <c r="BF66" s="43"/>
      <c r="BG66" s="43"/>
      <c r="BH66" s="43"/>
      <c r="BI66" s="43"/>
      <c r="BJ66" s="43"/>
      <c r="BK66" s="43"/>
      <c r="BL66" s="10"/>
      <c r="BM66" s="10"/>
      <c r="BN66" t="str">
        <f t="shared" si="0"/>
        <v>R6|RODRIGO CERVANTES LUGO|QUERETARO PARK VII</v>
      </c>
    </row>
    <row r="67" spans="1:66" hidden="1">
      <c r="A67" s="8" t="s">
        <v>97</v>
      </c>
      <c r="B67" s="6" t="s">
        <v>105</v>
      </c>
      <c r="C67" s="6" t="s">
        <v>107</v>
      </c>
      <c r="D67" s="13"/>
      <c r="E67" s="13"/>
      <c r="F67" s="41"/>
      <c r="G67" s="41"/>
      <c r="H67" s="39"/>
      <c r="I67" s="39"/>
      <c r="J67" s="13"/>
      <c r="K67" s="13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39"/>
      <c r="W67" s="39"/>
      <c r="X67" s="13"/>
      <c r="Y67" s="1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10"/>
      <c r="AK67" s="10"/>
      <c r="AL67" s="12"/>
      <c r="AM67" s="12"/>
      <c r="AN67" s="43"/>
      <c r="AO67" s="43"/>
      <c r="AP67" s="43"/>
      <c r="AQ67" s="43"/>
      <c r="AR67" s="46"/>
      <c r="AS67" s="47"/>
      <c r="AT67" s="43"/>
      <c r="AU67" s="43"/>
      <c r="AV67" s="43"/>
      <c r="AW67" s="43"/>
      <c r="AX67" s="10"/>
      <c r="AY67" s="10"/>
      <c r="AZ67" s="12"/>
      <c r="BA67" s="12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10"/>
      <c r="BM67" s="10"/>
      <c r="BN67" t="str">
        <f t="shared" si="0"/>
        <v>R6|RODRIGO CERVANTES LUGO|EL MARQUÉS</v>
      </c>
    </row>
    <row r="68" spans="1:66" hidden="1">
      <c r="A68" s="8" t="s">
        <v>108</v>
      </c>
      <c r="B68" s="6" t="s">
        <v>109</v>
      </c>
      <c r="C68" s="6" t="s">
        <v>110</v>
      </c>
      <c r="D68" s="13"/>
      <c r="E68" s="13"/>
      <c r="F68" s="41"/>
      <c r="G68" s="41"/>
      <c r="H68" s="39"/>
      <c r="I68" s="39"/>
      <c r="J68" s="13"/>
      <c r="K68" s="13"/>
      <c r="L68" s="42">
        <v>0.39097222222222222</v>
      </c>
      <c r="M68" s="42">
        <v>0.65069444444444446</v>
      </c>
      <c r="N68" s="42">
        <v>0.41944444444444451</v>
      </c>
      <c r="O68" s="41"/>
      <c r="P68" s="42">
        <v>0.37916666666666671</v>
      </c>
      <c r="Q68" s="42">
        <v>0.63541666666666663</v>
      </c>
      <c r="R68" s="42">
        <v>0.39444444444444438</v>
      </c>
      <c r="S68" s="41"/>
      <c r="T68" s="42">
        <v>0.37777777777777782</v>
      </c>
      <c r="U68" s="42">
        <v>0.6645833333333333</v>
      </c>
      <c r="V68" s="39"/>
      <c r="W68" s="39"/>
      <c r="X68" s="13"/>
      <c r="Y68" s="13"/>
      <c r="Z68" s="43">
        <v>0.42638888888888887</v>
      </c>
      <c r="AA68" s="43">
        <v>0.23055555555555557</v>
      </c>
      <c r="AB68" s="43">
        <v>0.41319444444444442</v>
      </c>
      <c r="AC68" s="43">
        <v>0.19444444444444445</v>
      </c>
      <c r="AD68" s="43">
        <v>0.39583333333333331</v>
      </c>
      <c r="AE68" s="43">
        <v>0.1388888888888889</v>
      </c>
      <c r="AF68" s="43">
        <v>0.42916666666666664</v>
      </c>
      <c r="AG68" s="43"/>
      <c r="AH68" s="43"/>
      <c r="AI68" s="43"/>
      <c r="AJ68" s="10"/>
      <c r="AK68" s="10"/>
      <c r="AL68" s="12"/>
      <c r="AM68" s="12"/>
      <c r="AN68" s="43"/>
      <c r="AO68" s="43">
        <v>0.20208333333333334</v>
      </c>
      <c r="AP68" s="43">
        <v>0.3888888888888889</v>
      </c>
      <c r="AQ68" s="43">
        <v>0.13402777777777777</v>
      </c>
      <c r="AR68" s="46">
        <v>0.36041666666666666</v>
      </c>
      <c r="AS68" s="47"/>
      <c r="AT68" s="43">
        <v>0.36041666666666666</v>
      </c>
      <c r="AU68" s="43"/>
      <c r="AV68" s="43">
        <v>0.39791666666666664</v>
      </c>
      <c r="AW68" s="43">
        <v>0.15902777777777777</v>
      </c>
      <c r="AX68" s="10"/>
      <c r="AY68" s="10"/>
      <c r="AZ68" s="12"/>
      <c r="BA68" s="12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10"/>
      <c r="BM68" s="10"/>
      <c r="BN68" t="str">
        <f t="shared" ref="BN68:BN91" si="1">A68&amp;"|"&amp;B68&amp;"|"&amp;C68</f>
        <v>R7|EMANUEL MARISCAL|LERMA PARK</v>
      </c>
    </row>
    <row r="69" spans="1:66" hidden="1">
      <c r="A69" s="8" t="s">
        <v>108</v>
      </c>
      <c r="B69" s="6" t="s">
        <v>109</v>
      </c>
      <c r="C69" s="6" t="s">
        <v>111</v>
      </c>
      <c r="D69" s="13"/>
      <c r="E69" s="13"/>
      <c r="F69" s="41"/>
      <c r="G69" s="41"/>
      <c r="H69" s="39"/>
      <c r="I69" s="39"/>
      <c r="J69" s="13"/>
      <c r="K69" s="13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39"/>
      <c r="W69" s="39"/>
      <c r="X69" s="13"/>
      <c r="Y69" s="1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10"/>
      <c r="AK69" s="10"/>
      <c r="AL69" s="12"/>
      <c r="AM69" s="12"/>
      <c r="AN69" s="43"/>
      <c r="AO69" s="43"/>
      <c r="AP69" s="43"/>
      <c r="AQ69" s="43"/>
      <c r="AR69" s="46"/>
      <c r="AS69" s="47"/>
      <c r="AT69" s="43"/>
      <c r="AU69" s="43"/>
      <c r="AV69" s="43"/>
      <c r="AW69" s="43"/>
      <c r="AX69" s="10"/>
      <c r="AY69" s="10"/>
      <c r="AZ69" s="12"/>
      <c r="BA69" s="12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10"/>
      <c r="BM69" s="10"/>
      <c r="BN69" t="str">
        <f t="shared" si="1"/>
        <v>R7|EMANUEL MARISCAL|ESCATO</v>
      </c>
    </row>
    <row r="70" spans="1:66" hidden="1">
      <c r="A70" s="8" t="s">
        <v>108</v>
      </c>
      <c r="B70" s="6" t="s">
        <v>112</v>
      </c>
      <c r="C70" s="6" t="s">
        <v>113</v>
      </c>
      <c r="D70" s="13"/>
      <c r="E70" s="13"/>
      <c r="F70" s="41"/>
      <c r="G70" s="41"/>
      <c r="H70" s="39"/>
      <c r="I70" s="39"/>
      <c r="J70" s="13"/>
      <c r="K70" s="13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39"/>
      <c r="W70" s="39"/>
      <c r="X70" s="13"/>
      <c r="Y70" s="13"/>
      <c r="Z70" s="43"/>
      <c r="AA70" s="43"/>
      <c r="AB70" s="43">
        <v>0.5</v>
      </c>
      <c r="AC70" s="43"/>
      <c r="AD70" s="43"/>
      <c r="AE70" s="43">
        <v>0.19027777777777777</v>
      </c>
      <c r="AF70" s="43">
        <v>0.44166666666666665</v>
      </c>
      <c r="AG70" s="43">
        <v>0.15694444444444444</v>
      </c>
      <c r="AH70" s="43">
        <v>0.37430555555555556</v>
      </c>
      <c r="AI70" s="43">
        <v>0.12361111111111112</v>
      </c>
      <c r="AJ70" s="10"/>
      <c r="AK70" s="10"/>
      <c r="AL70" s="12"/>
      <c r="AM70" s="12"/>
      <c r="AN70" s="43"/>
      <c r="AO70" s="43">
        <v>0.13125000000000001</v>
      </c>
      <c r="AP70" s="43">
        <v>0.35694444444444445</v>
      </c>
      <c r="AQ70" s="43">
        <v>0.12777777777777777</v>
      </c>
      <c r="AR70" s="46">
        <v>0.36319444444444443</v>
      </c>
      <c r="AS70" s="47">
        <v>0.14305555555555555</v>
      </c>
      <c r="AT70" s="43">
        <v>0.36041666666666666</v>
      </c>
      <c r="AU70" s="43">
        <v>0.14027777777777778</v>
      </c>
      <c r="AV70" s="43">
        <v>0.35625000000000001</v>
      </c>
      <c r="AW70" s="43">
        <v>0.15486111111111112</v>
      </c>
      <c r="AX70" s="10"/>
      <c r="AY70" s="10"/>
      <c r="AZ70" s="12"/>
      <c r="BA70" s="12"/>
      <c r="BB70" s="43">
        <v>0.37083333333333335</v>
      </c>
      <c r="BC70" s="43"/>
      <c r="BD70" s="43"/>
      <c r="BE70" s="43"/>
      <c r="BF70" s="43"/>
      <c r="BG70" s="43"/>
      <c r="BH70" s="43"/>
      <c r="BI70" s="43"/>
      <c r="BJ70" s="43"/>
      <c r="BK70" s="43"/>
      <c r="BL70" s="10"/>
      <c r="BM70" s="10"/>
      <c r="BN70" t="str">
        <f t="shared" si="1"/>
        <v>R7|CHRISTAN E. MARQUEZ|DOÑA ROSA</v>
      </c>
    </row>
    <row r="71" spans="1:66" hidden="1">
      <c r="A71" s="8" t="s">
        <v>108</v>
      </c>
      <c r="B71" s="6" t="s">
        <v>112</v>
      </c>
      <c r="C71" s="6" t="s">
        <v>114</v>
      </c>
      <c r="D71" s="13"/>
      <c r="E71" s="13"/>
      <c r="F71" s="41"/>
      <c r="G71" s="41"/>
      <c r="H71" s="39"/>
      <c r="I71" s="39"/>
      <c r="J71" s="13"/>
      <c r="K71" s="13"/>
      <c r="L71" s="42">
        <v>0.35833333333333328</v>
      </c>
      <c r="M71" s="42">
        <v>0.7368055555555556</v>
      </c>
      <c r="N71" s="42">
        <v>0.38263888888888892</v>
      </c>
      <c r="O71" s="41"/>
      <c r="P71" s="42">
        <v>0.38819444444444451</v>
      </c>
      <c r="Q71" s="42">
        <v>0.63124999999999998</v>
      </c>
      <c r="R71" s="42">
        <v>0.35347222222222219</v>
      </c>
      <c r="S71" s="42">
        <v>0.6875</v>
      </c>
      <c r="T71" s="42">
        <v>0.40347222222222218</v>
      </c>
      <c r="U71" s="42">
        <v>0.66180555555555554</v>
      </c>
      <c r="V71" s="39"/>
      <c r="W71" s="39"/>
      <c r="X71" s="13"/>
      <c r="Y71" s="13"/>
      <c r="Z71" s="43">
        <v>0.3923611111111111</v>
      </c>
      <c r="AA71" s="43">
        <v>0.28125</v>
      </c>
      <c r="AB71" s="43"/>
      <c r="AC71" s="43">
        <v>0.3</v>
      </c>
      <c r="AD71" s="43">
        <v>0.36458333333333331</v>
      </c>
      <c r="AE71" s="43"/>
      <c r="AF71" s="43"/>
      <c r="AG71" s="43"/>
      <c r="AH71" s="43"/>
      <c r="AI71" s="43"/>
      <c r="AJ71" s="10">
        <v>0.3611111111111111</v>
      </c>
      <c r="AK71" s="10"/>
      <c r="AL71" s="12"/>
      <c r="AM71" s="12"/>
      <c r="AN71" s="43">
        <v>0.42499999999999999</v>
      </c>
      <c r="AO71" s="43"/>
      <c r="AP71" s="43"/>
      <c r="AQ71" s="43"/>
      <c r="AR71" s="46"/>
      <c r="AS71" s="47"/>
      <c r="AT71" s="43"/>
      <c r="AU71" s="43"/>
      <c r="AV71" s="43"/>
      <c r="AW71" s="43"/>
      <c r="AX71" s="10"/>
      <c r="AY71" s="10"/>
      <c r="AZ71" s="12"/>
      <c r="BA71" s="12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10"/>
      <c r="BM71" s="10"/>
      <c r="BN71" t="str">
        <f t="shared" si="1"/>
        <v>R7|CHRISTAN E. MARQUEZ|LERMA PARK II</v>
      </c>
    </row>
    <row r="72" spans="1:66" hidden="1">
      <c r="A72" s="8" t="s">
        <v>108</v>
      </c>
      <c r="B72" s="6" t="s">
        <v>115</v>
      </c>
      <c r="C72" s="6" t="s">
        <v>116</v>
      </c>
      <c r="D72" s="13"/>
      <c r="E72" s="13"/>
      <c r="F72" s="41"/>
      <c r="G72" s="41"/>
      <c r="H72" s="39"/>
      <c r="I72" s="39"/>
      <c r="J72" s="13"/>
      <c r="K72" s="13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39"/>
      <c r="W72" s="39"/>
      <c r="X72" s="13"/>
      <c r="Y72" s="13"/>
      <c r="Z72" s="43">
        <v>0.36249999999999999</v>
      </c>
      <c r="AA72" s="43"/>
      <c r="AB72" s="43">
        <v>0.38124999999999998</v>
      </c>
      <c r="AC72" s="43">
        <v>0.15833333333333333</v>
      </c>
      <c r="AD72" s="43">
        <v>0.36666666666666664</v>
      </c>
      <c r="AE72" s="43">
        <v>0.17569444444444443</v>
      </c>
      <c r="AF72" s="43">
        <v>0.36249999999999999</v>
      </c>
      <c r="AG72" s="43">
        <v>0.1388888888888889</v>
      </c>
      <c r="AH72" s="43">
        <v>0.37847222222222221</v>
      </c>
      <c r="AI72" s="43">
        <v>0.15833333333333333</v>
      </c>
      <c r="AJ72" s="10"/>
      <c r="AK72" s="10"/>
      <c r="AL72" s="12"/>
      <c r="AM72" s="12"/>
      <c r="AN72" s="43">
        <v>0.37152777777777779</v>
      </c>
      <c r="AO72" s="43">
        <v>0.13055555555555556</v>
      </c>
      <c r="AP72" s="43">
        <v>0.36041666666666666</v>
      </c>
      <c r="AQ72" s="43">
        <v>0.13194444444444445</v>
      </c>
      <c r="AR72" s="46">
        <v>0.35972222222222222</v>
      </c>
      <c r="AS72" s="47">
        <v>0.14444444444444443</v>
      </c>
      <c r="AT72" s="43">
        <v>0.36319444444444443</v>
      </c>
      <c r="AU72" s="43">
        <v>0.1388888888888889</v>
      </c>
      <c r="AV72" s="43">
        <v>0.35902777777777778</v>
      </c>
      <c r="AW72" s="43">
        <v>0.18055555555555555</v>
      </c>
      <c r="AX72" s="10"/>
      <c r="AY72" s="10"/>
      <c r="AZ72" s="12"/>
      <c r="BA72" s="12"/>
      <c r="BB72" s="43">
        <v>0.38680555555555557</v>
      </c>
      <c r="BC72" s="43"/>
      <c r="BD72" s="43"/>
      <c r="BE72" s="43"/>
      <c r="BF72" s="43"/>
      <c r="BG72" s="43"/>
      <c r="BH72" s="43"/>
      <c r="BI72" s="43"/>
      <c r="BJ72" s="43"/>
      <c r="BK72" s="43"/>
      <c r="BL72" s="10"/>
      <c r="BM72" s="10"/>
      <c r="BN72" t="str">
        <f t="shared" si="1"/>
        <v>R7|OMAR HIDALGO|POLARIS</v>
      </c>
    </row>
    <row r="73" spans="1:66" hidden="1">
      <c r="A73" s="8" t="s">
        <v>108</v>
      </c>
      <c r="B73" s="6" t="s">
        <v>117</v>
      </c>
      <c r="C73" s="6" t="s">
        <v>118</v>
      </c>
      <c r="D73" s="13"/>
      <c r="E73" s="13"/>
      <c r="F73" s="42">
        <v>0.38472222222222219</v>
      </c>
      <c r="G73" s="42">
        <v>0.69930555555555551</v>
      </c>
      <c r="H73" s="39"/>
      <c r="I73" s="39"/>
      <c r="J73" s="13"/>
      <c r="K73" s="13"/>
      <c r="L73" s="42">
        <v>0.37847222222222221</v>
      </c>
      <c r="M73" s="42">
        <v>0.67013888888888884</v>
      </c>
      <c r="N73" s="42">
        <v>0.41180555555555548</v>
      </c>
      <c r="O73" s="42">
        <v>0.66874999999999996</v>
      </c>
      <c r="P73" s="42">
        <v>0.39166666666666672</v>
      </c>
      <c r="Q73" s="41"/>
      <c r="R73" s="41"/>
      <c r="S73" s="41"/>
      <c r="T73" s="42">
        <v>0.4</v>
      </c>
      <c r="U73" s="41"/>
      <c r="V73" s="39"/>
      <c r="W73" s="39"/>
      <c r="X73" s="13"/>
      <c r="Y73" s="13"/>
      <c r="Z73" s="43">
        <v>0.40833333333333333</v>
      </c>
      <c r="AA73" s="43">
        <v>0.19791666666666666</v>
      </c>
      <c r="AB73" s="43">
        <v>0.37916666666666665</v>
      </c>
      <c r="AC73" s="43">
        <v>0.22291666666666668</v>
      </c>
      <c r="AD73" s="43">
        <v>0.38333333333333336</v>
      </c>
      <c r="AE73" s="43">
        <v>0.17708333333333334</v>
      </c>
      <c r="AF73" s="43">
        <v>0.37430555555555556</v>
      </c>
      <c r="AG73" s="43">
        <v>0.18402777777777779</v>
      </c>
      <c r="AH73" s="43">
        <v>0.38055555555555554</v>
      </c>
      <c r="AI73" s="43">
        <v>0.18819444444444444</v>
      </c>
      <c r="AJ73" s="10"/>
      <c r="AK73" s="10"/>
      <c r="AL73" s="12"/>
      <c r="AM73" s="12"/>
      <c r="AN73" s="43">
        <v>0.37638888888888888</v>
      </c>
      <c r="AO73" s="43">
        <v>0.1701388888888889</v>
      </c>
      <c r="AP73" s="43">
        <v>0.40277777777777779</v>
      </c>
      <c r="AQ73" s="43">
        <v>0.16875000000000001</v>
      </c>
      <c r="AR73" s="46">
        <v>0.39166666666666666</v>
      </c>
      <c r="AS73" s="47">
        <v>0.19722222222222222</v>
      </c>
      <c r="AT73" s="43">
        <v>0.37916666666666665</v>
      </c>
      <c r="AU73" s="43">
        <v>0.19305555555555556</v>
      </c>
      <c r="AV73" s="43">
        <v>0.35833333333333334</v>
      </c>
      <c r="AW73" s="43">
        <v>0.15694444444444444</v>
      </c>
      <c r="AX73" s="10"/>
      <c r="AY73" s="10"/>
      <c r="AZ73" s="12"/>
      <c r="BA73" s="12"/>
      <c r="BB73" s="43">
        <v>0.38124999999999998</v>
      </c>
      <c r="BC73" s="43"/>
      <c r="BD73" s="43"/>
      <c r="BE73" s="43"/>
      <c r="BF73" s="43"/>
      <c r="BG73" s="43"/>
      <c r="BH73" s="43"/>
      <c r="BI73" s="43"/>
      <c r="BJ73" s="43"/>
      <c r="BK73" s="43"/>
      <c r="BL73" s="10"/>
      <c r="BM73" s="10"/>
      <c r="BN73" t="str">
        <f t="shared" si="1"/>
        <v>R7|NOE E. MARTINEZ|MARAVILLAS</v>
      </c>
    </row>
    <row r="74" spans="1:66" hidden="1">
      <c r="A74" s="8" t="s">
        <v>108</v>
      </c>
      <c r="B74" s="6" t="s">
        <v>119</v>
      </c>
      <c r="C74" s="6" t="s">
        <v>120</v>
      </c>
      <c r="D74" s="13"/>
      <c r="E74" s="13"/>
      <c r="F74" s="42">
        <v>0.36180555555555549</v>
      </c>
      <c r="G74" s="42">
        <v>0.65208333333333335</v>
      </c>
      <c r="H74" s="40">
        <v>0.38472222222222219</v>
      </c>
      <c r="I74" s="39"/>
      <c r="J74" s="13"/>
      <c r="K74" s="13"/>
      <c r="L74" s="42">
        <v>0.38750000000000001</v>
      </c>
      <c r="M74" s="42">
        <v>0.63888888888888884</v>
      </c>
      <c r="N74" s="42">
        <v>0.375</v>
      </c>
      <c r="O74" s="42">
        <v>0.65138888888888891</v>
      </c>
      <c r="P74" s="42">
        <v>0.39027777777777778</v>
      </c>
      <c r="Q74" s="42">
        <v>0.62361111111111112</v>
      </c>
      <c r="R74" s="42">
        <v>0.38958333333333328</v>
      </c>
      <c r="S74" s="42">
        <v>0.70208333333333328</v>
      </c>
      <c r="T74" s="42">
        <v>0.39166666666666672</v>
      </c>
      <c r="U74" s="42">
        <v>0.62569444444444444</v>
      </c>
      <c r="V74" s="39"/>
      <c r="W74" s="39"/>
      <c r="X74" s="13"/>
      <c r="Y74" s="13"/>
      <c r="Z74" s="43">
        <v>0.37430555555555556</v>
      </c>
      <c r="AA74" s="43">
        <v>0.13402777777777777</v>
      </c>
      <c r="AB74" s="43">
        <v>0.38333333333333336</v>
      </c>
      <c r="AC74" s="43">
        <v>0.14097222222222222</v>
      </c>
      <c r="AD74" s="43"/>
      <c r="AE74" s="43"/>
      <c r="AF74" s="43">
        <v>0.39166666666666666</v>
      </c>
      <c r="AG74" s="43">
        <v>0.1423611111111111</v>
      </c>
      <c r="AH74" s="43">
        <v>0.4375</v>
      </c>
      <c r="AI74" s="43">
        <v>0.17291666666666666</v>
      </c>
      <c r="AJ74" s="10">
        <v>0.39583333333333331</v>
      </c>
      <c r="AK74" s="10"/>
      <c r="AL74" s="12"/>
      <c r="AM74" s="12"/>
      <c r="AN74" s="43"/>
      <c r="AO74" s="43"/>
      <c r="AP74" s="43">
        <v>0.36458333333333331</v>
      </c>
      <c r="AQ74" s="43">
        <v>0.12569444444444444</v>
      </c>
      <c r="AR74" s="46">
        <v>0.37152777777777779</v>
      </c>
      <c r="AS74" s="47">
        <v>0.16527777777777777</v>
      </c>
      <c r="AT74" s="43">
        <v>0.37152777777777779</v>
      </c>
      <c r="AU74" s="43">
        <v>0.13402777777777777</v>
      </c>
      <c r="AV74" s="43">
        <v>0.3659722222222222</v>
      </c>
      <c r="AW74" s="43">
        <v>0.15069444444444444</v>
      </c>
      <c r="AX74" s="10"/>
      <c r="AY74" s="10"/>
      <c r="AZ74" s="12"/>
      <c r="BA74" s="12"/>
      <c r="BB74" s="43">
        <v>0.38541666666666669</v>
      </c>
      <c r="BC74" s="43"/>
      <c r="BD74" s="43"/>
      <c r="BE74" s="43"/>
      <c r="BF74" s="43"/>
      <c r="BG74" s="43"/>
      <c r="BH74" s="43"/>
      <c r="BI74" s="43"/>
      <c r="BJ74" s="43"/>
      <c r="BK74" s="43"/>
      <c r="BL74" s="10"/>
      <c r="BM74" s="10"/>
      <c r="BN74" t="str">
        <f t="shared" si="1"/>
        <v>R7|FERNANDO ROBLES|TOLUCA PARK II (SANTIN)</v>
      </c>
    </row>
    <row r="75" spans="1:66" hidden="1">
      <c r="A75" s="8" t="s">
        <v>108</v>
      </c>
      <c r="B75" s="6" t="s">
        <v>121</v>
      </c>
      <c r="C75" s="6" t="s">
        <v>122</v>
      </c>
      <c r="D75" s="13"/>
      <c r="E75" s="13"/>
      <c r="F75" s="42">
        <v>0.48749999999999999</v>
      </c>
      <c r="G75" s="42">
        <v>0.63888888888888884</v>
      </c>
      <c r="H75" s="39"/>
      <c r="I75" s="39"/>
      <c r="J75" s="13"/>
      <c r="K75" s="13"/>
      <c r="L75" s="41"/>
      <c r="M75" s="42">
        <v>0.63472222222222219</v>
      </c>
      <c r="N75" s="41"/>
      <c r="O75" s="42">
        <v>0.66319444444444442</v>
      </c>
      <c r="P75" s="41"/>
      <c r="Q75" s="41"/>
      <c r="R75" s="41"/>
      <c r="S75" s="42">
        <v>0.66666666666666663</v>
      </c>
      <c r="T75" s="41"/>
      <c r="U75" s="41"/>
      <c r="V75" s="39"/>
      <c r="W75" s="39"/>
      <c r="X75" s="13"/>
      <c r="Y75" s="13"/>
      <c r="Z75" s="43">
        <v>0.44027777777777777</v>
      </c>
      <c r="AA75" s="43">
        <v>0.12291666666666666</v>
      </c>
      <c r="AB75" s="43"/>
      <c r="AC75" s="43">
        <v>0.1986111111111111</v>
      </c>
      <c r="AD75" s="43"/>
      <c r="AE75" s="43">
        <v>0.16875000000000001</v>
      </c>
      <c r="AF75" s="43"/>
      <c r="AG75" s="43">
        <v>0.1361111111111111</v>
      </c>
      <c r="AH75" s="43"/>
      <c r="AI75" s="43">
        <v>0.22569444444444445</v>
      </c>
      <c r="AJ75" s="10"/>
      <c r="AK75" s="10"/>
      <c r="AL75" s="12"/>
      <c r="AM75" s="12"/>
      <c r="AN75" s="43"/>
      <c r="AO75" s="43">
        <v>0.16388888888888889</v>
      </c>
      <c r="AP75" s="43"/>
      <c r="AQ75" s="43">
        <v>0.19791666666666666</v>
      </c>
      <c r="AR75" s="46"/>
      <c r="AS75" s="47">
        <v>0.15347222222222223</v>
      </c>
      <c r="AT75" s="43"/>
      <c r="AU75" s="43">
        <v>0.18680555555555556</v>
      </c>
      <c r="AV75" s="43"/>
      <c r="AW75" s="43">
        <v>0.19652777777777777</v>
      </c>
      <c r="AX75" s="10"/>
      <c r="AY75" s="10"/>
      <c r="AZ75" s="12"/>
      <c r="BA75" s="12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10"/>
      <c r="BM75" s="10"/>
      <c r="BN75" t="str">
        <f t="shared" si="1"/>
        <v>R7|RAUL MARISCAL|TOLUCA PARK III (LA Y)</v>
      </c>
    </row>
    <row r="76" spans="1:66" hidden="1">
      <c r="A76" s="8" t="s">
        <v>123</v>
      </c>
      <c r="B76" s="6" t="s">
        <v>124</v>
      </c>
      <c r="C76" s="6" t="s">
        <v>125</v>
      </c>
      <c r="D76" s="13"/>
      <c r="E76" s="13"/>
      <c r="F76" s="42">
        <v>0.39027777777777778</v>
      </c>
      <c r="G76" s="42">
        <v>0.65208333333333335</v>
      </c>
      <c r="H76" s="40">
        <v>0.45763888888888887</v>
      </c>
      <c r="I76" s="39"/>
      <c r="J76" s="13"/>
      <c r="K76" s="13"/>
      <c r="L76" s="42">
        <v>0.37291666666666667</v>
      </c>
      <c r="M76" s="42">
        <v>0.62916666666666665</v>
      </c>
      <c r="N76" s="42">
        <v>0.37777777777777782</v>
      </c>
      <c r="O76" s="42">
        <v>0.63958333333333328</v>
      </c>
      <c r="P76" s="42">
        <v>0.37708333333333333</v>
      </c>
      <c r="Q76" s="42">
        <v>0.62291666666666667</v>
      </c>
      <c r="R76" s="42">
        <v>0.36527777777777781</v>
      </c>
      <c r="S76" s="42">
        <v>0.62847222222222221</v>
      </c>
      <c r="T76" s="42">
        <v>0.37430555555555561</v>
      </c>
      <c r="U76" s="42">
        <v>0.6875</v>
      </c>
      <c r="V76" s="40">
        <v>0.41597222222222219</v>
      </c>
      <c r="W76" s="39"/>
      <c r="X76" s="13"/>
      <c r="Y76" s="13"/>
      <c r="Z76" s="43">
        <v>0.36319444444444443</v>
      </c>
      <c r="AA76" s="43">
        <v>0.13263888888888889</v>
      </c>
      <c r="AB76" s="43">
        <v>0.36458333333333331</v>
      </c>
      <c r="AC76" s="43">
        <v>0.15972222222222221</v>
      </c>
      <c r="AD76" s="43">
        <v>0.36180555555555555</v>
      </c>
      <c r="AE76" s="43">
        <v>0.14166666666666666</v>
      </c>
      <c r="AF76" s="43">
        <v>0.3576388888888889</v>
      </c>
      <c r="AG76" s="43">
        <v>0.18263888888888888</v>
      </c>
      <c r="AH76" s="43">
        <v>0.35486111111111113</v>
      </c>
      <c r="AI76" s="43">
        <v>0.16319444444444445</v>
      </c>
      <c r="AJ76" s="10">
        <v>0.53263888888888888</v>
      </c>
      <c r="AK76" s="10"/>
      <c r="AL76" s="12"/>
      <c r="AM76" s="12"/>
      <c r="AN76" s="43">
        <v>0.35902777777777778</v>
      </c>
      <c r="AO76" s="43">
        <v>0.14097222222222222</v>
      </c>
      <c r="AP76" s="43">
        <v>0.37916666666666665</v>
      </c>
      <c r="AQ76" s="43">
        <v>0.14722222222222223</v>
      </c>
      <c r="AR76" s="46">
        <v>0.35972222222222222</v>
      </c>
      <c r="AS76" s="47">
        <v>0.13402777777777777</v>
      </c>
      <c r="AT76" s="43">
        <v>0.36319444444444443</v>
      </c>
      <c r="AU76" s="43">
        <v>0.16805555555555557</v>
      </c>
      <c r="AV76" s="43">
        <v>0.35416666666666669</v>
      </c>
      <c r="AW76" s="43">
        <v>0.1423611111111111</v>
      </c>
      <c r="AX76" s="10">
        <v>0.36875000000000002</v>
      </c>
      <c r="AY76" s="10"/>
      <c r="AZ76" s="12"/>
      <c r="BA76" s="12"/>
      <c r="BB76" s="43">
        <v>0.37916666666666665</v>
      </c>
      <c r="BC76" s="43"/>
      <c r="BD76" s="43"/>
      <c r="BE76" s="43"/>
      <c r="BF76" s="43"/>
      <c r="BG76" s="43"/>
      <c r="BH76" s="43"/>
      <c r="BI76" s="43"/>
      <c r="BJ76" s="43"/>
      <c r="BK76" s="43"/>
      <c r="BL76" s="10"/>
      <c r="BM76" s="10"/>
      <c r="BN76" t="str">
        <f t="shared" si="1"/>
        <v>R8|J. MARTIN SALAZAR|TLAQUE PARK</v>
      </c>
    </row>
    <row r="77" spans="1:66" hidden="1">
      <c r="A77" s="8" t="s">
        <v>123</v>
      </c>
      <c r="B77" s="6" t="s">
        <v>126</v>
      </c>
      <c r="C77" s="6" t="s">
        <v>127</v>
      </c>
      <c r="D77" s="13"/>
      <c r="E77" s="13"/>
      <c r="F77" s="42">
        <v>0.37569444444444439</v>
      </c>
      <c r="G77" s="42">
        <v>0.70277777777777772</v>
      </c>
      <c r="H77" s="40">
        <v>0.37847222222222221</v>
      </c>
      <c r="I77" s="40">
        <v>0.61041666666666672</v>
      </c>
      <c r="J77" s="13"/>
      <c r="K77" s="13"/>
      <c r="L77" s="41"/>
      <c r="M77" s="42">
        <v>0.69513888888888886</v>
      </c>
      <c r="N77" s="42">
        <v>0.36875000000000002</v>
      </c>
      <c r="O77" s="42">
        <v>0.54652777777777772</v>
      </c>
      <c r="P77" s="42">
        <v>0.37986111111111109</v>
      </c>
      <c r="Q77" s="42">
        <v>0.68541666666666667</v>
      </c>
      <c r="R77" s="42">
        <v>0.40694444444444439</v>
      </c>
      <c r="S77" s="42">
        <v>0.66180555555555554</v>
      </c>
      <c r="T77" s="42">
        <v>0.37152777777777779</v>
      </c>
      <c r="U77" s="42">
        <v>0.66874999999999996</v>
      </c>
      <c r="V77" s="40">
        <v>0.44374999999999998</v>
      </c>
      <c r="W77" s="39"/>
      <c r="X77" s="13"/>
      <c r="Y77" s="13"/>
      <c r="Z77" s="43">
        <v>0.3576388888888889</v>
      </c>
      <c r="AA77" s="43">
        <v>0.15</v>
      </c>
      <c r="AB77" s="43">
        <v>0.36805555555555558</v>
      </c>
      <c r="AC77" s="43">
        <v>0.16041666666666668</v>
      </c>
      <c r="AD77" s="43">
        <v>0.35694444444444445</v>
      </c>
      <c r="AE77" s="43">
        <v>0.15555555555555556</v>
      </c>
      <c r="AF77" s="43">
        <v>0.37430555555555556</v>
      </c>
      <c r="AG77" s="43">
        <v>0.19722222222222222</v>
      </c>
      <c r="AH77" s="43">
        <v>0.38680555555555557</v>
      </c>
      <c r="AI77" s="43">
        <v>0.18819444444444444</v>
      </c>
      <c r="AJ77" s="10">
        <v>0.48958333333333331</v>
      </c>
      <c r="AK77" s="10"/>
      <c r="AL77" s="12"/>
      <c r="AM77" s="12"/>
      <c r="AN77" s="43">
        <v>0.3659722222222222</v>
      </c>
      <c r="AO77" s="43">
        <v>0.18402777777777779</v>
      </c>
      <c r="AP77" s="43">
        <v>0.36319444444444443</v>
      </c>
      <c r="AQ77" s="43">
        <v>0.16944444444444445</v>
      </c>
      <c r="AR77" s="46">
        <v>0.35972222222222222</v>
      </c>
      <c r="AS77" s="47">
        <v>0.17708333333333334</v>
      </c>
      <c r="AT77" s="43">
        <v>0.35069444444444442</v>
      </c>
      <c r="AU77" s="43">
        <v>0.19305555555555556</v>
      </c>
      <c r="AV77" s="43">
        <v>0.37013888888888891</v>
      </c>
      <c r="AW77" s="43">
        <v>0.28055555555555556</v>
      </c>
      <c r="AX77" s="10">
        <v>0.45208333333333334</v>
      </c>
      <c r="AY77" s="10">
        <v>6.458333333333334E-2</v>
      </c>
      <c r="AZ77" s="12"/>
      <c r="BA77" s="12"/>
      <c r="BB77" s="43">
        <v>0.35208333333333336</v>
      </c>
      <c r="BC77" s="43"/>
      <c r="BD77" s="43"/>
      <c r="BE77" s="43"/>
      <c r="BF77" s="43"/>
      <c r="BG77" s="43"/>
      <c r="BH77" s="43"/>
      <c r="BI77" s="43"/>
      <c r="BJ77" s="43"/>
      <c r="BK77" s="43"/>
      <c r="BL77" s="10"/>
      <c r="BM77" s="10"/>
      <c r="BN77" t="str">
        <f t="shared" si="1"/>
        <v>R8|FRANCISCO O. ROSAS|GUADALAJARA PARK</v>
      </c>
    </row>
    <row r="78" spans="1:66" hidden="1">
      <c r="A78" s="8" t="s">
        <v>123</v>
      </c>
      <c r="B78" s="6" t="s">
        <v>128</v>
      </c>
      <c r="C78" s="6" t="s">
        <v>129</v>
      </c>
      <c r="D78" s="13"/>
      <c r="E78" s="13"/>
      <c r="F78" s="41"/>
      <c r="G78" s="41"/>
      <c r="H78" s="39"/>
      <c r="I78" s="39"/>
      <c r="J78" s="13"/>
      <c r="K78" s="13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39"/>
      <c r="W78" s="39"/>
      <c r="X78" s="13"/>
      <c r="Y78" s="13"/>
      <c r="Z78" s="43">
        <v>0.35902777777777778</v>
      </c>
      <c r="AA78" s="43">
        <v>0.15902777777777777</v>
      </c>
      <c r="AB78" s="43">
        <v>0.3923611111111111</v>
      </c>
      <c r="AC78" s="43">
        <v>0.17083333333333334</v>
      </c>
      <c r="AD78" s="43">
        <v>0.38333333333333336</v>
      </c>
      <c r="AE78" s="43">
        <v>0.15555555555555556</v>
      </c>
      <c r="AF78" s="43">
        <v>0.42083333333333334</v>
      </c>
      <c r="AG78" s="43"/>
      <c r="AH78" s="43">
        <v>0.3888888888888889</v>
      </c>
      <c r="AI78" s="43">
        <v>0.19166666666666668</v>
      </c>
      <c r="AJ78" s="10">
        <v>0.4236111111111111</v>
      </c>
      <c r="AK78" s="10"/>
      <c r="AL78" s="12"/>
      <c r="AM78" s="12"/>
      <c r="AN78" s="43">
        <v>0.38194444444444442</v>
      </c>
      <c r="AO78" s="43">
        <v>0.1701388888888889</v>
      </c>
      <c r="AP78" s="43">
        <v>0.3923611111111111</v>
      </c>
      <c r="AQ78" s="43">
        <v>0.17222222222222222</v>
      </c>
      <c r="AR78" s="46">
        <v>0.38541666666666669</v>
      </c>
      <c r="AS78" s="47"/>
      <c r="AT78" s="43">
        <v>0.38958333333333334</v>
      </c>
      <c r="AU78" s="43"/>
      <c r="AV78" s="43"/>
      <c r="AW78" s="43"/>
      <c r="AX78" s="10"/>
      <c r="AY78" s="10"/>
      <c r="AZ78" s="12"/>
      <c r="BA78" s="12"/>
      <c r="BB78" s="43">
        <v>0.36388888888888887</v>
      </c>
      <c r="BC78" s="43"/>
      <c r="BD78" s="43"/>
      <c r="BE78" s="43"/>
      <c r="BF78" s="43"/>
      <c r="BG78" s="43"/>
      <c r="BH78" s="43"/>
      <c r="BI78" s="43"/>
      <c r="BJ78" s="43"/>
      <c r="BK78" s="43"/>
      <c r="BL78" s="10"/>
      <c r="BM78" s="10"/>
      <c r="BN78" t="str">
        <f t="shared" si="1"/>
        <v>R8|GUILLERMO ROCHA|EL SALTO PARK</v>
      </c>
    </row>
    <row r="79" spans="1:66" hidden="1">
      <c r="A79" s="8" t="s">
        <v>123</v>
      </c>
      <c r="B79" s="6" t="s">
        <v>130</v>
      </c>
      <c r="C79" s="6" t="s">
        <v>131</v>
      </c>
      <c r="D79" s="13"/>
      <c r="E79" s="13"/>
      <c r="F79" s="41"/>
      <c r="G79" s="41"/>
      <c r="H79" s="39"/>
      <c r="I79" s="39"/>
      <c r="J79" s="13"/>
      <c r="K79" s="13"/>
      <c r="L79" s="42">
        <v>0.39791666666666659</v>
      </c>
      <c r="M79" s="41"/>
      <c r="N79" s="41"/>
      <c r="O79" s="41"/>
      <c r="P79" s="41"/>
      <c r="Q79" s="41"/>
      <c r="R79" s="42">
        <v>0.36527777777777781</v>
      </c>
      <c r="S79" s="42">
        <v>0.6958333333333333</v>
      </c>
      <c r="T79" s="42">
        <v>0.37777777777777782</v>
      </c>
      <c r="U79" s="42">
        <v>0.69791666666666663</v>
      </c>
      <c r="V79" s="39"/>
      <c r="W79" s="39"/>
      <c r="X79" s="13"/>
      <c r="Y79" s="13"/>
      <c r="Z79" s="43">
        <v>0.36736111111111114</v>
      </c>
      <c r="AA79" s="43"/>
      <c r="AB79" s="43">
        <v>0.36944444444444446</v>
      </c>
      <c r="AC79" s="43">
        <v>0.17847222222222223</v>
      </c>
      <c r="AD79" s="43">
        <v>0.36319444444444443</v>
      </c>
      <c r="AE79" s="43">
        <v>0.22777777777777777</v>
      </c>
      <c r="AF79" s="43"/>
      <c r="AG79" s="43"/>
      <c r="AH79" s="43">
        <v>0.36458333333333331</v>
      </c>
      <c r="AI79" s="43">
        <v>0.13125000000000001</v>
      </c>
      <c r="AJ79" s="10"/>
      <c r="AK79" s="10"/>
      <c r="AL79" s="12"/>
      <c r="AM79" s="12"/>
      <c r="AN79" s="43">
        <v>0.36875000000000002</v>
      </c>
      <c r="AO79" s="43"/>
      <c r="AP79" s="43">
        <v>0.37777777777777777</v>
      </c>
      <c r="AQ79" s="43"/>
      <c r="AR79" s="46">
        <v>0.38194444444444442</v>
      </c>
      <c r="AS79" s="47"/>
      <c r="AT79" s="43">
        <v>0.3840277777777778</v>
      </c>
      <c r="AU79" s="43"/>
      <c r="AV79" s="43">
        <v>0.36736111111111114</v>
      </c>
      <c r="AW79" s="43"/>
      <c r="AX79" s="10"/>
      <c r="AY79" s="10"/>
      <c r="AZ79" s="12"/>
      <c r="BA79" s="12"/>
      <c r="BB79" s="43">
        <v>0.3611111111111111</v>
      </c>
      <c r="BC79" s="43"/>
      <c r="BD79" s="43"/>
      <c r="BE79" s="43"/>
      <c r="BF79" s="43"/>
      <c r="BG79" s="43"/>
      <c r="BH79" s="43"/>
      <c r="BI79" s="43"/>
      <c r="BJ79" s="43"/>
      <c r="BK79" s="43"/>
      <c r="BL79" s="10"/>
      <c r="BM79" s="10"/>
      <c r="BN79" t="str">
        <f t="shared" si="1"/>
        <v>R8|F. TONATIUH CARDENAS|EL SALTO  PARK III</v>
      </c>
    </row>
    <row r="80" spans="1:66" hidden="1">
      <c r="A80" s="8" t="s">
        <v>123</v>
      </c>
      <c r="B80" s="6" t="s">
        <v>132</v>
      </c>
      <c r="C80" s="6" t="s">
        <v>133</v>
      </c>
      <c r="D80" s="13"/>
      <c r="E80" s="13"/>
      <c r="F80" s="41"/>
      <c r="G80" s="41"/>
      <c r="H80" s="39"/>
      <c r="I80" s="39"/>
      <c r="J80" s="13"/>
      <c r="K80" s="13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39"/>
      <c r="W80" s="39"/>
      <c r="X80" s="13"/>
      <c r="Y80" s="13"/>
      <c r="Z80" s="43">
        <v>0.36666666666666664</v>
      </c>
      <c r="AA80" s="43">
        <v>0.13819444444444445</v>
      </c>
      <c r="AB80" s="43">
        <v>0.35486111111111113</v>
      </c>
      <c r="AC80" s="43">
        <v>0.14027777777777778</v>
      </c>
      <c r="AD80" s="43">
        <v>0.38124999999999998</v>
      </c>
      <c r="AE80" s="43">
        <v>0.14027777777777778</v>
      </c>
      <c r="AF80" s="43">
        <v>0.3840277777777778</v>
      </c>
      <c r="AG80" s="43">
        <v>0.15694444444444444</v>
      </c>
      <c r="AH80" s="43">
        <v>0.36805555555555558</v>
      </c>
      <c r="AI80" s="43">
        <v>0.15277777777777779</v>
      </c>
      <c r="AJ80" s="10"/>
      <c r="AK80" s="10"/>
      <c r="AL80" s="12"/>
      <c r="AM80" s="12"/>
      <c r="AN80" s="43">
        <v>0.3840277777777778</v>
      </c>
      <c r="AO80" s="43">
        <v>0.14305555555555555</v>
      </c>
      <c r="AP80" s="43">
        <v>0.38819444444444445</v>
      </c>
      <c r="AQ80" s="43">
        <v>0.14166666666666666</v>
      </c>
      <c r="AR80" s="46">
        <v>0.36180555555555555</v>
      </c>
      <c r="AS80" s="47">
        <v>0.15</v>
      </c>
      <c r="AT80" s="43">
        <v>0.40347222222222223</v>
      </c>
      <c r="AU80" s="43">
        <v>0.14027777777777778</v>
      </c>
      <c r="AV80" s="43">
        <v>0.39374999999999999</v>
      </c>
      <c r="AW80" s="43">
        <v>0.15486111111111112</v>
      </c>
      <c r="AX80" s="10">
        <v>0.37986111111111109</v>
      </c>
      <c r="AY80" s="10">
        <v>0.1</v>
      </c>
      <c r="AZ80" s="12"/>
      <c r="BA80" s="12"/>
      <c r="BB80" s="43">
        <v>0.40208333333333335</v>
      </c>
      <c r="BC80" s="43"/>
      <c r="BD80" s="43"/>
      <c r="BE80" s="43"/>
      <c r="BF80" s="43"/>
      <c r="BG80" s="43"/>
      <c r="BH80" s="43"/>
      <c r="BI80" s="43"/>
      <c r="BJ80" s="43"/>
      <c r="BK80" s="43"/>
      <c r="BL80" s="10"/>
      <c r="BM80" s="10"/>
      <c r="BN80" t="str">
        <f t="shared" si="1"/>
        <v>R8|BRENDA F. MENDOZA|PARQUE INDUSTRIAL TECNOLÓGICO III (PIT III)</v>
      </c>
    </row>
    <row r="81" spans="1:66" hidden="1">
      <c r="A81" s="8" t="s">
        <v>134</v>
      </c>
      <c r="B81" s="6" t="s">
        <v>135</v>
      </c>
      <c r="C81" s="6" t="s">
        <v>136</v>
      </c>
      <c r="D81" s="13"/>
      <c r="E81" s="13"/>
      <c r="F81" s="42">
        <v>0.36041666666666672</v>
      </c>
      <c r="G81" s="42">
        <v>0.64097222222222228</v>
      </c>
      <c r="H81" s="39"/>
      <c r="I81" s="39"/>
      <c r="J81" s="13"/>
      <c r="K81" s="13"/>
      <c r="L81" s="42">
        <v>0.34444444444444439</v>
      </c>
      <c r="M81" s="42">
        <v>0.63541666666666663</v>
      </c>
      <c r="N81" s="42">
        <v>0.34861111111111109</v>
      </c>
      <c r="O81" s="41"/>
      <c r="P81" s="42">
        <v>0.34513888888888888</v>
      </c>
      <c r="Q81" s="42">
        <v>0.65972222222222221</v>
      </c>
      <c r="R81" s="42">
        <v>0.33263888888888887</v>
      </c>
      <c r="S81" s="42">
        <v>0.61805555555555558</v>
      </c>
      <c r="T81" s="42">
        <v>0.33611111111111108</v>
      </c>
      <c r="U81" s="42">
        <v>0.72777777777777775</v>
      </c>
      <c r="V81" s="39"/>
      <c r="W81" s="39"/>
      <c r="X81" s="13"/>
      <c r="Y81" s="13"/>
      <c r="Z81" s="43">
        <v>0.33750000000000002</v>
      </c>
      <c r="AA81" s="43"/>
      <c r="AB81" s="43">
        <v>0.35972222222222222</v>
      </c>
      <c r="AC81" s="43"/>
      <c r="AD81" s="43">
        <v>0.34652777777777777</v>
      </c>
      <c r="AE81" s="43"/>
      <c r="AF81" s="43">
        <v>0.34583333333333333</v>
      </c>
      <c r="AG81" s="43"/>
      <c r="AH81" s="43">
        <v>0.34166666666666667</v>
      </c>
      <c r="AI81" s="43"/>
      <c r="AJ81" s="10"/>
      <c r="AK81" s="10"/>
      <c r="AL81" s="12"/>
      <c r="AM81" s="12"/>
      <c r="AN81" s="43">
        <v>0.36458333333333331</v>
      </c>
      <c r="AO81" s="43"/>
      <c r="AP81" s="43">
        <v>0.35347222222222224</v>
      </c>
      <c r="AQ81" s="43"/>
      <c r="AR81" s="46">
        <v>0.36944444444444446</v>
      </c>
      <c r="AS81" s="47"/>
      <c r="AT81" s="43">
        <v>0.34583333333333333</v>
      </c>
      <c r="AU81" s="43"/>
      <c r="AV81" s="43">
        <v>0.34722222222222221</v>
      </c>
      <c r="AW81" s="43"/>
      <c r="AX81" s="10"/>
      <c r="AY81" s="10"/>
      <c r="AZ81" s="12"/>
      <c r="BA81" s="12"/>
      <c r="BB81" s="43">
        <v>0.38680555555555557</v>
      </c>
      <c r="BC81" s="43"/>
      <c r="BD81" s="43"/>
      <c r="BE81" s="43"/>
      <c r="BF81" s="43"/>
      <c r="BG81" s="43"/>
      <c r="BH81" s="43"/>
      <c r="BI81" s="43"/>
      <c r="BJ81" s="43"/>
      <c r="BK81" s="43"/>
      <c r="BL81" s="10"/>
      <c r="BM81" s="10"/>
      <c r="BN81" t="str">
        <f t="shared" si="1"/>
        <v>R9|RUBEN FLORES|MONTERREY PARK I</v>
      </c>
    </row>
    <row r="82" spans="1:66" hidden="1">
      <c r="A82" s="8" t="s">
        <v>134</v>
      </c>
      <c r="B82" s="6" t="s">
        <v>135</v>
      </c>
      <c r="C82" s="6" t="s">
        <v>137</v>
      </c>
      <c r="D82" s="13"/>
      <c r="E82" s="13"/>
      <c r="F82" s="41"/>
      <c r="G82" s="41"/>
      <c r="H82" s="39"/>
      <c r="I82" s="39"/>
      <c r="J82" s="13"/>
      <c r="K82" s="13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39"/>
      <c r="W82" s="39"/>
      <c r="X82" s="13"/>
      <c r="Y82" s="13"/>
      <c r="Z82" s="43"/>
      <c r="AA82" s="43">
        <v>0.14652777777777778</v>
      </c>
      <c r="AB82" s="43"/>
      <c r="AC82" s="43">
        <v>0.13125000000000001</v>
      </c>
      <c r="AD82" s="43"/>
      <c r="AE82" s="43">
        <v>0.11527777777777778</v>
      </c>
      <c r="AF82" s="43"/>
      <c r="AG82" s="43">
        <v>0.11180555555555556</v>
      </c>
      <c r="AH82" s="43"/>
      <c r="AI82" s="43">
        <v>0.21875</v>
      </c>
      <c r="AJ82" s="10"/>
      <c r="AK82" s="10"/>
      <c r="AL82" s="12"/>
      <c r="AM82" s="12"/>
      <c r="AN82" s="43"/>
      <c r="AO82" s="43">
        <v>0.13194444444444445</v>
      </c>
      <c r="AP82" s="43"/>
      <c r="AQ82" s="43"/>
      <c r="AR82" s="46"/>
      <c r="AS82" s="47">
        <v>0.14930555555555555</v>
      </c>
      <c r="AT82" s="43"/>
      <c r="AU82" s="43">
        <v>0.15694444444444444</v>
      </c>
      <c r="AV82" s="43"/>
      <c r="AW82" s="43"/>
      <c r="AX82" s="10"/>
      <c r="AY82" s="10"/>
      <c r="AZ82" s="12"/>
      <c r="BA82" s="12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10"/>
      <c r="BM82" s="10"/>
      <c r="BN82" t="str">
        <f t="shared" si="1"/>
        <v>R9|RUBEN FLORES|TECNOCENTRO I</v>
      </c>
    </row>
    <row r="83" spans="1:66" hidden="1">
      <c r="A83" s="8" t="s">
        <v>134</v>
      </c>
      <c r="B83" s="6" t="s">
        <v>135</v>
      </c>
      <c r="C83" s="6" t="s">
        <v>138</v>
      </c>
      <c r="D83" s="13"/>
      <c r="E83" s="13"/>
      <c r="F83" s="41"/>
      <c r="G83" s="41"/>
      <c r="H83" s="39"/>
      <c r="I83" s="39"/>
      <c r="J83" s="13"/>
      <c r="K83" s="13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39"/>
      <c r="W83" s="39"/>
      <c r="X83" s="13"/>
      <c r="Y83" s="1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10"/>
      <c r="AK83" s="10"/>
      <c r="AL83" s="12"/>
      <c r="AM83" s="12"/>
      <c r="AN83" s="43"/>
      <c r="AO83" s="43"/>
      <c r="AP83" s="43"/>
      <c r="AQ83" s="43"/>
      <c r="AR83" s="46"/>
      <c r="AS83" s="47"/>
      <c r="AT83" s="43"/>
      <c r="AU83" s="43"/>
      <c r="AV83" s="43"/>
      <c r="AW83" s="43"/>
      <c r="AX83" s="10"/>
      <c r="AY83" s="10"/>
      <c r="AZ83" s="12"/>
      <c r="BA83" s="12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10"/>
      <c r="BM83" s="10"/>
      <c r="BN83" t="str">
        <f t="shared" si="1"/>
        <v>R9|RUBEN FLORES|TECNOCENTRO II</v>
      </c>
    </row>
    <row r="84" spans="1:66" hidden="1">
      <c r="A84" s="8" t="s">
        <v>134</v>
      </c>
      <c r="B84" s="6" t="s">
        <v>135</v>
      </c>
      <c r="C84" s="6" t="s">
        <v>139</v>
      </c>
      <c r="D84" s="13"/>
      <c r="E84" s="13"/>
      <c r="F84" s="41"/>
      <c r="G84" s="41"/>
      <c r="H84" s="39"/>
      <c r="I84" s="39"/>
      <c r="J84" s="13"/>
      <c r="K84" s="13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39"/>
      <c r="W84" s="39"/>
      <c r="X84" s="13"/>
      <c r="Y84" s="1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10"/>
      <c r="AK84" s="10"/>
      <c r="AL84" s="12"/>
      <c r="AM84" s="12"/>
      <c r="AN84" s="43"/>
      <c r="AO84" s="43"/>
      <c r="AP84" s="43"/>
      <c r="AQ84" s="43"/>
      <c r="AR84" s="46"/>
      <c r="AS84" s="47"/>
      <c r="AT84" s="43"/>
      <c r="AU84" s="43"/>
      <c r="AV84" s="43"/>
      <c r="AW84" s="43"/>
      <c r="AX84" s="10"/>
      <c r="AY84" s="10"/>
      <c r="AZ84" s="12"/>
      <c r="BA84" s="12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10"/>
      <c r="BM84" s="10"/>
      <c r="BN84" t="str">
        <f t="shared" si="1"/>
        <v>R9|RUBEN FLORES|TECNOCENTRO III</v>
      </c>
    </row>
    <row r="85" spans="1:66" hidden="1">
      <c r="A85" s="8" t="s">
        <v>134</v>
      </c>
      <c r="B85" s="6" t="s">
        <v>135</v>
      </c>
      <c r="C85" s="6" t="s">
        <v>140</v>
      </c>
      <c r="D85" s="13"/>
      <c r="E85" s="13"/>
      <c r="F85" s="41"/>
      <c r="G85" s="41"/>
      <c r="H85" s="39"/>
      <c r="I85" s="39"/>
      <c r="J85" s="13"/>
      <c r="K85" s="13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39"/>
      <c r="W85" s="39"/>
      <c r="X85" s="13"/>
      <c r="Y85" s="1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10"/>
      <c r="AK85" s="10"/>
      <c r="AL85" s="12"/>
      <c r="AM85" s="12"/>
      <c r="AN85" s="43"/>
      <c r="AO85" s="43"/>
      <c r="AP85" s="43"/>
      <c r="AQ85" s="43"/>
      <c r="AR85" s="46"/>
      <c r="AS85" s="47"/>
      <c r="AT85" s="43"/>
      <c r="AU85" s="43"/>
      <c r="AV85" s="43"/>
      <c r="AW85" s="43"/>
      <c r="AX85" s="10"/>
      <c r="AY85" s="10"/>
      <c r="AZ85" s="12"/>
      <c r="BA85" s="12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10"/>
      <c r="BM85" s="10"/>
      <c r="BN85" t="str">
        <f t="shared" si="1"/>
        <v>R9|RUBEN FLORES|TECNOCENTRO IV</v>
      </c>
    </row>
    <row r="86" spans="1:66" hidden="1">
      <c r="A86" s="8" t="s">
        <v>134</v>
      </c>
      <c r="B86" s="6" t="s">
        <v>141</v>
      </c>
      <c r="C86" s="6" t="s">
        <v>142</v>
      </c>
      <c r="D86" s="13"/>
      <c r="E86" s="13"/>
      <c r="F86" s="41"/>
      <c r="G86" s="41"/>
      <c r="H86" s="39"/>
      <c r="I86" s="39"/>
      <c r="J86" s="13"/>
      <c r="K86" s="13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39"/>
      <c r="W86" s="39"/>
      <c r="X86" s="13"/>
      <c r="Y86" s="13"/>
      <c r="Z86" s="43">
        <v>0.41111111111111109</v>
      </c>
      <c r="AA86" s="43"/>
      <c r="AB86" s="43">
        <v>0.38750000000000001</v>
      </c>
      <c r="AC86" s="43"/>
      <c r="AD86" s="43">
        <v>0.37361111111111112</v>
      </c>
      <c r="AE86" s="43"/>
      <c r="AF86" s="43">
        <v>0.42291666666666666</v>
      </c>
      <c r="AG86" s="43"/>
      <c r="AH86" s="43"/>
      <c r="AI86" s="43"/>
      <c r="AJ86" s="10"/>
      <c r="AK86" s="10"/>
      <c r="AL86" s="12"/>
      <c r="AM86" s="12"/>
      <c r="AN86" s="43">
        <v>0.39444444444444443</v>
      </c>
      <c r="AO86" s="43"/>
      <c r="AP86" s="43"/>
      <c r="AQ86" s="43"/>
      <c r="AR86" s="46">
        <v>0.42152777777777778</v>
      </c>
      <c r="AS86" s="47">
        <v>0.1451388888888889</v>
      </c>
      <c r="AT86" s="43">
        <v>0.39791666666666664</v>
      </c>
      <c r="AU86" s="43">
        <v>0.18194444444444444</v>
      </c>
      <c r="AV86" s="43"/>
      <c r="AW86" s="43"/>
      <c r="AX86" s="10"/>
      <c r="AY86" s="10"/>
      <c r="AZ86" s="12"/>
      <c r="BA86" s="12"/>
      <c r="BB86" s="43">
        <v>0.39027777777777778</v>
      </c>
      <c r="BC86" s="43"/>
      <c r="BD86" s="43"/>
      <c r="BE86" s="43"/>
      <c r="BF86" s="43"/>
      <c r="BG86" s="43"/>
      <c r="BH86" s="43"/>
      <c r="BI86" s="43"/>
      <c r="BJ86" s="43"/>
      <c r="BK86" s="43"/>
      <c r="BL86" s="10"/>
      <c r="BM86" s="10"/>
      <c r="BN86" t="str">
        <f t="shared" si="1"/>
        <v>R9|GUILLERMO ROMO CASTILLO|MBP</v>
      </c>
    </row>
    <row r="87" spans="1:66" hidden="1">
      <c r="A87" s="8" t="s">
        <v>134</v>
      </c>
      <c r="B87" s="6" t="s">
        <v>141</v>
      </c>
      <c r="C87" s="6" t="s">
        <v>143</v>
      </c>
      <c r="D87" s="13"/>
      <c r="E87" s="13"/>
      <c r="F87" s="41"/>
      <c r="G87" s="41"/>
      <c r="H87" s="39"/>
      <c r="I87" s="39"/>
      <c r="J87" s="13"/>
      <c r="K87" s="13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39"/>
      <c r="W87" s="39"/>
      <c r="X87" s="13"/>
      <c r="Y87" s="1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10"/>
      <c r="AK87" s="10"/>
      <c r="AL87" s="12"/>
      <c r="AM87" s="12"/>
      <c r="AN87" s="43"/>
      <c r="AO87" s="43"/>
      <c r="AP87" s="43"/>
      <c r="AQ87" s="43"/>
      <c r="AR87" s="46"/>
      <c r="AS87" s="47"/>
      <c r="AT87" s="43"/>
      <c r="AU87" s="43"/>
      <c r="AV87" s="43"/>
      <c r="AW87" s="43"/>
      <c r="AX87" s="10"/>
      <c r="AY87" s="10"/>
      <c r="AZ87" s="12"/>
      <c r="BA87" s="12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10"/>
      <c r="BM87" s="10"/>
      <c r="BN87" t="str">
        <f t="shared" si="1"/>
        <v>R9|GUILLERMO ROMO CASTILLO|GUADALAPE</v>
      </c>
    </row>
    <row r="88" spans="1:66" hidden="1">
      <c r="A88" s="8" t="s">
        <v>134</v>
      </c>
      <c r="B88" s="6" t="s">
        <v>141</v>
      </c>
      <c r="C88" s="6" t="s">
        <v>144</v>
      </c>
      <c r="D88" s="13"/>
      <c r="E88" s="13"/>
      <c r="F88" s="41"/>
      <c r="G88" s="41"/>
      <c r="H88" s="39"/>
      <c r="I88" s="39"/>
      <c r="J88" s="13"/>
      <c r="K88" s="13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39"/>
      <c r="W88" s="39"/>
      <c r="X88" s="13"/>
      <c r="Y88" s="1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10"/>
      <c r="AK88" s="10"/>
      <c r="AL88" s="12"/>
      <c r="AM88" s="12"/>
      <c r="AN88" s="43"/>
      <c r="AO88" s="43"/>
      <c r="AP88" s="43"/>
      <c r="AQ88" s="43"/>
      <c r="AR88" s="46"/>
      <c r="AS88" s="47"/>
      <c r="AT88" s="43"/>
      <c r="AU88" s="43"/>
      <c r="AV88" s="43"/>
      <c r="AW88" s="43"/>
      <c r="AX88" s="10"/>
      <c r="AY88" s="10"/>
      <c r="AZ88" s="12"/>
      <c r="BA88" s="12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10"/>
      <c r="BM88" s="10"/>
      <c r="BN88" t="str">
        <f t="shared" si="1"/>
        <v>R9|GUILLERMO ROMO CASTILLO|KRONOS</v>
      </c>
    </row>
    <row r="89" spans="1:66" hidden="1">
      <c r="A89" s="8" t="s">
        <v>134</v>
      </c>
      <c r="B89" s="6" t="s">
        <v>145</v>
      </c>
      <c r="C89" s="6" t="s">
        <v>146</v>
      </c>
      <c r="D89" s="13"/>
      <c r="E89" s="13"/>
      <c r="F89" s="41"/>
      <c r="G89" s="41"/>
      <c r="H89" s="39"/>
      <c r="I89" s="39"/>
      <c r="J89" s="13"/>
      <c r="K89" s="13"/>
      <c r="L89" s="41"/>
      <c r="M89" s="41"/>
      <c r="N89" s="41"/>
      <c r="O89" s="41"/>
      <c r="P89" s="42">
        <v>0.38263888888888892</v>
      </c>
      <c r="Q89" s="42">
        <v>0.6381944444444444</v>
      </c>
      <c r="R89" s="42">
        <v>0.4201388888888889</v>
      </c>
      <c r="S89" s="42">
        <v>0.63263888888888886</v>
      </c>
      <c r="T89" s="42">
        <v>0.40138888888888891</v>
      </c>
      <c r="U89" s="41"/>
      <c r="V89" s="39"/>
      <c r="W89" s="39"/>
      <c r="X89" s="13"/>
      <c r="Y89" s="13"/>
      <c r="Z89" s="43">
        <v>0.39374999999999999</v>
      </c>
      <c r="AA89" s="43">
        <v>0.14166666666666666</v>
      </c>
      <c r="AB89" s="43">
        <v>0.41736111111111113</v>
      </c>
      <c r="AC89" s="43">
        <v>0.15902777777777777</v>
      </c>
      <c r="AD89" s="43">
        <v>0.4201388888888889</v>
      </c>
      <c r="AE89" s="43">
        <v>0.14722222222222223</v>
      </c>
      <c r="AF89" s="43">
        <v>0.45833333333333331</v>
      </c>
      <c r="AG89" s="43">
        <v>0.1451388888888889</v>
      </c>
      <c r="AH89" s="43"/>
      <c r="AI89" s="43">
        <v>0.16805555555555557</v>
      </c>
      <c r="AJ89" s="10"/>
      <c r="AK89" s="10"/>
      <c r="AL89" s="12"/>
      <c r="AM89" s="12"/>
      <c r="AN89" s="43"/>
      <c r="AO89" s="43"/>
      <c r="AP89" s="43"/>
      <c r="AQ89" s="43"/>
      <c r="AR89" s="46">
        <v>0.41458333333333336</v>
      </c>
      <c r="AS89" s="47">
        <v>0.1986111111111111</v>
      </c>
      <c r="AT89" s="43">
        <v>0.39791666666666664</v>
      </c>
      <c r="AU89" s="43"/>
      <c r="AV89" s="43"/>
      <c r="AW89" s="43"/>
      <c r="AX89" s="10"/>
      <c r="AY89" s="10"/>
      <c r="AZ89" s="12"/>
      <c r="BA89" s="12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10"/>
      <c r="BM89" s="10"/>
      <c r="BN89" t="str">
        <f t="shared" si="1"/>
        <v>R9|ANDREA VERGARA|MAQUIL PARK</v>
      </c>
    </row>
    <row r="90" spans="1:66" hidden="1">
      <c r="A90" s="8" t="s">
        <v>147</v>
      </c>
      <c r="B90" s="6" t="s">
        <v>148</v>
      </c>
      <c r="C90" s="6" t="s">
        <v>149</v>
      </c>
      <c r="D90" s="13"/>
      <c r="E90" s="13"/>
      <c r="F90" s="42">
        <v>0.3527777777777778</v>
      </c>
      <c r="G90" s="42">
        <v>0.60347222222222219</v>
      </c>
      <c r="H90" s="39"/>
      <c r="I90" s="39"/>
      <c r="J90" s="13"/>
      <c r="K90" s="13"/>
      <c r="L90" s="42">
        <v>0.34652777777777782</v>
      </c>
      <c r="M90" s="42">
        <v>0.63402777777777775</v>
      </c>
      <c r="N90" s="42">
        <v>0.34097222222222218</v>
      </c>
      <c r="O90" s="42">
        <v>0.65625</v>
      </c>
      <c r="P90" s="42">
        <v>0.34375</v>
      </c>
      <c r="Q90" s="42">
        <v>0.66180555555555554</v>
      </c>
      <c r="R90" s="42">
        <v>0.35138888888888892</v>
      </c>
      <c r="S90" s="42">
        <v>0.62708333333333333</v>
      </c>
      <c r="T90" s="41"/>
      <c r="U90" s="41"/>
      <c r="V90" s="40">
        <v>0.36736111111111108</v>
      </c>
      <c r="W90" s="39"/>
      <c r="X90" s="13"/>
      <c r="Y90" s="13"/>
      <c r="Z90" s="43">
        <v>0.35347222222222224</v>
      </c>
      <c r="AA90" s="43">
        <v>0.15902777777777777</v>
      </c>
      <c r="AB90" s="43">
        <v>0.37083333333333335</v>
      </c>
      <c r="AC90" s="43">
        <v>0.14305555555555555</v>
      </c>
      <c r="AD90" s="43">
        <v>0.35555555555555557</v>
      </c>
      <c r="AE90" s="43">
        <v>0.14583333333333334</v>
      </c>
      <c r="AF90" s="43">
        <v>0.33680555555555558</v>
      </c>
      <c r="AG90" s="43">
        <v>0.15555555555555556</v>
      </c>
      <c r="AH90" s="43">
        <v>0.33750000000000002</v>
      </c>
      <c r="AI90" s="43">
        <v>0.14861111111111111</v>
      </c>
      <c r="AJ90" s="10">
        <v>0.39374999999999999</v>
      </c>
      <c r="AK90" s="10"/>
      <c r="AL90" s="12"/>
      <c r="AM90" s="12"/>
      <c r="AN90" s="43">
        <v>0.33055555555555555</v>
      </c>
      <c r="AO90" s="43">
        <v>0.1673611111111111</v>
      </c>
      <c r="AP90" s="43">
        <v>0.37083333333333335</v>
      </c>
      <c r="AQ90" s="43">
        <v>0.15555555555555556</v>
      </c>
      <c r="AR90" s="43">
        <v>0.35138888888888886</v>
      </c>
      <c r="AS90" s="43">
        <v>0.15</v>
      </c>
      <c r="AT90" s="43">
        <v>0.35902777777777778</v>
      </c>
      <c r="AU90" s="43">
        <v>0.15555555555555556</v>
      </c>
      <c r="AV90" s="43">
        <v>0.34930555555555554</v>
      </c>
      <c r="AW90" s="43">
        <v>0.16180555555555556</v>
      </c>
      <c r="AX90" s="10"/>
      <c r="AY90" s="10"/>
      <c r="AZ90" s="12"/>
      <c r="BA90" s="12"/>
      <c r="BB90" s="43">
        <v>0.38263888888888886</v>
      </c>
      <c r="BC90" s="43"/>
      <c r="BD90" s="43"/>
      <c r="BE90" s="43"/>
      <c r="BF90" s="43"/>
      <c r="BG90" s="43"/>
      <c r="BH90" s="43"/>
      <c r="BI90" s="43"/>
      <c r="BJ90" s="43"/>
      <c r="BK90" s="43"/>
      <c r="BL90" s="10"/>
      <c r="BM90" s="10"/>
      <c r="BN90" t="str">
        <f t="shared" si="1"/>
        <v>R10|PAOLA N. PERALTA|CANCÚN  PARK</v>
      </c>
    </row>
    <row r="91" spans="1:66" s="18" customFormat="1" ht="15.75" customHeight="1">
      <c r="A91" s="14" t="s">
        <v>150</v>
      </c>
      <c r="B91" s="15" t="s">
        <v>151</v>
      </c>
      <c r="C91" s="16" t="s">
        <v>152</v>
      </c>
      <c r="D91" s="12"/>
      <c r="E91" s="12"/>
      <c r="F91" s="43"/>
      <c r="G91" s="43"/>
      <c r="H91" s="11"/>
      <c r="I91" s="11"/>
      <c r="J91" s="12"/>
      <c r="K91" s="12"/>
      <c r="L91" s="43"/>
      <c r="M91" s="43"/>
      <c r="N91" s="43"/>
      <c r="O91" s="43"/>
      <c r="P91" s="43">
        <v>0.34722222222222221</v>
      </c>
      <c r="Q91" s="43"/>
      <c r="R91" s="43"/>
      <c r="S91" s="43"/>
      <c r="T91" s="43"/>
      <c r="U91" s="43"/>
      <c r="V91" s="11"/>
      <c r="W91" s="11"/>
      <c r="X91" s="12"/>
      <c r="Y91" s="12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11"/>
      <c r="AK91" s="11"/>
      <c r="AL91" s="12"/>
      <c r="AM91" s="12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11"/>
      <c r="AY91" s="11"/>
      <c r="AZ91" s="12"/>
      <c r="BA91" s="12"/>
      <c r="BB91" s="43">
        <v>0.4284722222222222</v>
      </c>
      <c r="BC91" s="43"/>
      <c r="BD91" s="43"/>
      <c r="BE91" s="43"/>
      <c r="BF91" s="43"/>
      <c r="BG91" s="43"/>
      <c r="BH91" s="43"/>
      <c r="BI91" s="43"/>
      <c r="BJ91" s="43"/>
      <c r="BK91" s="43"/>
      <c r="BL91" s="11"/>
      <c r="BM91" s="11"/>
      <c r="BN91" s="17" t="str">
        <f t="shared" si="1"/>
        <v>GRUPO BALBROS|ADRIANA GARZÓN|MICROPARKS CARTAGENA</v>
      </c>
    </row>
    <row r="92" spans="1:66" s="18" customFormat="1" ht="15" customHeight="1">
      <c r="A92" s="19" t="s">
        <v>150</v>
      </c>
      <c r="B92" s="20" t="s">
        <v>151</v>
      </c>
      <c r="C92" s="21" t="s">
        <v>153</v>
      </c>
      <c r="D92" s="12"/>
      <c r="E92" s="12"/>
      <c r="F92" s="43"/>
      <c r="G92" s="43"/>
      <c r="H92" s="11"/>
      <c r="I92" s="11"/>
      <c r="J92" s="12"/>
      <c r="K92" s="12"/>
      <c r="L92" s="43">
        <v>0.37986111111111109</v>
      </c>
      <c r="M92" s="43"/>
      <c r="N92" s="43"/>
      <c r="O92" s="43"/>
      <c r="P92" s="43"/>
      <c r="Q92" s="43"/>
      <c r="R92" s="43"/>
      <c r="S92" s="43"/>
      <c r="T92" s="43">
        <v>0.37361111111111112</v>
      </c>
      <c r="U92" s="43"/>
      <c r="V92" s="11"/>
      <c r="W92" s="11"/>
      <c r="X92" s="12"/>
      <c r="Y92" s="12"/>
      <c r="Z92" s="43"/>
      <c r="AA92" s="43"/>
      <c r="AB92" s="43"/>
      <c r="AC92" s="43"/>
      <c r="AD92" s="43">
        <v>0.39027777777777778</v>
      </c>
      <c r="AE92" s="43"/>
      <c r="AF92" s="43"/>
      <c r="AG92" s="43"/>
      <c r="AH92" s="43"/>
      <c r="AI92" s="43"/>
      <c r="AJ92" s="11"/>
      <c r="AK92" s="11"/>
      <c r="AL92" s="12"/>
      <c r="AM92" s="12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11"/>
      <c r="AY92" s="11"/>
      <c r="AZ92" s="12"/>
      <c r="BA92" s="12"/>
      <c r="BB92" s="43">
        <v>0.37986111111111109</v>
      </c>
      <c r="BC92" s="43"/>
      <c r="BD92" s="43"/>
      <c r="BE92" s="43"/>
      <c r="BF92" s="43"/>
      <c r="BG92" s="43"/>
      <c r="BH92" s="43"/>
      <c r="BI92" s="43"/>
      <c r="BJ92" s="43"/>
      <c r="BK92" s="43"/>
      <c r="BL92" s="11"/>
      <c r="BM92" s="11"/>
    </row>
    <row r="93" spans="1:66" s="18" customFormat="1" ht="15" customHeight="1">
      <c r="A93" s="19" t="s">
        <v>150</v>
      </c>
      <c r="B93" s="20" t="s">
        <v>151</v>
      </c>
      <c r="C93" s="21" t="s">
        <v>154</v>
      </c>
      <c r="D93" s="12"/>
      <c r="E93" s="12"/>
      <c r="F93" s="43"/>
      <c r="G93" s="43"/>
      <c r="H93" s="11"/>
      <c r="I93" s="11"/>
      <c r="J93" s="12"/>
      <c r="K93" s="12"/>
      <c r="L93" s="43"/>
      <c r="M93" s="43"/>
      <c r="N93" s="43">
        <v>0.42916666666666664</v>
      </c>
      <c r="O93" s="43"/>
      <c r="P93" s="43"/>
      <c r="Q93" s="43"/>
      <c r="R93" s="43">
        <v>0.37291666666666667</v>
      </c>
      <c r="S93" s="43">
        <v>0.18819444444444444</v>
      </c>
      <c r="T93" s="43"/>
      <c r="U93" s="43">
        <v>0.15902777777777777</v>
      </c>
      <c r="V93" s="11"/>
      <c r="W93" s="11"/>
      <c r="X93" s="12"/>
      <c r="Y93" s="12"/>
      <c r="Z93" s="43">
        <v>0.42152777777777778</v>
      </c>
      <c r="AA93" s="43">
        <v>0.2</v>
      </c>
      <c r="AB93" s="43">
        <v>0.3840277777777778</v>
      </c>
      <c r="AC93" s="43">
        <v>0.18611111111111112</v>
      </c>
      <c r="AD93" s="43"/>
      <c r="AE93" s="43">
        <v>0.18958333333333333</v>
      </c>
      <c r="AF93" s="43">
        <v>0.38611111111111113</v>
      </c>
      <c r="AG93" s="43"/>
      <c r="AH93" s="43">
        <v>0.3923611111111111</v>
      </c>
      <c r="AI93" s="43">
        <v>0.15902777777777777</v>
      </c>
      <c r="AJ93" s="11"/>
      <c r="AK93" s="11"/>
      <c r="AL93" s="12"/>
      <c r="AM93" s="12"/>
      <c r="AN93" s="43"/>
      <c r="AO93" s="43">
        <v>0.19097222222222221</v>
      </c>
      <c r="AP93" s="43"/>
      <c r="AQ93" s="43"/>
      <c r="AR93" s="43">
        <v>0.3</v>
      </c>
      <c r="AS93" s="43"/>
      <c r="AT93" s="43"/>
      <c r="AU93" s="43"/>
      <c r="AV93" s="43"/>
      <c r="AW93" s="43"/>
      <c r="AX93" s="11"/>
      <c r="AY93" s="11"/>
      <c r="AZ93" s="12"/>
      <c r="BA93" s="12"/>
      <c r="BB93" s="43">
        <v>0.37986111111111109</v>
      </c>
      <c r="BC93" s="43"/>
      <c r="BD93" s="43"/>
      <c r="BE93" s="43"/>
      <c r="BF93" s="43"/>
      <c r="BG93" s="43"/>
      <c r="BH93" s="43"/>
      <c r="BI93" s="43"/>
      <c r="BJ93" s="43"/>
      <c r="BK93" s="43"/>
      <c r="BL93" s="11"/>
      <c r="BM93" s="11"/>
    </row>
    <row r="94" spans="1:66" s="18" customFormat="1" ht="15" customHeight="1">
      <c r="A94" s="19" t="s">
        <v>150</v>
      </c>
      <c r="B94" s="20" t="s">
        <v>155</v>
      </c>
      <c r="C94" s="21" t="s">
        <v>156</v>
      </c>
      <c r="D94" s="12"/>
      <c r="E94" s="12"/>
      <c r="F94" s="43">
        <v>0.40486111111111112</v>
      </c>
      <c r="G94" s="43">
        <v>0.15486111111111112</v>
      </c>
      <c r="H94" s="11">
        <v>0.40902777777777777</v>
      </c>
      <c r="I94" s="11"/>
      <c r="J94" s="12"/>
      <c r="K94" s="12"/>
      <c r="L94" s="43">
        <v>0.39861111111111114</v>
      </c>
      <c r="M94" s="43">
        <v>0.16527777777777777</v>
      </c>
      <c r="N94" s="43">
        <v>0.39027777777777778</v>
      </c>
      <c r="O94" s="43"/>
      <c r="P94" s="43"/>
      <c r="Q94" s="43">
        <v>0.17499999999999999</v>
      </c>
      <c r="R94" s="43">
        <v>0.3972222222222222</v>
      </c>
      <c r="S94" s="43">
        <v>0.13402777777777777</v>
      </c>
      <c r="T94" s="43">
        <v>0.41041666666666665</v>
      </c>
      <c r="U94" s="43">
        <v>0.15763888888888888</v>
      </c>
      <c r="V94" s="11"/>
      <c r="W94" s="11"/>
      <c r="X94" s="12"/>
      <c r="Y94" s="12"/>
      <c r="Z94" s="43">
        <v>0.39097222222222222</v>
      </c>
      <c r="AA94" s="43">
        <v>0.14305555555555555</v>
      </c>
      <c r="AB94" s="43">
        <v>0.38680555555555557</v>
      </c>
      <c r="AC94" s="43">
        <v>0.14305555555555555</v>
      </c>
      <c r="AD94" s="43">
        <v>0.3923611111111111</v>
      </c>
      <c r="AE94" s="43">
        <v>0.14583333333333334</v>
      </c>
      <c r="AF94" s="43">
        <v>0.39444444444444443</v>
      </c>
      <c r="AG94" s="43"/>
      <c r="AH94" s="43">
        <v>0.41111111111111109</v>
      </c>
      <c r="AI94" s="43">
        <v>0.14930555555555555</v>
      </c>
      <c r="AJ94" s="11"/>
      <c r="AK94" s="11"/>
      <c r="AL94" s="12"/>
      <c r="AM94" s="12"/>
      <c r="AN94" s="43">
        <v>0.39652777777777776</v>
      </c>
      <c r="AO94" s="43">
        <v>0.15416666666666667</v>
      </c>
      <c r="AP94" s="43">
        <v>0.40833333333333333</v>
      </c>
      <c r="AQ94" s="43">
        <v>0.16527777777777777</v>
      </c>
      <c r="AR94" s="43"/>
      <c r="AS94" s="43">
        <v>0.14166666666666666</v>
      </c>
      <c r="AT94" s="43"/>
      <c r="AU94" s="43"/>
      <c r="AV94" s="43"/>
      <c r="AW94" s="43">
        <v>0.14305555555555555</v>
      </c>
      <c r="AX94" s="11"/>
      <c r="AY94" s="11"/>
      <c r="AZ94" s="12"/>
      <c r="BA94" s="12"/>
      <c r="BB94" s="43">
        <v>0.39097222222222222</v>
      </c>
      <c r="BC94" s="43"/>
      <c r="BD94" s="43"/>
      <c r="BE94" s="43"/>
      <c r="BF94" s="43"/>
      <c r="BG94" s="43"/>
      <c r="BH94" s="43"/>
      <c r="BI94" s="43"/>
      <c r="BJ94" s="43"/>
      <c r="BK94" s="43"/>
      <c r="BL94" s="11"/>
      <c r="BM94" s="11"/>
    </row>
    <row r="95" spans="1:66" s="18" customFormat="1" ht="15" customHeight="1">
      <c r="A95" s="19" t="s">
        <v>150</v>
      </c>
      <c r="B95" s="20" t="s">
        <v>157</v>
      </c>
      <c r="C95" s="21" t="s">
        <v>158</v>
      </c>
      <c r="D95" s="12"/>
      <c r="E95" s="12"/>
      <c r="F95" s="43"/>
      <c r="G95" s="43"/>
      <c r="H95" s="11"/>
      <c r="I95" s="11"/>
      <c r="J95" s="12"/>
      <c r="K95" s="12"/>
      <c r="L95" s="43">
        <v>0.43333333333333335</v>
      </c>
      <c r="M95" s="43">
        <v>0.15486111111111112</v>
      </c>
      <c r="N95" s="43"/>
      <c r="O95" s="43"/>
      <c r="P95" s="43"/>
      <c r="Q95" s="43"/>
      <c r="R95" s="43">
        <v>0.40277777777777779</v>
      </c>
      <c r="S95" s="43">
        <v>0.13333333333333333</v>
      </c>
      <c r="T95" s="43">
        <v>0.43680555555555556</v>
      </c>
      <c r="U95" s="43">
        <v>0.15208333333333332</v>
      </c>
      <c r="V95" s="11"/>
      <c r="W95" s="11"/>
      <c r="X95" s="12"/>
      <c r="Y95" s="12"/>
      <c r="Z95" s="43">
        <v>0.53055555555555556</v>
      </c>
      <c r="AA95" s="43"/>
      <c r="AB95" s="43">
        <v>0.44097222222222221</v>
      </c>
      <c r="AC95" s="43">
        <v>0.16458333333333333</v>
      </c>
      <c r="AD95" s="43">
        <v>0.43611111111111112</v>
      </c>
      <c r="AE95" s="43">
        <v>0.16250000000000001</v>
      </c>
      <c r="AF95" s="43"/>
      <c r="AG95" s="43"/>
      <c r="AH95" s="43">
        <v>0.41249999999999998</v>
      </c>
      <c r="AI95" s="43"/>
      <c r="AJ95" s="11"/>
      <c r="AK95" s="11"/>
      <c r="AL95" s="12"/>
      <c r="AM95" s="12"/>
      <c r="AN95" s="43">
        <v>0.42916666666666664</v>
      </c>
      <c r="AO95" s="43">
        <v>0.24027777777777778</v>
      </c>
      <c r="AP95" s="43"/>
      <c r="AQ95" s="43">
        <v>0.1986111111111111</v>
      </c>
      <c r="AR95" s="43"/>
      <c r="AS95" s="43"/>
      <c r="AT95" s="43"/>
      <c r="AU95" s="43">
        <v>0.15069444444444444</v>
      </c>
      <c r="AV95" s="43">
        <v>0.49930555555555556</v>
      </c>
      <c r="AW95" s="43">
        <v>0.19444444444444445</v>
      </c>
      <c r="AX95" s="11"/>
      <c r="AY95" s="11"/>
      <c r="AZ95" s="12"/>
      <c r="BA95" s="12"/>
      <c r="BB95" s="43">
        <v>0.43402777777777779</v>
      </c>
      <c r="BC95" s="43"/>
      <c r="BD95" s="43"/>
      <c r="BE95" s="43"/>
      <c r="BF95" s="43"/>
      <c r="BG95" s="43"/>
      <c r="BH95" s="43"/>
      <c r="BI95" s="43"/>
      <c r="BJ95" s="43"/>
      <c r="BK95" s="43"/>
      <c r="BL95" s="11"/>
      <c r="BM95" s="11"/>
    </row>
    <row r="96" spans="1:66" s="18" customFormat="1" ht="15" customHeight="1">
      <c r="A96" s="19" t="s">
        <v>150</v>
      </c>
      <c r="B96" s="20" t="s">
        <v>157</v>
      </c>
      <c r="C96" s="21" t="s">
        <v>159</v>
      </c>
      <c r="D96" s="12"/>
      <c r="E96" s="12"/>
      <c r="F96" s="43"/>
      <c r="G96" s="43"/>
      <c r="H96" s="11"/>
      <c r="I96" s="11"/>
      <c r="J96" s="12"/>
      <c r="K96" s="12"/>
      <c r="L96" s="43"/>
      <c r="M96" s="43"/>
      <c r="N96" s="43">
        <v>0.43680555555555556</v>
      </c>
      <c r="O96" s="43"/>
      <c r="P96" s="43"/>
      <c r="Q96" s="43"/>
      <c r="R96" s="43"/>
      <c r="S96" s="43"/>
      <c r="T96" s="43"/>
      <c r="U96" s="43"/>
      <c r="V96" s="11"/>
      <c r="W96" s="11"/>
      <c r="X96" s="12"/>
      <c r="Y96" s="12"/>
      <c r="Z96" s="43">
        <v>0.53055555555555556</v>
      </c>
      <c r="AA96" s="43"/>
      <c r="AB96" s="43"/>
      <c r="AC96" s="43"/>
      <c r="AD96" s="43"/>
      <c r="AE96" s="43"/>
      <c r="AF96" s="43"/>
      <c r="AG96" s="43"/>
      <c r="AH96" s="43"/>
      <c r="AI96" s="43"/>
      <c r="AJ96" s="11"/>
      <c r="AK96" s="11"/>
      <c r="AL96" s="12"/>
      <c r="AM96" s="12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11"/>
      <c r="AY96" s="11"/>
      <c r="AZ96" s="12"/>
      <c r="BA96" s="12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11"/>
      <c r="BM96" s="11"/>
    </row>
    <row r="97" spans="1:65" s="18" customFormat="1" ht="15" customHeight="1">
      <c r="A97" s="19" t="s">
        <v>150</v>
      </c>
      <c r="B97" s="20" t="s">
        <v>160</v>
      </c>
      <c r="C97" s="21" t="s">
        <v>161</v>
      </c>
      <c r="D97" s="12"/>
      <c r="E97" s="12"/>
      <c r="F97" s="43"/>
      <c r="G97" s="43"/>
      <c r="H97" s="11"/>
      <c r="I97" s="11"/>
      <c r="J97" s="12"/>
      <c r="K97" s="12"/>
      <c r="L97" s="43">
        <v>0.41805555555555557</v>
      </c>
      <c r="M97" s="43">
        <v>0.2326388888888889</v>
      </c>
      <c r="N97" s="43">
        <v>0.3923611111111111</v>
      </c>
      <c r="O97" s="43">
        <v>0.22777777777777777</v>
      </c>
      <c r="P97" s="43">
        <v>0.39861111111111114</v>
      </c>
      <c r="Q97" s="43">
        <v>0.21597222222222223</v>
      </c>
      <c r="R97" s="43">
        <v>0.44027777777777777</v>
      </c>
      <c r="S97" s="43">
        <v>0.22291666666666668</v>
      </c>
      <c r="T97" s="43">
        <v>0.39374999999999999</v>
      </c>
      <c r="U97" s="43">
        <v>0.28888888888888886</v>
      </c>
      <c r="V97" s="11"/>
      <c r="W97" s="11"/>
      <c r="X97" s="12"/>
      <c r="Y97" s="12"/>
      <c r="Z97" s="43">
        <v>0.41736111111111113</v>
      </c>
      <c r="AA97" s="43">
        <v>0.28749999999999998</v>
      </c>
      <c r="AB97" s="43">
        <v>0.46597222222222223</v>
      </c>
      <c r="AC97" s="43">
        <v>0.24583333333333332</v>
      </c>
      <c r="AD97" s="43">
        <v>0.39444444444444443</v>
      </c>
      <c r="AE97" s="43"/>
      <c r="AF97" s="43">
        <v>0.41111111111111109</v>
      </c>
      <c r="AG97" s="43">
        <v>0.25</v>
      </c>
      <c r="AH97" s="43"/>
      <c r="AI97" s="43">
        <v>0.26319444444444445</v>
      </c>
      <c r="AJ97" s="11"/>
      <c r="AK97" s="11"/>
      <c r="AL97" s="12"/>
      <c r="AM97" s="12"/>
      <c r="AN97" s="43"/>
      <c r="AO97" s="43"/>
      <c r="AP97" s="43"/>
      <c r="AQ97" s="43"/>
      <c r="AR97" s="43"/>
      <c r="AS97" s="43"/>
      <c r="AT97" s="43">
        <v>0.44236111111111109</v>
      </c>
      <c r="AU97" s="43"/>
      <c r="AV97" s="43"/>
      <c r="AW97" s="43">
        <v>0.21527777777777779</v>
      </c>
      <c r="AX97" s="11"/>
      <c r="AY97" s="11"/>
      <c r="AZ97" s="12"/>
      <c r="BA97" s="12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11"/>
      <c r="BM97" s="11"/>
    </row>
    <row r="98" spans="1:65" s="18" customFormat="1" ht="15" customHeight="1">
      <c r="A98" s="19" t="s">
        <v>150</v>
      </c>
      <c r="B98" s="20" t="s">
        <v>162</v>
      </c>
      <c r="C98" s="21" t="s">
        <v>163</v>
      </c>
      <c r="D98" s="12"/>
      <c r="E98" s="12"/>
      <c r="F98" s="43">
        <v>0.11388888888888889</v>
      </c>
      <c r="G98" s="43">
        <v>0.22013888888888888</v>
      </c>
      <c r="H98" s="11"/>
      <c r="I98" s="11"/>
      <c r="J98" s="12"/>
      <c r="K98" s="12"/>
      <c r="L98" s="43">
        <v>0.45694444444444443</v>
      </c>
      <c r="M98" s="43">
        <v>0.23680555555555555</v>
      </c>
      <c r="N98" s="43"/>
      <c r="O98" s="43">
        <v>0.18263888888888888</v>
      </c>
      <c r="P98" s="43">
        <v>0.45277777777777778</v>
      </c>
      <c r="Q98" s="43">
        <v>0.22500000000000001</v>
      </c>
      <c r="R98" s="43">
        <v>0.44444444444444442</v>
      </c>
      <c r="S98" s="43"/>
      <c r="T98" s="43">
        <v>0.42222222222222222</v>
      </c>
      <c r="U98" s="43"/>
      <c r="V98" s="11"/>
      <c r="W98" s="11"/>
      <c r="X98" s="12"/>
      <c r="Y98" s="12"/>
      <c r="Z98" s="43">
        <v>0.43958333333333333</v>
      </c>
      <c r="AA98" s="43"/>
      <c r="AB98" s="43">
        <v>0.43263888888888891</v>
      </c>
      <c r="AC98" s="43">
        <v>0.25069444444444444</v>
      </c>
      <c r="AD98" s="43"/>
      <c r="AE98" s="43">
        <v>0.25416666666666665</v>
      </c>
      <c r="AF98" s="43">
        <v>0.44583333333333336</v>
      </c>
      <c r="AG98" s="43"/>
      <c r="AH98" s="43">
        <v>0.43055555555555558</v>
      </c>
      <c r="AI98" s="43"/>
      <c r="AJ98" s="11"/>
      <c r="AK98" s="11"/>
      <c r="AL98" s="12"/>
      <c r="AM98" s="12"/>
      <c r="AN98" s="43">
        <v>0.44027777777777777</v>
      </c>
      <c r="AO98" s="43">
        <v>0.27361111111111114</v>
      </c>
      <c r="AP98" s="43">
        <v>0.42222222222222222</v>
      </c>
      <c r="AQ98" s="43"/>
      <c r="AR98" s="43">
        <v>0.44027777777777777</v>
      </c>
      <c r="AS98" s="43">
        <v>0.25069444444444444</v>
      </c>
      <c r="AT98" s="43"/>
      <c r="AU98" s="43"/>
      <c r="AV98" s="43"/>
      <c r="AW98" s="43"/>
      <c r="AX98" s="11"/>
      <c r="AY98" s="11"/>
      <c r="AZ98" s="12"/>
      <c r="BA98" s="12"/>
      <c r="BB98" s="43">
        <v>0.42708333333333331</v>
      </c>
      <c r="BC98" s="43"/>
      <c r="BD98" s="43"/>
      <c r="BE98" s="43"/>
      <c r="BF98" s="43"/>
      <c r="BG98" s="43"/>
      <c r="BH98" s="43"/>
      <c r="BI98" s="43"/>
      <c r="BJ98" s="43"/>
      <c r="BK98" s="43"/>
      <c r="BL98" s="11"/>
      <c r="BM98" s="11"/>
    </row>
    <row r="99" spans="1:65" ht="15" customHeight="1">
      <c r="A99" s="3"/>
      <c r="B99" s="2"/>
      <c r="C99" s="4"/>
      <c r="D99" s="3"/>
    </row>
    <row r="100" spans="1:65">
      <c r="A100" s="3"/>
      <c r="B100" s="3"/>
      <c r="D100" s="3"/>
    </row>
    <row r="101" spans="1:65">
      <c r="B101" s="3"/>
      <c r="C101" s="3"/>
      <c r="D101" s="3"/>
    </row>
    <row r="102" spans="1:65">
      <c r="B102" s="3"/>
      <c r="C102" s="3"/>
      <c r="D102" s="3"/>
    </row>
  </sheetData>
  <autoFilter ref="A1:BN98" xr:uid="{700EDD63-CC53-4927-A858-FF7E0038D571}">
    <filterColumn colId="0">
      <filters>
        <filter val="GRUPO BALBROS"/>
      </filters>
    </filterColumn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4">
    <mergeCell ref="T1:U1"/>
    <mergeCell ref="A1:A2"/>
    <mergeCell ref="B1:B2"/>
    <mergeCell ref="C1:C2"/>
    <mergeCell ref="D1:E1"/>
    <mergeCell ref="F1:G1"/>
    <mergeCell ref="H1:I1"/>
    <mergeCell ref="J1:K1"/>
    <mergeCell ref="L1:M1"/>
    <mergeCell ref="N1:O1"/>
    <mergeCell ref="P1:Q1"/>
    <mergeCell ref="R1:S1"/>
    <mergeCell ref="AR1:AS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BF1:BG1"/>
    <mergeCell ref="BH1:BI1"/>
    <mergeCell ref="BJ1:BK1"/>
    <mergeCell ref="BL1:BM1"/>
    <mergeCell ref="AT1:AU1"/>
    <mergeCell ref="AV1:AW1"/>
    <mergeCell ref="AX1:AY1"/>
    <mergeCell ref="AZ1:BA1"/>
    <mergeCell ref="BB1:BC1"/>
    <mergeCell ref="BD1:BE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D337-27B1-4998-8E45-B1CC6B07773B}">
  <sheetPr>
    <pageSetUpPr fitToPage="1"/>
  </sheetPr>
  <dimension ref="B1:W104"/>
  <sheetViews>
    <sheetView topLeftCell="A32" workbookViewId="0">
      <selection activeCell="K18" sqref="K18"/>
    </sheetView>
  </sheetViews>
  <sheetFormatPr defaultRowHeight="15" outlineLevelRow="1" outlineLevelCol="1"/>
  <cols>
    <col min="1" max="1" width="18.85546875" customWidth="1"/>
    <col min="2" max="2" width="21.5703125" customWidth="1"/>
    <col min="3" max="3" width="33.42578125" customWidth="1"/>
    <col min="4" max="4" width="52" customWidth="1"/>
    <col min="5" max="5" width="12.140625" customWidth="1" outlineLevel="1"/>
    <col min="6" max="6" width="7.5703125" customWidth="1" outlineLevel="1"/>
    <col min="7" max="7" width="13.28515625" customWidth="1" outlineLevel="1"/>
    <col min="8" max="8" width="8.28515625" customWidth="1" outlineLevel="1"/>
    <col min="9" max="9" width="8.140625" customWidth="1" outlineLevel="1"/>
    <col min="10" max="10" width="17" customWidth="1"/>
    <col min="11" max="11" width="12.28515625" customWidth="1"/>
    <col min="13" max="13" width="14" hidden="1" customWidth="1"/>
    <col min="14" max="15" width="0" hidden="1" customWidth="1"/>
    <col min="16" max="16" width="22.140625" hidden="1" customWidth="1"/>
    <col min="17" max="17" width="22" customWidth="1"/>
    <col min="18" max="19" width="20" customWidth="1"/>
    <col min="20" max="20" width="22.85546875" customWidth="1" outlineLevel="1"/>
    <col min="21" max="21" width="21" customWidth="1" outlineLevel="1"/>
    <col min="22" max="22" width="20.140625" customWidth="1"/>
  </cols>
  <sheetData>
    <row r="1" spans="2:23" ht="96" customHeight="1" outlineLevel="1">
      <c r="B1" s="122"/>
      <c r="C1" s="388" t="s">
        <v>164</v>
      </c>
      <c r="D1" s="388"/>
      <c r="H1" s="389"/>
      <c r="I1" s="389"/>
      <c r="J1" s="389"/>
      <c r="K1" s="389"/>
    </row>
    <row r="2" spans="2:23" ht="96" customHeight="1" outlineLevel="1">
      <c r="B2" s="122"/>
      <c r="C2" s="123"/>
      <c r="D2" s="123"/>
      <c r="H2" s="26"/>
      <c r="I2" s="26"/>
      <c r="J2" s="26"/>
      <c r="K2" s="26"/>
    </row>
    <row r="3" spans="2:23" ht="47.25" customHeight="1" outlineLevel="1">
      <c r="B3" s="78" t="s">
        <v>165</v>
      </c>
      <c r="C3" s="78"/>
      <c r="D3" s="78" t="s">
        <v>166</v>
      </c>
      <c r="E3" s="390" t="s">
        <v>167</v>
      </c>
      <c r="F3" s="390"/>
      <c r="G3" s="390"/>
      <c r="H3" s="390"/>
      <c r="I3" s="390"/>
      <c r="J3" s="103"/>
      <c r="K3" s="108"/>
      <c r="L3" s="109"/>
      <c r="M3" s="109"/>
      <c r="N3" s="109"/>
      <c r="O3" s="109"/>
      <c r="P3" s="109"/>
      <c r="Q3" s="386" t="s">
        <v>168</v>
      </c>
      <c r="R3" s="387"/>
      <c r="S3" s="387"/>
      <c r="T3" s="387"/>
      <c r="U3" s="387"/>
      <c r="V3" s="387"/>
    </row>
    <row r="4" spans="2:23" ht="29.25" customHeight="1" outlineLevel="1">
      <c r="B4" s="51" t="s">
        <v>169</v>
      </c>
      <c r="C4" s="51" t="s">
        <v>1</v>
      </c>
      <c r="D4" s="51" t="s">
        <v>2</v>
      </c>
      <c r="E4" s="51" t="s">
        <v>170</v>
      </c>
      <c r="F4" s="51" t="s">
        <v>171</v>
      </c>
      <c r="G4" s="51" t="s">
        <v>172</v>
      </c>
      <c r="H4" s="51" t="s">
        <v>171</v>
      </c>
      <c r="I4" s="51" t="s">
        <v>173</v>
      </c>
      <c r="J4" s="104" t="s">
        <v>174</v>
      </c>
      <c r="K4" s="108"/>
      <c r="L4" s="109"/>
      <c r="M4" s="109"/>
      <c r="N4" s="109"/>
      <c r="O4" s="109"/>
      <c r="P4" s="110"/>
      <c r="Q4" s="121"/>
      <c r="R4" s="78" t="s">
        <v>175</v>
      </c>
      <c r="S4" s="78" t="s">
        <v>176</v>
      </c>
      <c r="T4" s="78" t="s">
        <v>177</v>
      </c>
      <c r="U4" s="78" t="s">
        <v>166</v>
      </c>
      <c r="V4" s="78" t="s">
        <v>178</v>
      </c>
      <c r="W4" s="111"/>
    </row>
    <row r="5" spans="2:23" ht="16.5">
      <c r="B5" s="51" t="s">
        <v>5</v>
      </c>
      <c r="C5" s="30" t="s">
        <v>6</v>
      </c>
      <c r="D5" s="30" t="s">
        <v>7</v>
      </c>
      <c r="E5" s="383">
        <f>' TOP ABRIL 2026'!BL3+' TOP ABRIL 2026'!BL4</f>
        <v>20</v>
      </c>
      <c r="F5" s="384">
        <f>E5/20</f>
        <v>1</v>
      </c>
      <c r="G5" s="383">
        <f>' TOP ABRIL 2026'!BM3+' TOP ABRIL 2026'!BM4</f>
        <v>20</v>
      </c>
      <c r="H5" s="384">
        <f>G5/20</f>
        <v>1</v>
      </c>
      <c r="I5" s="383">
        <f>E5+G5</f>
        <v>40</v>
      </c>
      <c r="J5" s="385">
        <f>I5/40</f>
        <v>1</v>
      </c>
      <c r="K5" s="375"/>
      <c r="L5" s="376"/>
      <c r="M5" s="377"/>
      <c r="N5" s="376"/>
      <c r="O5" s="377"/>
      <c r="P5" s="376"/>
      <c r="Q5" s="50" t="s">
        <v>179</v>
      </c>
      <c r="R5" s="118">
        <v>1</v>
      </c>
      <c r="S5" s="50">
        <f>'FEBRERO 2026'!S4</f>
        <v>0.99305555555555547</v>
      </c>
      <c r="T5" s="50">
        <v>0.9285714285714286</v>
      </c>
      <c r="U5" s="50">
        <f>AVERAGE(J5:J20)</f>
        <v>0.96875</v>
      </c>
      <c r="V5" s="106">
        <v>0.99305555555555547</v>
      </c>
      <c r="W5" s="165"/>
    </row>
    <row r="6" spans="2:23" ht="16.5">
      <c r="B6" s="51" t="s">
        <v>5</v>
      </c>
      <c r="C6" s="30" t="s">
        <v>6</v>
      </c>
      <c r="D6" s="30" t="s">
        <v>8</v>
      </c>
      <c r="E6" s="383"/>
      <c r="F6" s="384"/>
      <c r="G6" s="383"/>
      <c r="H6" s="384"/>
      <c r="I6" s="383"/>
      <c r="J6" s="385"/>
      <c r="K6" s="375"/>
      <c r="L6" s="376"/>
      <c r="M6" s="377"/>
      <c r="N6" s="376"/>
      <c r="O6" s="377"/>
      <c r="P6" s="376"/>
      <c r="Q6" s="33" t="s">
        <v>180</v>
      </c>
      <c r="R6" s="114">
        <v>2</v>
      </c>
      <c r="S6" s="33">
        <f>'FEBRERO 2026'!S5</f>
        <v>0.79444444444444451</v>
      </c>
      <c r="T6" s="33">
        <v>0.89047619047619053</v>
      </c>
      <c r="U6" s="33">
        <f>AVERAGE(J21:J31)</f>
        <v>0.95</v>
      </c>
      <c r="V6" s="105">
        <v>0.94444444444444497</v>
      </c>
      <c r="W6" s="165"/>
    </row>
    <row r="7" spans="2:23" ht="16.5">
      <c r="B7" s="51" t="s">
        <v>5</v>
      </c>
      <c r="C7" s="30" t="s">
        <v>9</v>
      </c>
      <c r="D7" s="30" t="s">
        <v>10</v>
      </c>
      <c r="E7" s="383">
        <f>' TOP ABRIL 2026'!BL5+' TOP ABRIL 2026'!BL6</f>
        <v>20</v>
      </c>
      <c r="F7" s="384">
        <f>E7/20</f>
        <v>1</v>
      </c>
      <c r="G7" s="383">
        <f>' TOP ABRIL 2026'!BM5</f>
        <v>20</v>
      </c>
      <c r="H7" s="384">
        <f>G7/20</f>
        <v>1</v>
      </c>
      <c r="I7" s="383">
        <f t="shared" ref="I7:I70" si="0">E7+G7</f>
        <v>40</v>
      </c>
      <c r="J7" s="385">
        <f>I7/40</f>
        <v>1</v>
      </c>
      <c r="K7" s="375"/>
      <c r="L7" s="376"/>
      <c r="M7" s="377"/>
      <c r="N7" s="376"/>
      <c r="O7" s="377"/>
      <c r="P7" s="376"/>
      <c r="Q7" s="33" t="s">
        <v>181</v>
      </c>
      <c r="R7" s="114">
        <v>3</v>
      </c>
      <c r="S7" s="33">
        <f>'FEBRERO 2026'!S6</f>
        <v>0.95555555555555549</v>
      </c>
      <c r="T7" s="33">
        <v>0.92380952380952375</v>
      </c>
      <c r="U7" s="33">
        <f>AVERAGE(J32:J38)</f>
        <v>0.91499999999999981</v>
      </c>
      <c r="V7" s="105">
        <v>0.95555555555555549</v>
      </c>
      <c r="W7" s="165"/>
    </row>
    <row r="8" spans="2:23" ht="16.5">
      <c r="B8" s="51" t="s">
        <v>5</v>
      </c>
      <c r="C8" s="30" t="s">
        <v>9</v>
      </c>
      <c r="D8" s="30" t="s">
        <v>11</v>
      </c>
      <c r="E8" s="383"/>
      <c r="F8" s="384"/>
      <c r="G8" s="383"/>
      <c r="H8" s="384"/>
      <c r="I8" s="383"/>
      <c r="J8" s="385"/>
      <c r="K8" s="375"/>
      <c r="L8" s="376"/>
      <c r="M8" s="377"/>
      <c r="N8" s="376"/>
      <c r="O8" s="377"/>
      <c r="P8" s="376"/>
      <c r="Q8" s="33" t="s">
        <v>182</v>
      </c>
      <c r="R8" s="114">
        <v>4</v>
      </c>
      <c r="S8" s="33" t="e">
        <f>'FEBRERO 2026'!S7</f>
        <v>#REF!</v>
      </c>
      <c r="T8" s="33">
        <v>0.81349206349206338</v>
      </c>
      <c r="U8" s="33">
        <f>AVERAGE(J39:J47)</f>
        <v>0.86249999999999993</v>
      </c>
      <c r="V8" s="105">
        <v>0.92833333333333301</v>
      </c>
      <c r="W8" s="165"/>
    </row>
    <row r="9" spans="2:23" ht="16.5">
      <c r="B9" s="51" t="s">
        <v>5</v>
      </c>
      <c r="C9" s="30" t="s">
        <v>9</v>
      </c>
      <c r="D9" s="30" t="s">
        <v>12</v>
      </c>
      <c r="E9" s="383"/>
      <c r="F9" s="384"/>
      <c r="G9" s="383"/>
      <c r="H9" s="384"/>
      <c r="I9" s="383"/>
      <c r="J9" s="385"/>
      <c r="K9" s="375"/>
      <c r="L9" s="376"/>
      <c r="M9" s="377"/>
      <c r="N9" s="376"/>
      <c r="O9" s="377"/>
      <c r="P9" s="376"/>
      <c r="Q9" s="33" t="s">
        <v>183</v>
      </c>
      <c r="R9" s="114">
        <v>5</v>
      </c>
      <c r="S9" s="33">
        <f>'FEBRERO 2026'!S8</f>
        <v>0.98611111111111105</v>
      </c>
      <c r="T9" s="33">
        <v>0.92857142857142871</v>
      </c>
      <c r="U9" s="33">
        <f>AVERAGE(J48:J62)</f>
        <v>0.89166666666666672</v>
      </c>
      <c r="V9" s="105">
        <v>0.98611111111111105</v>
      </c>
      <c r="W9" s="165"/>
    </row>
    <row r="10" spans="2:23" ht="16.5">
      <c r="B10" s="51" t="s">
        <v>5</v>
      </c>
      <c r="C10" s="30" t="s">
        <v>9</v>
      </c>
      <c r="D10" s="30" t="s">
        <v>13</v>
      </c>
      <c r="E10" s="383"/>
      <c r="F10" s="384"/>
      <c r="G10" s="383"/>
      <c r="H10" s="384"/>
      <c r="I10" s="383"/>
      <c r="J10" s="385"/>
      <c r="K10" s="375"/>
      <c r="L10" s="376"/>
      <c r="M10" s="377"/>
      <c r="N10" s="376"/>
      <c r="O10" s="377"/>
      <c r="P10" s="376"/>
      <c r="Q10" s="33" t="s">
        <v>184</v>
      </c>
      <c r="R10" s="114">
        <v>6</v>
      </c>
      <c r="S10" s="33">
        <f>'FEBRERO 2026'!S9</f>
        <v>0.75694444444444442</v>
      </c>
      <c r="T10" s="33">
        <v>0.81547619047619047</v>
      </c>
      <c r="U10" s="33">
        <f>AVERAGE(J64:J69)</f>
        <v>0.76250000000000007</v>
      </c>
      <c r="V10" s="105">
        <v>0.91694444444444401</v>
      </c>
      <c r="W10" s="165"/>
    </row>
    <row r="11" spans="2:23" ht="16.5">
      <c r="B11" s="51" t="s">
        <v>5</v>
      </c>
      <c r="C11" s="30" t="s">
        <v>9</v>
      </c>
      <c r="D11" s="30" t="s">
        <v>14</v>
      </c>
      <c r="E11" s="383"/>
      <c r="F11" s="384"/>
      <c r="G11" s="383"/>
      <c r="H11" s="384"/>
      <c r="I11" s="383"/>
      <c r="J11" s="385"/>
      <c r="K11" s="375"/>
      <c r="L11" s="376"/>
      <c r="M11" s="377"/>
      <c r="N11" s="376"/>
      <c r="O11" s="377"/>
      <c r="P11" s="376"/>
      <c r="Q11" s="33" t="s">
        <v>185</v>
      </c>
      <c r="R11" s="114">
        <v>7</v>
      </c>
      <c r="S11" s="33">
        <f>'FEBRERO 2026'!S10</f>
        <v>0.84722222222222232</v>
      </c>
      <c r="T11" s="33">
        <v>0.78174603174603163</v>
      </c>
      <c r="U11" s="33">
        <f>AVERAGE(J70:J77)</f>
        <v>0.85416666666666663</v>
      </c>
      <c r="V11" s="105">
        <v>0.91722222222222205</v>
      </c>
      <c r="W11" s="165"/>
    </row>
    <row r="12" spans="2:23" ht="16.5">
      <c r="B12" s="51" t="s">
        <v>5</v>
      </c>
      <c r="C12" s="30" t="s">
        <v>15</v>
      </c>
      <c r="D12" s="30" t="s">
        <v>16</v>
      </c>
      <c r="E12" s="383">
        <f>' TOP ABRIL 2026'!BL10+' TOP ABRIL 2026'!BL11</f>
        <v>20</v>
      </c>
      <c r="F12" s="384">
        <f>E12/20</f>
        <v>1</v>
      </c>
      <c r="G12" s="383">
        <f>' TOP ABRIL 2026'!BM10+' TOP ABRIL 2026'!BM11+' TOP ABRIL 2026'!BM12+' TOP ABRIL 2026'!BM15</f>
        <v>19</v>
      </c>
      <c r="H12" s="384">
        <f>G12/20</f>
        <v>0.95</v>
      </c>
      <c r="I12" s="383">
        <f t="shared" si="0"/>
        <v>39</v>
      </c>
      <c r="J12" s="385">
        <f>I12/40</f>
        <v>0.97499999999999998</v>
      </c>
      <c r="K12" s="375"/>
      <c r="L12" s="376"/>
      <c r="M12" s="377"/>
      <c r="N12" s="376"/>
      <c r="O12" s="377"/>
      <c r="P12" s="376"/>
      <c r="Q12" s="33" t="s">
        <v>186</v>
      </c>
      <c r="R12" s="114">
        <v>8</v>
      </c>
      <c r="S12" s="33">
        <f>'FEBRERO 2026'!S11</f>
        <v>0.81111111111111123</v>
      </c>
      <c r="T12" s="33">
        <v>0.86904761904761896</v>
      </c>
      <c r="U12" s="33">
        <f>AVERAGE(J78:J83)</f>
        <v>1</v>
      </c>
      <c r="V12" s="105">
        <v>1</v>
      </c>
      <c r="W12" s="165"/>
    </row>
    <row r="13" spans="2:23" ht="16.5">
      <c r="B13" s="51" t="s">
        <v>5</v>
      </c>
      <c r="C13" s="30" t="s">
        <v>15</v>
      </c>
      <c r="D13" s="30" t="s">
        <v>17</v>
      </c>
      <c r="E13" s="383"/>
      <c r="F13" s="384"/>
      <c r="G13" s="383"/>
      <c r="H13" s="384"/>
      <c r="I13" s="383"/>
      <c r="J13" s="385"/>
      <c r="K13" s="375"/>
      <c r="L13" s="376"/>
      <c r="M13" s="377"/>
      <c r="N13" s="376"/>
      <c r="O13" s="377"/>
      <c r="P13" s="376"/>
      <c r="Q13" s="33" t="s">
        <v>187</v>
      </c>
      <c r="R13" s="114">
        <v>9</v>
      </c>
      <c r="S13" s="33">
        <f>'FEBRERO 2026'!S12</f>
        <v>0.80555555555555558</v>
      </c>
      <c r="T13" s="33">
        <v>0.7142857142857143</v>
      </c>
      <c r="U13" s="33">
        <f>AVERAGE(J84)</f>
        <v>0.92500000000000004</v>
      </c>
      <c r="V13" s="105">
        <v>0.99329999999999996</v>
      </c>
      <c r="W13" s="165"/>
    </row>
    <row r="14" spans="2:23" ht="16.5">
      <c r="B14" s="51" t="s">
        <v>5</v>
      </c>
      <c r="C14" s="30" t="s">
        <v>15</v>
      </c>
      <c r="D14" s="30" t="s">
        <v>18</v>
      </c>
      <c r="E14" s="383"/>
      <c r="F14" s="384"/>
      <c r="G14" s="383"/>
      <c r="H14" s="384"/>
      <c r="I14" s="383"/>
      <c r="J14" s="385"/>
      <c r="K14" s="375"/>
      <c r="L14" s="376"/>
      <c r="M14" s="377"/>
      <c r="N14" s="376"/>
      <c r="O14" s="377"/>
      <c r="P14" s="376"/>
      <c r="Q14" s="33" t="s">
        <v>188</v>
      </c>
      <c r="R14" s="114">
        <v>10</v>
      </c>
      <c r="S14" s="33">
        <f>'FEBRERO 2026'!S13</f>
        <v>0.77777777777777779</v>
      </c>
      <c r="T14" s="33">
        <v>0.80357142857142849</v>
      </c>
      <c r="U14" s="33">
        <f>AVERAGE(J93:J95)</f>
        <v>0.8666666666666667</v>
      </c>
      <c r="V14" s="105">
        <v>0.97777777777777797</v>
      </c>
      <c r="W14" s="165"/>
    </row>
    <row r="15" spans="2:23" ht="16.5">
      <c r="B15" s="51" t="s">
        <v>5</v>
      </c>
      <c r="C15" s="30" t="s">
        <v>15</v>
      </c>
      <c r="D15" s="30" t="s">
        <v>19</v>
      </c>
      <c r="E15" s="383"/>
      <c r="F15" s="384"/>
      <c r="G15" s="383"/>
      <c r="H15" s="384"/>
      <c r="I15" s="383"/>
      <c r="J15" s="385"/>
      <c r="K15" s="375"/>
      <c r="L15" s="376"/>
      <c r="M15" s="377"/>
      <c r="N15" s="376"/>
      <c r="O15" s="377"/>
      <c r="P15" s="376"/>
      <c r="Q15" s="33" t="s">
        <v>189</v>
      </c>
      <c r="R15" s="114" t="s">
        <v>150</v>
      </c>
      <c r="S15" s="33">
        <f>'FEBRERO 2026'!S14</f>
        <v>0.30937500000000007</v>
      </c>
      <c r="T15" s="33">
        <v>0.61428571428571421</v>
      </c>
      <c r="U15" s="33">
        <f>AVERAGE(J96:J103)</f>
        <v>0.90500000000000003</v>
      </c>
      <c r="V15" s="105">
        <v>0.93937499999999996</v>
      </c>
      <c r="W15" s="165"/>
    </row>
    <row r="16" spans="2:23" ht="16.5">
      <c r="B16" s="51" t="s">
        <v>5</v>
      </c>
      <c r="C16" s="30" t="s">
        <v>15</v>
      </c>
      <c r="D16" s="30" t="s">
        <v>20</v>
      </c>
      <c r="E16" s="383"/>
      <c r="F16" s="384"/>
      <c r="G16" s="383"/>
      <c r="H16" s="384"/>
      <c r="I16" s="383"/>
      <c r="J16" s="385"/>
      <c r="K16" s="375"/>
      <c r="L16" s="376"/>
      <c r="M16" s="377"/>
      <c r="N16" s="376"/>
      <c r="O16" s="377"/>
      <c r="P16" s="376"/>
      <c r="Q16" s="33" t="s">
        <v>96</v>
      </c>
      <c r="R16" s="114" t="s">
        <v>190</v>
      </c>
      <c r="S16" s="113">
        <f>'FEBRERO 2026'!S15</f>
        <v>1.0555555555555556</v>
      </c>
      <c r="T16" s="113">
        <v>1</v>
      </c>
      <c r="U16" s="33">
        <f>AVERAGE(J63)</f>
        <v>1</v>
      </c>
      <c r="V16" s="164">
        <v>1</v>
      </c>
      <c r="W16" s="165"/>
    </row>
    <row r="17" spans="2:23" ht="16.5">
      <c r="B17" s="51" t="s">
        <v>5</v>
      </c>
      <c r="C17" s="30" t="s">
        <v>15</v>
      </c>
      <c r="D17" s="30" t="s">
        <v>21</v>
      </c>
      <c r="E17" s="383"/>
      <c r="F17" s="384"/>
      <c r="G17" s="383"/>
      <c r="H17" s="384"/>
      <c r="I17" s="383"/>
      <c r="J17" s="385"/>
      <c r="K17" s="375"/>
      <c r="L17" s="376"/>
      <c r="M17" s="377"/>
      <c r="N17" s="376"/>
      <c r="O17" s="377"/>
      <c r="P17" s="376"/>
      <c r="Q17" s="33"/>
      <c r="R17" s="119" t="s">
        <v>191</v>
      </c>
      <c r="S17" s="117" t="e">
        <f>AVERAGE(S5:S16)</f>
        <v>#REF!</v>
      </c>
      <c r="T17" s="120">
        <v>0.84027777777777768</v>
      </c>
      <c r="U17" s="166">
        <f>AVERAGE(U5:U16)</f>
        <v>0.90843750000000012</v>
      </c>
      <c r="V17" s="167">
        <v>0.96675347222222197</v>
      </c>
      <c r="W17" s="165"/>
    </row>
    <row r="18" spans="2:23" ht="16.5">
      <c r="B18" s="51" t="s">
        <v>5</v>
      </c>
      <c r="C18" s="30" t="s">
        <v>22</v>
      </c>
      <c r="D18" s="30" t="s">
        <v>23</v>
      </c>
      <c r="E18" s="383">
        <f>' TOP ABRIL 2026'!BL16</f>
        <v>20</v>
      </c>
      <c r="F18" s="384">
        <f>E18/20</f>
        <v>1</v>
      </c>
      <c r="G18" s="383">
        <f>' TOP ABRIL 2026'!BM16+' TOP ABRIL 2026'!BM17+' TOP ABRIL 2026'!BM18</f>
        <v>16</v>
      </c>
      <c r="H18" s="384">
        <f>G18/20</f>
        <v>0.8</v>
      </c>
      <c r="I18" s="383">
        <f t="shared" si="0"/>
        <v>36</v>
      </c>
      <c r="J18" s="385">
        <f>I18/40</f>
        <v>0.9</v>
      </c>
      <c r="K18" s="375"/>
      <c r="L18" s="376"/>
      <c r="M18" s="377"/>
      <c r="N18" s="376"/>
      <c r="O18" s="377"/>
      <c r="P18" s="376"/>
      <c r="Q18" s="81"/>
      <c r="V18" s="73"/>
    </row>
    <row r="19" spans="2:23" ht="16.5">
      <c r="B19" s="51" t="s">
        <v>5</v>
      </c>
      <c r="C19" s="30" t="s">
        <v>22</v>
      </c>
      <c r="D19" s="30" t="s">
        <v>24</v>
      </c>
      <c r="E19" s="383"/>
      <c r="F19" s="384"/>
      <c r="G19" s="383"/>
      <c r="H19" s="384"/>
      <c r="I19" s="383"/>
      <c r="J19" s="385"/>
      <c r="K19" s="375"/>
      <c r="L19" s="376"/>
      <c r="M19" s="377"/>
      <c r="N19" s="376"/>
      <c r="O19" s="377"/>
      <c r="P19" s="376"/>
      <c r="Q19" s="81"/>
    </row>
    <row r="20" spans="2:23" ht="16.5">
      <c r="B20" s="51" t="s">
        <v>5</v>
      </c>
      <c r="C20" s="30" t="s">
        <v>22</v>
      </c>
      <c r="D20" s="30" t="s">
        <v>25</v>
      </c>
      <c r="E20" s="383"/>
      <c r="F20" s="384"/>
      <c r="G20" s="383"/>
      <c r="H20" s="384"/>
      <c r="I20" s="383"/>
      <c r="J20" s="385"/>
      <c r="K20" s="375"/>
      <c r="L20" s="376"/>
      <c r="M20" s="377"/>
      <c r="N20" s="376"/>
      <c r="O20" s="377"/>
      <c r="P20" s="376"/>
      <c r="Q20" s="81"/>
    </row>
    <row r="21" spans="2:23" ht="16.5">
      <c r="B21" s="82" t="s">
        <v>26</v>
      </c>
      <c r="C21" s="49" t="s">
        <v>27</v>
      </c>
      <c r="D21" s="49" t="s">
        <v>28</v>
      </c>
      <c r="E21" s="49">
        <f>' TOP ABRIL 2026'!BL19</f>
        <v>20</v>
      </c>
      <c r="F21" s="50">
        <f>E21/20</f>
        <v>1</v>
      </c>
      <c r="G21" s="49">
        <f>' TOP ABRIL 2026'!BM19</f>
        <v>20</v>
      </c>
      <c r="H21" s="50">
        <f>G21/20</f>
        <v>1</v>
      </c>
      <c r="I21" s="49">
        <f>E21+G21</f>
        <v>40</v>
      </c>
      <c r="J21" s="106">
        <f>I21/40</f>
        <v>1</v>
      </c>
      <c r="K21" s="107"/>
      <c r="L21" s="81"/>
      <c r="M21" s="85"/>
      <c r="N21" s="81"/>
      <c r="O21" s="85"/>
      <c r="P21" s="81"/>
    </row>
    <row r="22" spans="2:23" ht="16.5">
      <c r="B22" s="34" t="s">
        <v>26</v>
      </c>
      <c r="C22" s="30" t="s">
        <v>29</v>
      </c>
      <c r="D22" s="30" t="s">
        <v>30</v>
      </c>
      <c r="E22" s="30">
        <f>' TOP ABRIL 2026'!BL20</f>
        <v>20</v>
      </c>
      <c r="F22" s="33">
        <f>E22/20</f>
        <v>1</v>
      </c>
      <c r="G22" s="30">
        <f>' TOP ABRIL 2026'!BM20</f>
        <v>20</v>
      </c>
      <c r="H22" s="33">
        <f>G22/20</f>
        <v>1</v>
      </c>
      <c r="I22" s="30">
        <f>E22+G22</f>
        <v>40</v>
      </c>
      <c r="J22" s="105">
        <f>I22/40</f>
        <v>1</v>
      </c>
      <c r="K22" s="107"/>
      <c r="L22" s="81"/>
      <c r="M22" s="85"/>
      <c r="N22" s="81"/>
      <c r="O22" s="85"/>
      <c r="P22" s="81"/>
    </row>
    <row r="23" spans="2:23" ht="16.5">
      <c r="B23" s="34" t="s">
        <v>26</v>
      </c>
      <c r="C23" s="30" t="s">
        <v>31</v>
      </c>
      <c r="D23" s="30" t="s">
        <v>32</v>
      </c>
      <c r="E23" s="371">
        <f>' TOP ABRIL 2026'!BL21+' TOP ABRIL 2026'!BL22+' TOP ABRIL 2026'!BL23+' TOP ABRIL 2026'!BL24+' TOP ABRIL 2026'!BL25+' TOP ABRIL 2026'!BL26</f>
        <v>20</v>
      </c>
      <c r="F23" s="373">
        <f>E23/20</f>
        <v>1</v>
      </c>
      <c r="G23" s="371">
        <f>' TOP ABRIL 2026'!BM21+' TOP ABRIL 2026'!BM23+' TOP ABRIL 2026'!BM24</f>
        <v>16</v>
      </c>
      <c r="H23" s="373">
        <f>G23/20</f>
        <v>0.8</v>
      </c>
      <c r="I23" s="371">
        <f t="shared" si="0"/>
        <v>36</v>
      </c>
      <c r="J23" s="380">
        <f>I23/40</f>
        <v>0.9</v>
      </c>
      <c r="K23" s="375"/>
      <c r="L23" s="376"/>
      <c r="M23" s="377"/>
      <c r="N23" s="376"/>
      <c r="O23" s="377"/>
      <c r="P23" s="376"/>
    </row>
    <row r="24" spans="2:23" ht="16.5">
      <c r="B24" s="34" t="s">
        <v>26</v>
      </c>
      <c r="C24" s="30" t="s">
        <v>31</v>
      </c>
      <c r="D24" s="30" t="s">
        <v>33</v>
      </c>
      <c r="E24" s="378"/>
      <c r="F24" s="379"/>
      <c r="G24" s="378"/>
      <c r="H24" s="379"/>
      <c r="I24" s="378"/>
      <c r="J24" s="381"/>
      <c r="K24" s="375"/>
      <c r="L24" s="376"/>
      <c r="M24" s="377"/>
      <c r="N24" s="376"/>
      <c r="O24" s="377"/>
      <c r="P24" s="376"/>
    </row>
    <row r="25" spans="2:23" ht="16.5">
      <c r="B25" s="34" t="s">
        <v>26</v>
      </c>
      <c r="C25" s="30" t="s">
        <v>31</v>
      </c>
      <c r="D25" s="30" t="s">
        <v>34</v>
      </c>
      <c r="E25" s="378"/>
      <c r="F25" s="379"/>
      <c r="G25" s="378"/>
      <c r="H25" s="379"/>
      <c r="I25" s="378"/>
      <c r="J25" s="381"/>
      <c r="K25" s="375"/>
      <c r="L25" s="376"/>
      <c r="M25" s="377"/>
      <c r="N25" s="376"/>
      <c r="O25" s="377"/>
      <c r="P25" s="376"/>
    </row>
    <row r="26" spans="2:23" ht="16.5">
      <c r="B26" s="34" t="s">
        <v>26</v>
      </c>
      <c r="C26" s="30" t="s">
        <v>31</v>
      </c>
      <c r="D26" s="30" t="s">
        <v>35</v>
      </c>
      <c r="E26" s="378"/>
      <c r="F26" s="379"/>
      <c r="G26" s="378"/>
      <c r="H26" s="379"/>
      <c r="I26" s="378"/>
      <c r="J26" s="381"/>
      <c r="K26" s="375"/>
      <c r="L26" s="376"/>
      <c r="M26" s="377"/>
      <c r="N26" s="376"/>
      <c r="O26" s="377"/>
      <c r="P26" s="376"/>
    </row>
    <row r="27" spans="2:23" ht="16.5">
      <c r="B27" s="34" t="s">
        <v>26</v>
      </c>
      <c r="C27" s="30" t="s">
        <v>31</v>
      </c>
      <c r="D27" s="30" t="s">
        <v>36</v>
      </c>
      <c r="E27" s="378"/>
      <c r="F27" s="379"/>
      <c r="G27" s="378"/>
      <c r="H27" s="379"/>
      <c r="I27" s="378"/>
      <c r="J27" s="381"/>
      <c r="K27" s="375"/>
      <c r="L27" s="376"/>
      <c r="M27" s="377"/>
      <c r="N27" s="376"/>
      <c r="O27" s="377"/>
      <c r="P27" s="376"/>
    </row>
    <row r="28" spans="2:23" ht="16.5">
      <c r="B28" s="34" t="s">
        <v>26</v>
      </c>
      <c r="C28" s="30" t="s">
        <v>31</v>
      </c>
      <c r="D28" s="30" t="s">
        <v>37</v>
      </c>
      <c r="E28" s="378"/>
      <c r="F28" s="379"/>
      <c r="G28" s="378"/>
      <c r="H28" s="379"/>
      <c r="I28" s="378"/>
      <c r="J28" s="381"/>
      <c r="K28" s="375"/>
      <c r="L28" s="376"/>
      <c r="M28" s="377"/>
      <c r="N28" s="376"/>
      <c r="O28" s="377"/>
      <c r="P28" s="376"/>
    </row>
    <row r="29" spans="2:23" ht="16.5">
      <c r="B29" s="34" t="s">
        <v>26</v>
      </c>
      <c r="C29" s="30" t="s">
        <v>31</v>
      </c>
      <c r="D29" s="30" t="s">
        <v>38</v>
      </c>
      <c r="E29" s="372"/>
      <c r="F29" s="374"/>
      <c r="G29" s="372"/>
      <c r="H29" s="374"/>
      <c r="I29" s="372"/>
      <c r="J29" s="382"/>
      <c r="K29" s="375"/>
      <c r="L29" s="376"/>
      <c r="M29" s="377"/>
      <c r="N29" s="376"/>
      <c r="O29" s="377"/>
      <c r="P29" s="376"/>
    </row>
    <row r="30" spans="2:23" ht="16.5">
      <c r="B30" s="34" t="s">
        <v>26</v>
      </c>
      <c r="C30" s="30" t="s">
        <v>39</v>
      </c>
      <c r="D30" s="30" t="s">
        <v>40</v>
      </c>
      <c r="E30" s="30">
        <f>' TOP ABRIL 2026'!BL28</f>
        <v>19</v>
      </c>
      <c r="F30" s="33">
        <f>E30/20</f>
        <v>0.95</v>
      </c>
      <c r="G30" s="30">
        <f>' TOP ABRIL 2026'!BM28</f>
        <v>19</v>
      </c>
      <c r="H30" s="33">
        <f>G30/20</f>
        <v>0.95</v>
      </c>
      <c r="I30" s="30">
        <f t="shared" si="0"/>
        <v>38</v>
      </c>
      <c r="J30" s="105">
        <f>I30/40</f>
        <v>0.95</v>
      </c>
      <c r="K30" s="107"/>
      <c r="L30" s="81"/>
      <c r="M30" s="85"/>
      <c r="N30" s="81"/>
      <c r="O30" s="85"/>
      <c r="P30" s="81"/>
    </row>
    <row r="31" spans="2:23" ht="16.5">
      <c r="B31" s="34" t="s">
        <v>26</v>
      </c>
      <c r="C31" s="30" t="s">
        <v>41</v>
      </c>
      <c r="D31" s="30" t="s">
        <v>42</v>
      </c>
      <c r="E31" s="30">
        <f>' TOP ABRIL 2026'!BL29</f>
        <v>19</v>
      </c>
      <c r="F31" s="33">
        <f>E31/20</f>
        <v>0.95</v>
      </c>
      <c r="G31" s="30">
        <f>' TOP ABRIL 2026'!BM29</f>
        <v>17</v>
      </c>
      <c r="H31" s="33">
        <f>G31/20</f>
        <v>0.85</v>
      </c>
      <c r="I31" s="30">
        <f t="shared" si="0"/>
        <v>36</v>
      </c>
      <c r="J31" s="105">
        <f>I31/40</f>
        <v>0.9</v>
      </c>
      <c r="K31" s="107"/>
      <c r="L31" s="81"/>
      <c r="M31" s="85"/>
      <c r="N31" s="81"/>
      <c r="O31" s="85"/>
      <c r="P31" s="81"/>
    </row>
    <row r="32" spans="2:23" ht="16.5">
      <c r="B32" s="34" t="s">
        <v>43</v>
      </c>
      <c r="C32" s="30" t="s">
        <v>44</v>
      </c>
      <c r="D32" s="30" t="s">
        <v>45</v>
      </c>
      <c r="E32" s="30">
        <f>' TOP ABRIL 2026'!BL30</f>
        <v>20</v>
      </c>
      <c r="F32" s="33">
        <f t="shared" ref="F32:H33" si="1">E32/20</f>
        <v>1</v>
      </c>
      <c r="G32" s="30">
        <f>' TOP ABRIL 2026'!BM30</f>
        <v>18</v>
      </c>
      <c r="H32" s="33">
        <f t="shared" si="1"/>
        <v>0.9</v>
      </c>
      <c r="I32" s="30">
        <f t="shared" si="0"/>
        <v>38</v>
      </c>
      <c r="J32" s="105">
        <f>I32/40</f>
        <v>0.95</v>
      </c>
      <c r="K32" s="107"/>
      <c r="L32" s="81"/>
      <c r="M32" s="85"/>
      <c r="N32" s="81"/>
      <c r="O32" s="85"/>
      <c r="P32" s="81"/>
    </row>
    <row r="33" spans="2:16" ht="16.5">
      <c r="B33" s="34" t="s">
        <v>43</v>
      </c>
      <c r="C33" s="30" t="s">
        <v>46</v>
      </c>
      <c r="D33" s="30" t="s">
        <v>47</v>
      </c>
      <c r="E33" s="30">
        <f>' TOP ABRIL 2026'!BL31</f>
        <v>20</v>
      </c>
      <c r="F33" s="33">
        <f t="shared" si="1"/>
        <v>1</v>
      </c>
      <c r="G33" s="30">
        <f>' TOP ABRIL 2026'!BM31</f>
        <v>18</v>
      </c>
      <c r="H33" s="33">
        <f t="shared" si="1"/>
        <v>0.9</v>
      </c>
      <c r="I33" s="30">
        <f t="shared" si="0"/>
        <v>38</v>
      </c>
      <c r="J33" s="105">
        <f>I33/40</f>
        <v>0.95</v>
      </c>
      <c r="K33" s="107"/>
      <c r="L33" s="81"/>
      <c r="M33" s="85"/>
      <c r="N33" s="81"/>
      <c r="O33" s="85"/>
      <c r="P33" s="81"/>
    </row>
    <row r="34" spans="2:16" ht="16.5">
      <c r="B34" s="34" t="s">
        <v>43</v>
      </c>
      <c r="C34" s="30" t="s">
        <v>48</v>
      </c>
      <c r="D34" s="30" t="s">
        <v>49</v>
      </c>
      <c r="E34" s="371">
        <f>' TOP ABRIL 2026'!BL32+' TOP ABRIL 2026'!BL33</f>
        <v>20</v>
      </c>
      <c r="F34" s="373">
        <f>E34/20</f>
        <v>1</v>
      </c>
      <c r="G34" s="371">
        <f>' TOP ABRIL 2026'!BM32</f>
        <v>18</v>
      </c>
      <c r="H34" s="373">
        <f>G34/20</f>
        <v>0.9</v>
      </c>
      <c r="I34" s="371">
        <f t="shared" si="0"/>
        <v>38</v>
      </c>
      <c r="J34" s="380">
        <f>I34/40</f>
        <v>0.95</v>
      </c>
      <c r="K34" s="375"/>
      <c r="L34" s="376"/>
      <c r="M34" s="377"/>
      <c r="N34" s="376"/>
      <c r="O34" s="377"/>
      <c r="P34" s="376"/>
    </row>
    <row r="35" spans="2:16" ht="16.5">
      <c r="B35" s="34" t="s">
        <v>43</v>
      </c>
      <c r="C35" s="30" t="s">
        <v>48</v>
      </c>
      <c r="D35" s="30" t="s">
        <v>50</v>
      </c>
      <c r="E35" s="372"/>
      <c r="F35" s="374"/>
      <c r="G35" s="372"/>
      <c r="H35" s="374"/>
      <c r="I35" s="372"/>
      <c r="J35" s="382"/>
      <c r="K35" s="375"/>
      <c r="L35" s="376"/>
      <c r="M35" s="377"/>
      <c r="N35" s="376"/>
      <c r="O35" s="377"/>
      <c r="P35" s="376"/>
    </row>
    <row r="36" spans="2:16" ht="16.5">
      <c r="B36" s="34" t="s">
        <v>43</v>
      </c>
      <c r="C36" s="30" t="s">
        <v>51</v>
      </c>
      <c r="D36" s="30" t="s">
        <v>52</v>
      </c>
      <c r="E36" s="371">
        <f>' TOP ABRIL 2026'!BL34+' TOP ABRIL 2026'!BL35</f>
        <v>20</v>
      </c>
      <c r="F36" s="373">
        <f>E36/20</f>
        <v>1</v>
      </c>
      <c r="G36" s="371">
        <f>' TOP ABRIL 2026'!BM34+' TOP ABRIL 2026'!BM35</f>
        <v>11</v>
      </c>
      <c r="H36" s="373">
        <f>G36/20</f>
        <v>0.55000000000000004</v>
      </c>
      <c r="I36" s="371">
        <f t="shared" si="0"/>
        <v>31</v>
      </c>
      <c r="J36" s="380">
        <f>I36/40</f>
        <v>0.77500000000000002</v>
      </c>
      <c r="K36" s="375"/>
      <c r="L36" s="376"/>
      <c r="M36" s="377"/>
      <c r="N36" s="376"/>
      <c r="O36" s="377"/>
      <c r="P36" s="376"/>
    </row>
    <row r="37" spans="2:16" ht="16.5">
      <c r="B37" s="34" t="s">
        <v>43</v>
      </c>
      <c r="C37" s="30" t="s">
        <v>51</v>
      </c>
      <c r="D37" s="30" t="s">
        <v>53</v>
      </c>
      <c r="E37" s="372"/>
      <c r="F37" s="374"/>
      <c r="G37" s="372"/>
      <c r="H37" s="374"/>
      <c r="I37" s="372"/>
      <c r="J37" s="382"/>
      <c r="K37" s="375"/>
      <c r="L37" s="376"/>
      <c r="M37" s="377"/>
      <c r="N37" s="376"/>
      <c r="O37" s="377"/>
      <c r="P37" s="376"/>
    </row>
    <row r="38" spans="2:16" ht="16.5">
      <c r="B38" s="34" t="s">
        <v>43</v>
      </c>
      <c r="C38" s="30" t="s">
        <v>54</v>
      </c>
      <c r="D38" s="30" t="s">
        <v>55</v>
      </c>
      <c r="E38" s="30">
        <f>' TOP ABRIL 2026'!BL36</f>
        <v>20</v>
      </c>
      <c r="F38" s="33">
        <f>E38/20</f>
        <v>1</v>
      </c>
      <c r="G38" s="30">
        <f>' TOP ABRIL 2026'!BM36</f>
        <v>18</v>
      </c>
      <c r="H38" s="33">
        <f>G38/20</f>
        <v>0.9</v>
      </c>
      <c r="I38" s="30">
        <f t="shared" si="0"/>
        <v>38</v>
      </c>
      <c r="J38" s="105">
        <f>I38/40</f>
        <v>0.95</v>
      </c>
      <c r="K38" s="107"/>
      <c r="L38" s="81"/>
      <c r="M38" s="85"/>
      <c r="N38" s="81"/>
      <c r="O38" s="85"/>
      <c r="P38" s="81"/>
    </row>
    <row r="39" spans="2:16" ht="16.5">
      <c r="B39" s="34" t="s">
        <v>56</v>
      </c>
      <c r="C39" s="30" t="s">
        <v>57</v>
      </c>
      <c r="D39" s="30" t="s">
        <v>58</v>
      </c>
      <c r="E39" s="371">
        <f>' TOP ABRIL 2026'!BL38</f>
        <v>20</v>
      </c>
      <c r="F39" s="373">
        <f>E39/20</f>
        <v>1</v>
      </c>
      <c r="G39" s="371">
        <f>' TOP ABRIL 2026'!BM38</f>
        <v>16</v>
      </c>
      <c r="H39" s="373">
        <f>G39/20</f>
        <v>0.8</v>
      </c>
      <c r="I39" s="371">
        <f t="shared" si="0"/>
        <v>36</v>
      </c>
      <c r="J39" s="380">
        <f>I39/40</f>
        <v>0.9</v>
      </c>
      <c r="K39" s="375"/>
      <c r="L39" s="376"/>
      <c r="M39" s="377"/>
      <c r="N39" s="376"/>
      <c r="O39" s="377"/>
      <c r="P39" s="376"/>
    </row>
    <row r="40" spans="2:16" ht="16.5">
      <c r="B40" s="34" t="s">
        <v>56</v>
      </c>
      <c r="C40" s="30" t="s">
        <v>57</v>
      </c>
      <c r="D40" s="30" t="s">
        <v>59</v>
      </c>
      <c r="E40" s="372"/>
      <c r="F40" s="374"/>
      <c r="G40" s="372"/>
      <c r="H40" s="374"/>
      <c r="I40" s="372"/>
      <c r="J40" s="382"/>
      <c r="K40" s="375"/>
      <c r="L40" s="376"/>
      <c r="M40" s="377"/>
      <c r="N40" s="376"/>
      <c r="O40" s="377"/>
      <c r="P40" s="376"/>
    </row>
    <row r="41" spans="2:16" ht="16.5">
      <c r="B41" s="34" t="s">
        <v>56</v>
      </c>
      <c r="C41" s="30" t="s">
        <v>60</v>
      </c>
      <c r="D41" s="30" t="s">
        <v>61</v>
      </c>
      <c r="E41" s="371">
        <f>' TOP ABRIL 2026'!BL39+' TOP ABRIL 2026'!BL40</f>
        <v>20</v>
      </c>
      <c r="F41" s="373">
        <f>E41/20</f>
        <v>1</v>
      </c>
      <c r="G41" s="371">
        <f>' TOP ABRIL 2026'!BM39+' TOP ABRIL 2026'!BM40</f>
        <v>18</v>
      </c>
      <c r="H41" s="373">
        <f>G41/20</f>
        <v>0.9</v>
      </c>
      <c r="I41" s="371">
        <f t="shared" si="0"/>
        <v>38</v>
      </c>
      <c r="J41" s="380">
        <f>I41/40</f>
        <v>0.95</v>
      </c>
      <c r="K41" s="375"/>
      <c r="L41" s="376"/>
      <c r="M41" s="377"/>
      <c r="N41" s="376"/>
      <c r="O41" s="377"/>
      <c r="P41" s="376"/>
    </row>
    <row r="42" spans="2:16" ht="16.5">
      <c r="B42" s="34" t="s">
        <v>56</v>
      </c>
      <c r="C42" s="30" t="s">
        <v>60</v>
      </c>
      <c r="D42" s="30" t="s">
        <v>62</v>
      </c>
      <c r="E42" s="372"/>
      <c r="F42" s="374"/>
      <c r="G42" s="372"/>
      <c r="H42" s="374"/>
      <c r="I42" s="372"/>
      <c r="J42" s="382"/>
      <c r="K42" s="375"/>
      <c r="L42" s="376"/>
      <c r="M42" s="377"/>
      <c r="N42" s="376"/>
      <c r="O42" s="377"/>
      <c r="P42" s="376"/>
    </row>
    <row r="43" spans="2:16" ht="16.5">
      <c r="B43" s="34" t="s">
        <v>56</v>
      </c>
      <c r="C43" s="30" t="s">
        <v>63</v>
      </c>
      <c r="D43" s="30" t="s">
        <v>64</v>
      </c>
      <c r="E43" s="371">
        <f>' TOP ABRIL 2026'!BL41+' TOP ABRIL 2026'!BL42</f>
        <v>15</v>
      </c>
      <c r="F43" s="373">
        <f>E43/20</f>
        <v>0.75</v>
      </c>
      <c r="G43" s="371">
        <f>' TOP ABRIL 2026'!BM41+' TOP ABRIL 2026'!BM42</f>
        <v>13</v>
      </c>
      <c r="H43" s="373">
        <f>G43/20</f>
        <v>0.65</v>
      </c>
      <c r="I43" s="371">
        <f t="shared" si="0"/>
        <v>28</v>
      </c>
      <c r="J43" s="380">
        <f>I43/40</f>
        <v>0.7</v>
      </c>
      <c r="K43" s="375"/>
      <c r="L43" s="376"/>
      <c r="M43" s="377"/>
      <c r="N43" s="376"/>
      <c r="O43" s="377"/>
      <c r="P43" s="376"/>
    </row>
    <row r="44" spans="2:16" ht="16.5">
      <c r="B44" s="34" t="s">
        <v>56</v>
      </c>
      <c r="C44" s="30" t="s">
        <v>63</v>
      </c>
      <c r="D44" s="30" t="s">
        <v>65</v>
      </c>
      <c r="E44" s="372"/>
      <c r="F44" s="374"/>
      <c r="G44" s="372"/>
      <c r="H44" s="374"/>
      <c r="I44" s="372"/>
      <c r="J44" s="382"/>
      <c r="K44" s="375"/>
      <c r="L44" s="376"/>
      <c r="M44" s="377"/>
      <c r="N44" s="376"/>
      <c r="O44" s="377"/>
      <c r="P44" s="376"/>
    </row>
    <row r="45" spans="2:16" ht="16.5">
      <c r="B45" s="34" t="s">
        <v>56</v>
      </c>
      <c r="C45" s="30" t="s">
        <v>66</v>
      </c>
      <c r="D45" s="30" t="s">
        <v>67</v>
      </c>
      <c r="E45" s="30">
        <f>' TOP ABRIL 2026'!BL43</f>
        <v>19</v>
      </c>
      <c r="F45" s="33">
        <f>E45/20</f>
        <v>0.95</v>
      </c>
      <c r="G45" s="30">
        <f>' TOP ABRIL 2026'!BM43</f>
        <v>13</v>
      </c>
      <c r="H45" s="33">
        <f>G45/20</f>
        <v>0.65</v>
      </c>
      <c r="I45" s="30">
        <f t="shared" si="0"/>
        <v>32</v>
      </c>
      <c r="J45" s="105">
        <f>I45/40</f>
        <v>0.8</v>
      </c>
      <c r="K45" s="107"/>
      <c r="L45" s="81"/>
      <c r="M45" s="85"/>
      <c r="N45" s="81"/>
      <c r="O45" s="85"/>
      <c r="P45" s="81"/>
    </row>
    <row r="46" spans="2:16" ht="16.5">
      <c r="B46" s="34" t="s">
        <v>56</v>
      </c>
      <c r="C46" s="30" t="s">
        <v>68</v>
      </c>
      <c r="D46" s="30" t="s">
        <v>69</v>
      </c>
      <c r="E46" s="30">
        <f>' TOP ABRIL 2026'!BL44</f>
        <v>19</v>
      </c>
      <c r="F46" s="33">
        <f t="shared" ref="F46:H47" si="2">E46/20</f>
        <v>0.95</v>
      </c>
      <c r="G46" s="30">
        <f>' TOP ABRIL 2026'!BM44</f>
        <v>14</v>
      </c>
      <c r="H46" s="33">
        <f t="shared" si="2"/>
        <v>0.7</v>
      </c>
      <c r="I46" s="30">
        <f t="shared" si="0"/>
        <v>33</v>
      </c>
      <c r="J46" s="105">
        <f t="shared" ref="J46:J47" si="3">I46/40</f>
        <v>0.82499999999999996</v>
      </c>
      <c r="K46" s="107"/>
      <c r="L46" s="81"/>
      <c r="M46" s="85"/>
      <c r="N46" s="81"/>
      <c r="O46" s="85"/>
      <c r="P46" s="81"/>
    </row>
    <row r="47" spans="2:16" ht="16.5">
      <c r="B47" s="34" t="s">
        <v>56</v>
      </c>
      <c r="C47" s="30" t="s">
        <v>70</v>
      </c>
      <c r="D47" s="30" t="s">
        <v>71</v>
      </c>
      <c r="E47" s="30">
        <f>' TOP ABRIL 2026'!BL45</f>
        <v>20</v>
      </c>
      <c r="F47" s="33">
        <f t="shared" si="2"/>
        <v>1</v>
      </c>
      <c r="G47" s="30">
        <f>' TOP ABRIL 2026'!BM45</f>
        <v>20</v>
      </c>
      <c r="H47" s="33">
        <f t="shared" si="2"/>
        <v>1</v>
      </c>
      <c r="I47" s="30">
        <f t="shared" si="0"/>
        <v>40</v>
      </c>
      <c r="J47" s="105">
        <f t="shared" si="3"/>
        <v>1</v>
      </c>
      <c r="K47" s="107"/>
      <c r="L47" s="81"/>
      <c r="M47" s="85"/>
      <c r="N47" s="81"/>
      <c r="O47" s="85"/>
      <c r="P47" s="81"/>
    </row>
    <row r="48" spans="2:16" ht="16.5">
      <c r="B48" s="34" t="s">
        <v>72</v>
      </c>
      <c r="C48" s="30" t="s">
        <v>73</v>
      </c>
      <c r="D48" s="30" t="s">
        <v>74</v>
      </c>
      <c r="E48" s="371">
        <f>' TOP ABRIL 2026'!BL46</f>
        <v>19</v>
      </c>
      <c r="F48" s="373">
        <f>E48/20</f>
        <v>0.95</v>
      </c>
      <c r="G48" s="371">
        <f>' TOP ABRIL 2026'!BM46</f>
        <v>11</v>
      </c>
      <c r="H48" s="373">
        <f>G48/20</f>
        <v>0.55000000000000004</v>
      </c>
      <c r="I48" s="371">
        <f>E48+G48</f>
        <v>30</v>
      </c>
      <c r="J48" s="380">
        <f>I48/40</f>
        <v>0.75</v>
      </c>
      <c r="K48" s="375"/>
      <c r="L48" s="376"/>
      <c r="M48" s="377"/>
      <c r="N48" s="376"/>
      <c r="O48" s="377"/>
      <c r="P48" s="376"/>
    </row>
    <row r="49" spans="2:16" ht="16.5">
      <c r="B49" s="34" t="s">
        <v>72</v>
      </c>
      <c r="C49" s="30" t="s">
        <v>73</v>
      </c>
      <c r="D49" s="30" t="s">
        <v>75</v>
      </c>
      <c r="E49" s="372"/>
      <c r="F49" s="374"/>
      <c r="G49" s="372"/>
      <c r="H49" s="374"/>
      <c r="I49" s="372"/>
      <c r="J49" s="382"/>
      <c r="K49" s="375"/>
      <c r="L49" s="376"/>
      <c r="M49" s="377"/>
      <c r="N49" s="376"/>
      <c r="O49" s="377"/>
      <c r="P49" s="376"/>
    </row>
    <row r="50" spans="2:16" ht="16.5">
      <c r="B50" s="34" t="s">
        <v>72</v>
      </c>
      <c r="C50" s="30" t="s">
        <v>76</v>
      </c>
      <c r="D50" s="30" t="s">
        <v>77</v>
      </c>
      <c r="E50" s="371">
        <f>' TOP ABRIL 2026'!BL48</f>
        <v>20</v>
      </c>
      <c r="F50" s="373">
        <f>E50/20</f>
        <v>1</v>
      </c>
      <c r="G50" s="371">
        <f>' TOP ABRIL 2026'!BM48</f>
        <v>20</v>
      </c>
      <c r="H50" s="373">
        <f>G50/20</f>
        <v>1</v>
      </c>
      <c r="I50" s="371">
        <f t="shared" si="0"/>
        <v>40</v>
      </c>
      <c r="J50" s="380">
        <f>I50/40</f>
        <v>1</v>
      </c>
      <c r="K50" s="375"/>
      <c r="L50" s="376"/>
      <c r="M50" s="377"/>
      <c r="N50" s="376"/>
      <c r="O50" s="377"/>
      <c r="P50" s="376"/>
    </row>
    <row r="51" spans="2:16" ht="16.5">
      <c r="B51" s="34" t="s">
        <v>72</v>
      </c>
      <c r="C51" s="30" t="s">
        <v>76</v>
      </c>
      <c r="D51" s="30" t="s">
        <v>78</v>
      </c>
      <c r="E51" s="378"/>
      <c r="F51" s="379"/>
      <c r="G51" s="378"/>
      <c r="H51" s="379"/>
      <c r="I51" s="378"/>
      <c r="J51" s="381"/>
      <c r="K51" s="375"/>
      <c r="L51" s="376"/>
      <c r="M51" s="377"/>
      <c r="N51" s="376"/>
      <c r="O51" s="377"/>
      <c r="P51" s="376"/>
    </row>
    <row r="52" spans="2:16" ht="16.5">
      <c r="B52" s="34" t="s">
        <v>72</v>
      </c>
      <c r="C52" s="30" t="s">
        <v>76</v>
      </c>
      <c r="D52" s="30" t="s">
        <v>79</v>
      </c>
      <c r="E52" s="378"/>
      <c r="F52" s="379"/>
      <c r="G52" s="378"/>
      <c r="H52" s="379"/>
      <c r="I52" s="378"/>
      <c r="J52" s="381"/>
      <c r="K52" s="375"/>
      <c r="L52" s="376"/>
      <c r="M52" s="377"/>
      <c r="N52" s="376"/>
      <c r="O52" s="377"/>
      <c r="P52" s="376"/>
    </row>
    <row r="53" spans="2:16" ht="16.5">
      <c r="B53" s="34" t="s">
        <v>72</v>
      </c>
      <c r="C53" s="30" t="s">
        <v>76</v>
      </c>
      <c r="D53" s="30" t="s">
        <v>80</v>
      </c>
      <c r="E53" s="378"/>
      <c r="F53" s="379"/>
      <c r="G53" s="378"/>
      <c r="H53" s="379"/>
      <c r="I53" s="378"/>
      <c r="J53" s="381"/>
      <c r="K53" s="375"/>
      <c r="L53" s="376"/>
      <c r="M53" s="377"/>
      <c r="N53" s="376"/>
      <c r="O53" s="377"/>
      <c r="P53" s="376"/>
    </row>
    <row r="54" spans="2:16" ht="16.5">
      <c r="B54" s="34" t="s">
        <v>72</v>
      </c>
      <c r="C54" s="30" t="s">
        <v>76</v>
      </c>
      <c r="D54" s="30" t="s">
        <v>81</v>
      </c>
      <c r="E54" s="372"/>
      <c r="F54" s="374"/>
      <c r="G54" s="372"/>
      <c r="H54" s="374"/>
      <c r="I54" s="372"/>
      <c r="J54" s="382"/>
      <c r="K54" s="375"/>
      <c r="L54" s="376"/>
      <c r="M54" s="377"/>
      <c r="N54" s="376"/>
      <c r="O54" s="377"/>
      <c r="P54" s="376"/>
    </row>
    <row r="55" spans="2:16" ht="16.5">
      <c r="B55" s="34" t="s">
        <v>72</v>
      </c>
      <c r="C55" s="30" t="s">
        <v>82</v>
      </c>
      <c r="D55" s="30" t="s">
        <v>83</v>
      </c>
      <c r="E55" s="371">
        <f>' TOP ABRIL 2026'!BL53+' TOP ABRIL 2026'!BL54</f>
        <v>20</v>
      </c>
      <c r="F55" s="373">
        <f>E55/20</f>
        <v>1</v>
      </c>
      <c r="G55" s="371">
        <f>' TOP ABRIL 2026'!BM53+' TOP ABRIL 2026'!BM54</f>
        <v>20</v>
      </c>
      <c r="H55" s="373">
        <f>G55/20</f>
        <v>1</v>
      </c>
      <c r="I55" s="371">
        <f t="shared" si="0"/>
        <v>40</v>
      </c>
      <c r="J55" s="380">
        <f>I55/40</f>
        <v>1</v>
      </c>
      <c r="K55" s="375"/>
      <c r="L55" s="376"/>
      <c r="M55" s="377"/>
      <c r="N55" s="376"/>
      <c r="O55" s="377"/>
      <c r="P55" s="376"/>
    </row>
    <row r="56" spans="2:16" ht="16.5">
      <c r="B56" s="34" t="s">
        <v>72</v>
      </c>
      <c r="C56" s="30" t="s">
        <v>82</v>
      </c>
      <c r="D56" s="30" t="s">
        <v>84</v>
      </c>
      <c r="E56" s="372"/>
      <c r="F56" s="374"/>
      <c r="G56" s="372"/>
      <c r="H56" s="374"/>
      <c r="I56" s="372"/>
      <c r="J56" s="382"/>
      <c r="K56" s="375"/>
      <c r="L56" s="376"/>
      <c r="M56" s="377"/>
      <c r="N56" s="376"/>
      <c r="O56" s="377"/>
      <c r="P56" s="376"/>
    </row>
    <row r="57" spans="2:16" ht="16.5">
      <c r="B57" s="34" t="s">
        <v>72</v>
      </c>
      <c r="C57" s="30" t="s">
        <v>85</v>
      </c>
      <c r="D57" s="30" t="s">
        <v>86</v>
      </c>
      <c r="E57" s="371">
        <f>' TOP ABRIL 2026'!BL55+' TOP ABRIL 2026'!BL56</f>
        <v>20</v>
      </c>
      <c r="F57" s="373">
        <f>E57/20</f>
        <v>1</v>
      </c>
      <c r="G57" s="371">
        <f>' TOP ABRIL 2026'!BM55+' TOP ABRIL 2026'!BM56</f>
        <v>19</v>
      </c>
      <c r="H57" s="373">
        <f>G57/20</f>
        <v>0.95</v>
      </c>
      <c r="I57" s="371">
        <f t="shared" si="0"/>
        <v>39</v>
      </c>
      <c r="J57" s="380">
        <f>I57/40</f>
        <v>0.97499999999999998</v>
      </c>
      <c r="K57" s="375"/>
      <c r="L57" s="376"/>
      <c r="M57" s="377"/>
      <c r="N57" s="376"/>
      <c r="O57" s="377"/>
      <c r="P57" s="376"/>
    </row>
    <row r="58" spans="2:16" ht="16.5">
      <c r="B58" s="34" t="s">
        <v>72</v>
      </c>
      <c r="C58" s="30" t="s">
        <v>85</v>
      </c>
      <c r="D58" s="30" t="s">
        <v>87</v>
      </c>
      <c r="E58" s="378"/>
      <c r="F58" s="379"/>
      <c r="G58" s="378"/>
      <c r="H58" s="379"/>
      <c r="I58" s="378"/>
      <c r="J58" s="381"/>
      <c r="K58" s="375"/>
      <c r="L58" s="376"/>
      <c r="M58" s="377"/>
      <c r="N58" s="376"/>
      <c r="O58" s="377"/>
      <c r="P58" s="376"/>
    </row>
    <row r="59" spans="2:16" ht="16.5">
      <c r="B59" s="34" t="s">
        <v>72</v>
      </c>
      <c r="C59" s="30" t="s">
        <v>85</v>
      </c>
      <c r="D59" s="30" t="s">
        <v>88</v>
      </c>
      <c r="E59" s="372"/>
      <c r="F59" s="374"/>
      <c r="G59" s="372"/>
      <c r="H59" s="374"/>
      <c r="I59" s="372"/>
      <c r="J59" s="382"/>
      <c r="K59" s="375"/>
      <c r="L59" s="376"/>
      <c r="M59" s="377"/>
      <c r="N59" s="376"/>
      <c r="O59" s="377"/>
      <c r="P59" s="376"/>
    </row>
    <row r="60" spans="2:16" ht="16.5">
      <c r="B60" s="34" t="s">
        <v>72</v>
      </c>
      <c r="C60" s="30" t="s">
        <v>89</v>
      </c>
      <c r="D60" s="30" t="s">
        <v>90</v>
      </c>
      <c r="E60" s="30">
        <f>' TOP ABRIL 2026'!BL58</f>
        <v>20</v>
      </c>
      <c r="F60" s="33">
        <f>E60/20</f>
        <v>1</v>
      </c>
      <c r="G60" s="30">
        <f>' TOP ABRIL 2026'!BM58</f>
        <v>17</v>
      </c>
      <c r="H60" s="33">
        <f>G60/20</f>
        <v>0.85</v>
      </c>
      <c r="I60" s="30">
        <f t="shared" si="0"/>
        <v>37</v>
      </c>
      <c r="J60" s="105">
        <f>I60/40</f>
        <v>0.92500000000000004</v>
      </c>
      <c r="K60" s="107"/>
      <c r="L60" s="81"/>
      <c r="M60" s="85"/>
      <c r="N60" s="81"/>
      <c r="O60" s="85"/>
      <c r="P60" s="81"/>
    </row>
    <row r="61" spans="2:16" ht="16.5">
      <c r="B61" s="34" t="s">
        <v>72</v>
      </c>
      <c r="C61" s="30" t="s">
        <v>91</v>
      </c>
      <c r="D61" s="30" t="s">
        <v>92</v>
      </c>
      <c r="E61" s="371">
        <f>' TOP ABRIL 2026'!BL59</f>
        <v>16</v>
      </c>
      <c r="F61" s="373">
        <f>E61/20</f>
        <v>0.8</v>
      </c>
      <c r="G61" s="371">
        <f>' TOP ABRIL 2026'!BM59</f>
        <v>12</v>
      </c>
      <c r="H61" s="373">
        <f>G61/20</f>
        <v>0.6</v>
      </c>
      <c r="I61" s="371">
        <f t="shared" si="0"/>
        <v>28</v>
      </c>
      <c r="J61" s="380">
        <f>I61/40</f>
        <v>0.7</v>
      </c>
      <c r="K61" s="375"/>
      <c r="L61" s="376"/>
      <c r="M61" s="377"/>
      <c r="N61" s="376"/>
      <c r="O61" s="377"/>
      <c r="P61" s="376"/>
    </row>
    <row r="62" spans="2:16" ht="16.5">
      <c r="B62" s="34" t="s">
        <v>72</v>
      </c>
      <c r="C62" s="30" t="s">
        <v>91</v>
      </c>
      <c r="D62" s="30" t="s">
        <v>93</v>
      </c>
      <c r="E62" s="372"/>
      <c r="F62" s="374"/>
      <c r="G62" s="372"/>
      <c r="H62" s="374"/>
      <c r="I62" s="372"/>
      <c r="J62" s="382"/>
      <c r="K62" s="375"/>
      <c r="L62" s="376"/>
      <c r="M62" s="377"/>
      <c r="N62" s="376"/>
      <c r="O62" s="377"/>
      <c r="P62" s="376"/>
    </row>
    <row r="63" spans="2:16" ht="16.5">
      <c r="B63" s="34" t="s">
        <v>94</v>
      </c>
      <c r="C63" s="30" t="s">
        <v>95</v>
      </c>
      <c r="D63" s="30" t="s">
        <v>96</v>
      </c>
      <c r="E63" s="30">
        <f>' TOP ABRIL 2026'!BL61</f>
        <v>20</v>
      </c>
      <c r="F63" s="33">
        <f>E63/20</f>
        <v>1</v>
      </c>
      <c r="G63" s="30">
        <f>' TOP ABRIL 2026'!BM61</f>
        <v>20</v>
      </c>
      <c r="H63" s="33">
        <f>G63/20</f>
        <v>1</v>
      </c>
      <c r="I63" s="30">
        <f t="shared" si="0"/>
        <v>40</v>
      </c>
      <c r="J63" s="105">
        <f>I63/40</f>
        <v>1</v>
      </c>
      <c r="K63" s="107"/>
      <c r="L63" s="81"/>
      <c r="M63" s="85"/>
      <c r="N63" s="81"/>
      <c r="O63" s="85"/>
      <c r="P63" s="81"/>
    </row>
    <row r="64" spans="2:16" ht="16.5">
      <c r="B64" s="34" t="s">
        <v>97</v>
      </c>
      <c r="C64" s="30" t="s">
        <v>192</v>
      </c>
      <c r="D64" s="30" t="s">
        <v>99</v>
      </c>
      <c r="E64" s="30">
        <f>' TOP ABRIL 2026'!BL62</f>
        <v>19</v>
      </c>
      <c r="F64" s="33">
        <f>E64/20</f>
        <v>0.95</v>
      </c>
      <c r="G64" s="30">
        <f>' TOP ABRIL 2026'!BM62</f>
        <v>17</v>
      </c>
      <c r="H64" s="33">
        <f>G64/20</f>
        <v>0.85</v>
      </c>
      <c r="I64" s="30">
        <f t="shared" si="0"/>
        <v>36</v>
      </c>
      <c r="J64" s="105">
        <f t="shared" ref="J64:J65" si="4">I64/40</f>
        <v>0.9</v>
      </c>
      <c r="K64" s="107"/>
      <c r="L64" s="81"/>
      <c r="M64" s="85"/>
      <c r="N64" s="81"/>
      <c r="O64" s="85"/>
      <c r="P64" s="81"/>
    </row>
    <row r="65" spans="2:16" ht="16.5">
      <c r="B65" s="34" t="s">
        <v>97</v>
      </c>
      <c r="C65" s="30" t="s">
        <v>100</v>
      </c>
      <c r="D65" s="30" t="s">
        <v>101</v>
      </c>
      <c r="E65" s="30">
        <f>' TOP ABRIL 2026'!BL63</f>
        <v>18</v>
      </c>
      <c r="F65" s="33">
        <f>E65/20</f>
        <v>0.9</v>
      </c>
      <c r="G65" s="30">
        <f>' TOP ABRIL 2026'!BM63</f>
        <v>18</v>
      </c>
      <c r="H65" s="33">
        <f>G65/20</f>
        <v>0.9</v>
      </c>
      <c r="I65" s="30">
        <f t="shared" si="0"/>
        <v>36</v>
      </c>
      <c r="J65" s="105">
        <f t="shared" si="4"/>
        <v>0.9</v>
      </c>
      <c r="K65" s="107"/>
      <c r="L65" s="81"/>
      <c r="M65" s="85"/>
      <c r="N65" s="81"/>
      <c r="O65" s="85"/>
      <c r="P65" s="81"/>
    </row>
    <row r="66" spans="2:16" ht="16.5">
      <c r="B66" s="34" t="s">
        <v>97</v>
      </c>
      <c r="C66" s="30" t="s">
        <v>102</v>
      </c>
      <c r="D66" s="30" t="s">
        <v>103</v>
      </c>
      <c r="E66" s="371">
        <f>' TOP ABRIL 2026'!BL64+' TOP ABRIL 2026'!BL65</f>
        <v>19</v>
      </c>
      <c r="F66" s="373">
        <f>E66/20</f>
        <v>0.95</v>
      </c>
      <c r="G66" s="371">
        <f>' TOP ABRIL 2026'!BM64+' TOP ABRIL 2026'!BM65</f>
        <v>13</v>
      </c>
      <c r="H66" s="373">
        <f>G66/20</f>
        <v>0.65</v>
      </c>
      <c r="I66" s="371">
        <f t="shared" si="0"/>
        <v>32</v>
      </c>
      <c r="J66" s="380">
        <f>I66/40</f>
        <v>0.8</v>
      </c>
      <c r="K66" s="375"/>
      <c r="L66" s="376"/>
      <c r="M66" s="377"/>
      <c r="N66" s="376"/>
      <c r="O66" s="377"/>
      <c r="P66" s="376"/>
    </row>
    <row r="67" spans="2:16" ht="16.5">
      <c r="B67" s="34" t="s">
        <v>97</v>
      </c>
      <c r="C67" s="30" t="s">
        <v>102</v>
      </c>
      <c r="D67" s="30" t="s">
        <v>104</v>
      </c>
      <c r="E67" s="372"/>
      <c r="F67" s="374"/>
      <c r="G67" s="372"/>
      <c r="H67" s="374"/>
      <c r="I67" s="372"/>
      <c r="J67" s="382"/>
      <c r="K67" s="375"/>
      <c r="L67" s="376"/>
      <c r="M67" s="377"/>
      <c r="N67" s="376"/>
      <c r="O67" s="377"/>
      <c r="P67" s="376"/>
    </row>
    <row r="68" spans="2:16" ht="16.5">
      <c r="B68" s="34" t="s">
        <v>97</v>
      </c>
      <c r="C68" s="30" t="s">
        <v>105</v>
      </c>
      <c r="D68" s="30" t="s">
        <v>106</v>
      </c>
      <c r="E68" s="371">
        <f>' TOP ABRIL 2026'!BL66</f>
        <v>12</v>
      </c>
      <c r="F68" s="373">
        <f>E68/20</f>
        <v>0.6</v>
      </c>
      <c r="G68" s="371">
        <f>' TOP ABRIL 2026'!BM66</f>
        <v>6</v>
      </c>
      <c r="H68" s="373">
        <f>G68/20</f>
        <v>0.3</v>
      </c>
      <c r="I68" s="371">
        <f t="shared" si="0"/>
        <v>18</v>
      </c>
      <c r="J68" s="380">
        <f t="shared" ref="J68" si="5">I68/40</f>
        <v>0.45</v>
      </c>
      <c r="K68" s="375"/>
      <c r="L68" s="376"/>
      <c r="M68" s="377"/>
      <c r="N68" s="376"/>
      <c r="O68" s="377"/>
      <c r="P68" s="376"/>
    </row>
    <row r="69" spans="2:16" ht="16.5">
      <c r="B69" s="34" t="s">
        <v>97</v>
      </c>
      <c r="C69" s="30" t="s">
        <v>105</v>
      </c>
      <c r="D69" s="30" t="s">
        <v>107</v>
      </c>
      <c r="E69" s="372"/>
      <c r="F69" s="374"/>
      <c r="G69" s="372"/>
      <c r="H69" s="374"/>
      <c r="I69" s="372"/>
      <c r="J69" s="382"/>
      <c r="K69" s="375"/>
      <c r="L69" s="376"/>
      <c r="M69" s="377"/>
      <c r="N69" s="376"/>
      <c r="O69" s="377"/>
      <c r="P69" s="376"/>
    </row>
    <row r="70" spans="2:16" ht="16.5">
      <c r="B70" s="34" t="s">
        <v>108</v>
      </c>
      <c r="C70" s="30" t="s">
        <v>109</v>
      </c>
      <c r="D70" s="30" t="s">
        <v>110</v>
      </c>
      <c r="E70" s="371">
        <f>' TOP ABRIL 2026'!BL68</f>
        <v>20</v>
      </c>
      <c r="F70" s="373">
        <f>E70/20</f>
        <v>1</v>
      </c>
      <c r="G70" s="371">
        <f>' TOP ABRIL 2026'!BM68</f>
        <v>9</v>
      </c>
      <c r="H70" s="373">
        <f>G70/20</f>
        <v>0.45</v>
      </c>
      <c r="I70" s="371">
        <f t="shared" si="0"/>
        <v>29</v>
      </c>
      <c r="J70" s="380">
        <f t="shared" ref="J70" si="6">I70/40</f>
        <v>0.72499999999999998</v>
      </c>
      <c r="K70" s="375"/>
      <c r="L70" s="376"/>
      <c r="M70" s="377"/>
      <c r="N70" s="376"/>
      <c r="O70" s="377"/>
      <c r="P70" s="376"/>
    </row>
    <row r="71" spans="2:16" ht="16.5">
      <c r="B71" s="34" t="s">
        <v>108</v>
      </c>
      <c r="C71" s="30" t="s">
        <v>109</v>
      </c>
      <c r="D71" s="30" t="s">
        <v>111</v>
      </c>
      <c r="E71" s="372"/>
      <c r="F71" s="374"/>
      <c r="G71" s="372"/>
      <c r="H71" s="374"/>
      <c r="I71" s="372"/>
      <c r="J71" s="382"/>
      <c r="K71" s="375"/>
      <c r="L71" s="376"/>
      <c r="M71" s="377"/>
      <c r="N71" s="376"/>
      <c r="O71" s="377"/>
      <c r="P71" s="376"/>
    </row>
    <row r="72" spans="2:16" ht="16.5">
      <c r="B72" s="34" t="s">
        <v>108</v>
      </c>
      <c r="C72" s="30" t="s">
        <v>112</v>
      </c>
      <c r="D72" s="30" t="s">
        <v>113</v>
      </c>
      <c r="E72" s="371">
        <f>' TOP ABRIL 2026'!BL70+' TOP ABRIL 2026'!BL71</f>
        <v>18</v>
      </c>
      <c r="F72" s="373">
        <f>E72/20</f>
        <v>0.9</v>
      </c>
      <c r="G72" s="371">
        <f>' TOP ABRIL 2026'!BM70+' TOP ABRIL 2026'!BM71</f>
        <v>18</v>
      </c>
      <c r="H72" s="373">
        <f>G72/20</f>
        <v>0.9</v>
      </c>
      <c r="I72" s="371">
        <f t="shared" ref="I72:I102" si="7">E72+G72</f>
        <v>36</v>
      </c>
      <c r="J72" s="380">
        <f t="shared" ref="J72" si="8">I72/40</f>
        <v>0.9</v>
      </c>
      <c r="K72" s="375"/>
      <c r="L72" s="376"/>
      <c r="M72" s="377"/>
      <c r="N72" s="376"/>
      <c r="O72" s="377"/>
      <c r="P72" s="376"/>
    </row>
    <row r="73" spans="2:16" ht="16.5">
      <c r="B73" s="34" t="s">
        <v>108</v>
      </c>
      <c r="C73" s="30" t="s">
        <v>112</v>
      </c>
      <c r="D73" s="30" t="s">
        <v>114</v>
      </c>
      <c r="E73" s="372"/>
      <c r="F73" s="374"/>
      <c r="G73" s="372"/>
      <c r="H73" s="374"/>
      <c r="I73" s="372"/>
      <c r="J73" s="382"/>
      <c r="K73" s="375"/>
      <c r="L73" s="376"/>
      <c r="M73" s="377"/>
      <c r="N73" s="376"/>
      <c r="O73" s="377"/>
      <c r="P73" s="376"/>
    </row>
    <row r="74" spans="2:16" ht="16.5">
      <c r="B74" s="34" t="s">
        <v>108</v>
      </c>
      <c r="C74" s="30" t="s">
        <v>115</v>
      </c>
      <c r="D74" s="30" t="s">
        <v>116</v>
      </c>
      <c r="E74" s="30">
        <f>' TOP ABRIL 2026'!BL72</f>
        <v>19</v>
      </c>
      <c r="F74" s="33">
        <f>E74/20</f>
        <v>0.95</v>
      </c>
      <c r="G74" s="30">
        <f>' TOP ABRIL 2026'!BM72</f>
        <v>20</v>
      </c>
      <c r="H74" s="33">
        <f>G74/20</f>
        <v>1</v>
      </c>
      <c r="I74" s="30">
        <f t="shared" si="7"/>
        <v>39</v>
      </c>
      <c r="J74" s="105">
        <f>I74/40</f>
        <v>0.97499999999999998</v>
      </c>
      <c r="K74" s="107"/>
      <c r="L74" s="81"/>
      <c r="M74" s="85"/>
      <c r="N74" s="81"/>
      <c r="O74" s="85"/>
      <c r="P74" s="81"/>
    </row>
    <row r="75" spans="2:16" ht="16.5">
      <c r="B75" s="34" t="s">
        <v>108</v>
      </c>
      <c r="C75" s="30" t="s">
        <v>117</v>
      </c>
      <c r="D75" s="30" t="s">
        <v>118</v>
      </c>
      <c r="E75" s="30">
        <f>' TOP ABRIL 2026'!BL73</f>
        <v>19</v>
      </c>
      <c r="F75" s="33">
        <f t="shared" ref="F75:H83" si="9">E75/20</f>
        <v>0.95</v>
      </c>
      <c r="G75" s="30">
        <f>' TOP ABRIL 2026'!BM73</f>
        <v>18</v>
      </c>
      <c r="H75" s="33">
        <f t="shared" si="9"/>
        <v>0.9</v>
      </c>
      <c r="I75" s="30">
        <f>E75+G75</f>
        <v>37</v>
      </c>
      <c r="J75" s="105">
        <f>I75/40</f>
        <v>0.92500000000000004</v>
      </c>
      <c r="K75" s="107"/>
      <c r="L75" s="81"/>
      <c r="M75" s="85"/>
      <c r="N75" s="81"/>
      <c r="O75" s="85"/>
      <c r="P75" s="81"/>
    </row>
    <row r="76" spans="2:16" ht="16.5">
      <c r="B76" s="34" t="s">
        <v>108</v>
      </c>
      <c r="C76" s="30" t="s">
        <v>119</v>
      </c>
      <c r="D76" s="30" t="s">
        <v>120</v>
      </c>
      <c r="E76" s="30">
        <f>' TOP ABRIL 2026'!BL74</f>
        <v>20</v>
      </c>
      <c r="F76" s="33">
        <f t="shared" si="9"/>
        <v>1</v>
      </c>
      <c r="G76" s="30">
        <f>' TOP ABRIL 2026'!BM74</f>
        <v>20</v>
      </c>
      <c r="H76" s="33">
        <f t="shared" si="9"/>
        <v>1</v>
      </c>
      <c r="I76" s="30">
        <f t="shared" si="7"/>
        <v>40</v>
      </c>
      <c r="J76" s="105">
        <f t="shared" ref="J76:J83" si="10">I76/40</f>
        <v>1</v>
      </c>
      <c r="K76" s="107"/>
      <c r="L76" s="81"/>
      <c r="M76" s="85"/>
      <c r="N76" s="81"/>
      <c r="O76" s="85"/>
      <c r="P76" s="81"/>
    </row>
    <row r="77" spans="2:16" ht="16.5">
      <c r="B77" s="34" t="s">
        <v>108</v>
      </c>
      <c r="C77" s="30" t="s">
        <v>121</v>
      </c>
      <c r="D77" s="30" t="s">
        <v>122</v>
      </c>
      <c r="E77" s="30">
        <f>' TOP ABRIL 2026'!BL75</f>
        <v>9</v>
      </c>
      <c r="F77" s="33">
        <f t="shared" si="9"/>
        <v>0.45</v>
      </c>
      <c r="G77" s="30">
        <f>' TOP ABRIL 2026'!BM75</f>
        <v>15</v>
      </c>
      <c r="H77" s="33">
        <f t="shared" si="9"/>
        <v>0.75</v>
      </c>
      <c r="I77" s="30">
        <f t="shared" si="7"/>
        <v>24</v>
      </c>
      <c r="J77" s="105">
        <f t="shared" si="10"/>
        <v>0.6</v>
      </c>
      <c r="K77" s="107"/>
      <c r="L77" s="81"/>
      <c r="M77" s="85"/>
      <c r="N77" s="81"/>
      <c r="O77" s="85"/>
      <c r="P77" s="81"/>
    </row>
    <row r="78" spans="2:16" ht="16.5">
      <c r="B78" s="34" t="s">
        <v>123</v>
      </c>
      <c r="C78" s="30" t="s">
        <v>124</v>
      </c>
      <c r="D78" s="30" t="s">
        <v>125</v>
      </c>
      <c r="E78" s="30">
        <f>' TOP ABRIL 2026'!BL76</f>
        <v>20</v>
      </c>
      <c r="F78" s="33">
        <f t="shared" si="9"/>
        <v>1</v>
      </c>
      <c r="G78" s="30">
        <f>' TOP ABRIL 2026'!BM76</f>
        <v>20</v>
      </c>
      <c r="H78" s="33">
        <f t="shared" si="9"/>
        <v>1</v>
      </c>
      <c r="I78" s="30">
        <f t="shared" si="7"/>
        <v>40</v>
      </c>
      <c r="J78" s="105">
        <f t="shared" si="10"/>
        <v>1</v>
      </c>
      <c r="K78" s="107"/>
      <c r="L78" s="81"/>
      <c r="M78" s="85"/>
      <c r="N78" s="81"/>
      <c r="O78" s="85"/>
      <c r="P78" s="81"/>
    </row>
    <row r="79" spans="2:16" ht="16.5">
      <c r="B79" s="34" t="s">
        <v>123</v>
      </c>
      <c r="C79" s="30" t="s">
        <v>126</v>
      </c>
      <c r="D79" s="30" t="s">
        <v>127</v>
      </c>
      <c r="E79" s="30">
        <f>' TOP ABRIL 2026'!BL77</f>
        <v>20</v>
      </c>
      <c r="F79" s="33">
        <f t="shared" si="9"/>
        <v>1</v>
      </c>
      <c r="G79" s="30">
        <f>' TOP ABRIL 2026'!BM77</f>
        <v>20</v>
      </c>
      <c r="H79" s="33">
        <f t="shared" si="9"/>
        <v>1</v>
      </c>
      <c r="I79" s="30">
        <f t="shared" si="7"/>
        <v>40</v>
      </c>
      <c r="J79" s="105">
        <f t="shared" si="10"/>
        <v>1</v>
      </c>
      <c r="K79" s="107"/>
      <c r="L79" s="81"/>
      <c r="M79" s="85"/>
      <c r="N79" s="81"/>
      <c r="O79" s="85"/>
      <c r="P79" s="81"/>
    </row>
    <row r="80" spans="2:16" ht="16.5">
      <c r="B80" s="34" t="s">
        <v>123</v>
      </c>
      <c r="C80" s="30"/>
      <c r="D80" s="30" t="s">
        <v>193</v>
      </c>
      <c r="E80" s="30">
        <f>' TOP ABRIL 2026'!BL79</f>
        <v>20</v>
      </c>
      <c r="F80" s="33">
        <f t="shared" si="9"/>
        <v>1</v>
      </c>
      <c r="G80" s="30">
        <f>' TOP ABRIL 2026'!BM79</f>
        <v>20</v>
      </c>
      <c r="H80" s="33">
        <f t="shared" si="9"/>
        <v>1</v>
      </c>
      <c r="I80" s="30">
        <f t="shared" si="7"/>
        <v>40</v>
      </c>
      <c r="J80" s="105">
        <f t="shared" si="10"/>
        <v>1</v>
      </c>
      <c r="K80" s="107"/>
      <c r="L80" s="81"/>
      <c r="M80" s="85"/>
      <c r="N80" s="81"/>
      <c r="O80" s="85"/>
      <c r="P80" s="81"/>
    </row>
    <row r="81" spans="2:16" ht="16.5">
      <c r="B81" s="34" t="s">
        <v>123</v>
      </c>
      <c r="C81" s="30" t="s">
        <v>128</v>
      </c>
      <c r="D81" s="30" t="s">
        <v>194</v>
      </c>
      <c r="E81" s="30">
        <f>' TOP ABRIL 2026'!BL79</f>
        <v>20</v>
      </c>
      <c r="F81" s="33">
        <f t="shared" si="9"/>
        <v>1</v>
      </c>
      <c r="G81" s="30">
        <f>' TOP ABRIL 2026'!BM79</f>
        <v>20</v>
      </c>
      <c r="H81" s="33">
        <f t="shared" si="9"/>
        <v>1</v>
      </c>
      <c r="I81" s="30">
        <f t="shared" si="7"/>
        <v>40</v>
      </c>
      <c r="J81" s="105">
        <f t="shared" si="10"/>
        <v>1</v>
      </c>
      <c r="K81" s="107"/>
      <c r="L81" s="81"/>
      <c r="M81" s="85"/>
      <c r="N81" s="81"/>
      <c r="O81" s="85"/>
      <c r="P81" s="81"/>
    </row>
    <row r="82" spans="2:16" ht="16.5">
      <c r="B82" s="34" t="s">
        <v>123</v>
      </c>
      <c r="C82" s="30" t="s">
        <v>130</v>
      </c>
      <c r="D82" s="30" t="s">
        <v>131</v>
      </c>
      <c r="E82" s="30">
        <f>' TOP ABRIL 2026'!BL80</f>
        <v>20</v>
      </c>
      <c r="F82" s="33">
        <f t="shared" si="9"/>
        <v>1</v>
      </c>
      <c r="G82" s="30">
        <f>' TOP ABRIL 2026'!BM80</f>
        <v>20</v>
      </c>
      <c r="H82" s="33">
        <f t="shared" si="9"/>
        <v>1</v>
      </c>
      <c r="I82" s="30">
        <f t="shared" si="7"/>
        <v>40</v>
      </c>
      <c r="J82" s="105">
        <f t="shared" si="10"/>
        <v>1</v>
      </c>
      <c r="K82" s="107"/>
      <c r="L82" s="81"/>
      <c r="M82" s="85"/>
      <c r="N82" s="81"/>
      <c r="O82" s="85"/>
      <c r="P82" s="81"/>
    </row>
    <row r="83" spans="2:16" ht="16.5">
      <c r="B83" s="34" t="s">
        <v>123</v>
      </c>
      <c r="C83" s="30" t="s">
        <v>132</v>
      </c>
      <c r="D83" s="30" t="s">
        <v>133</v>
      </c>
      <c r="E83" s="30">
        <f>' TOP ABRIL 2026'!BL81</f>
        <v>20</v>
      </c>
      <c r="F83" s="33">
        <f t="shared" si="9"/>
        <v>1</v>
      </c>
      <c r="G83" s="30">
        <f>' TOP ABRIL 2026'!BM81</f>
        <v>20</v>
      </c>
      <c r="H83" s="33">
        <f t="shared" si="9"/>
        <v>1</v>
      </c>
      <c r="I83" s="30">
        <f t="shared" si="7"/>
        <v>40</v>
      </c>
      <c r="J83" s="105">
        <f t="shared" si="10"/>
        <v>1</v>
      </c>
      <c r="K83" s="107"/>
      <c r="L83" s="81"/>
      <c r="M83" s="85"/>
      <c r="N83" s="81"/>
      <c r="O83" s="85"/>
      <c r="P83" s="81"/>
    </row>
    <row r="84" spans="2:16" ht="16.5">
      <c r="B84" s="34" t="s">
        <v>134</v>
      </c>
      <c r="C84" s="30" t="s">
        <v>135</v>
      </c>
      <c r="D84" s="30" t="s">
        <v>136</v>
      </c>
      <c r="E84" s="371">
        <f>' TOP ABRIL 2026'!BL82+' TOP ABRIL 2026'!BL83</f>
        <v>20</v>
      </c>
      <c r="F84" s="373">
        <f>E84/20</f>
        <v>1</v>
      </c>
      <c r="G84" s="371">
        <f>' TOP ABRIL 2026'!BM82+' TOP ABRIL 2026'!BM83</f>
        <v>17</v>
      </c>
      <c r="H84" s="373">
        <f>G84/20</f>
        <v>0.85</v>
      </c>
      <c r="I84" s="371">
        <f t="shared" si="7"/>
        <v>37</v>
      </c>
      <c r="J84" s="380">
        <f>I84/40</f>
        <v>0.92500000000000004</v>
      </c>
      <c r="K84" s="375"/>
      <c r="L84" s="376"/>
      <c r="M84" s="377"/>
      <c r="N84" s="376"/>
      <c r="O84" s="377"/>
      <c r="P84" s="376"/>
    </row>
    <row r="85" spans="2:16" ht="16.5">
      <c r="B85" s="34" t="s">
        <v>134</v>
      </c>
      <c r="C85" s="30" t="s">
        <v>135</v>
      </c>
      <c r="D85" s="30" t="s">
        <v>137</v>
      </c>
      <c r="E85" s="378"/>
      <c r="F85" s="379"/>
      <c r="G85" s="378"/>
      <c r="H85" s="379"/>
      <c r="I85" s="378"/>
      <c r="J85" s="381"/>
      <c r="K85" s="375"/>
      <c r="L85" s="376"/>
      <c r="M85" s="377"/>
      <c r="N85" s="376"/>
      <c r="O85" s="377"/>
      <c r="P85" s="376"/>
    </row>
    <row r="86" spans="2:16" ht="16.5">
      <c r="B86" s="34" t="s">
        <v>134</v>
      </c>
      <c r="C86" s="30" t="s">
        <v>135</v>
      </c>
      <c r="D86" s="30" t="s">
        <v>138</v>
      </c>
      <c r="E86" s="378"/>
      <c r="F86" s="379"/>
      <c r="G86" s="378"/>
      <c r="H86" s="379"/>
      <c r="I86" s="378"/>
      <c r="J86" s="381"/>
      <c r="K86" s="375"/>
      <c r="L86" s="376"/>
      <c r="M86" s="377"/>
      <c r="N86" s="376"/>
      <c r="O86" s="377"/>
      <c r="P86" s="376"/>
    </row>
    <row r="87" spans="2:16" ht="16.5">
      <c r="B87" s="34" t="s">
        <v>134</v>
      </c>
      <c r="C87" s="30" t="s">
        <v>135</v>
      </c>
      <c r="D87" s="30" t="s">
        <v>139</v>
      </c>
      <c r="E87" s="378"/>
      <c r="F87" s="379"/>
      <c r="G87" s="378"/>
      <c r="H87" s="379"/>
      <c r="I87" s="378"/>
      <c r="J87" s="381"/>
      <c r="K87" s="375"/>
      <c r="L87" s="376"/>
      <c r="M87" s="377"/>
      <c r="N87" s="376"/>
      <c r="O87" s="377"/>
      <c r="P87" s="376"/>
    </row>
    <row r="88" spans="2:16" ht="16.5">
      <c r="B88" s="34" t="s">
        <v>134</v>
      </c>
      <c r="C88" s="30" t="s">
        <v>135</v>
      </c>
      <c r="D88" s="30" t="s">
        <v>140</v>
      </c>
      <c r="E88" s="372"/>
      <c r="F88" s="374"/>
      <c r="G88" s="372"/>
      <c r="H88" s="374"/>
      <c r="I88" s="372"/>
      <c r="J88" s="382"/>
      <c r="K88" s="375"/>
      <c r="L88" s="376"/>
      <c r="M88" s="377"/>
      <c r="N88" s="376"/>
      <c r="O88" s="377"/>
      <c r="P88" s="376"/>
    </row>
    <row r="89" spans="2:16" ht="16.5">
      <c r="B89" s="34" t="s">
        <v>134</v>
      </c>
      <c r="C89" s="30" t="s">
        <v>141</v>
      </c>
      <c r="D89" s="30" t="s">
        <v>142</v>
      </c>
      <c r="E89" s="371">
        <f>' TOP ABRIL 2026'!BL87</f>
        <v>20</v>
      </c>
      <c r="F89" s="373">
        <f>E89/20</f>
        <v>1</v>
      </c>
      <c r="G89" s="371">
        <f>' TOP ABRIL 2026'!BM87</f>
        <v>18</v>
      </c>
      <c r="H89" s="373">
        <f>G89/20</f>
        <v>0.9</v>
      </c>
      <c r="I89" s="371">
        <f t="shared" si="7"/>
        <v>38</v>
      </c>
      <c r="J89" s="380">
        <f>I89/40</f>
        <v>0.95</v>
      </c>
      <c r="K89" s="375"/>
      <c r="L89" s="376"/>
      <c r="M89" s="377"/>
      <c r="N89" s="376"/>
      <c r="O89" s="377"/>
      <c r="P89" s="376"/>
    </row>
    <row r="90" spans="2:16" ht="16.5">
      <c r="B90" s="34" t="s">
        <v>134</v>
      </c>
      <c r="C90" s="30" t="s">
        <v>141</v>
      </c>
      <c r="D90" s="30" t="s">
        <v>143</v>
      </c>
      <c r="E90" s="378"/>
      <c r="F90" s="379"/>
      <c r="G90" s="378"/>
      <c r="H90" s="379"/>
      <c r="I90" s="378"/>
      <c r="J90" s="381"/>
      <c r="K90" s="375"/>
      <c r="L90" s="376"/>
      <c r="M90" s="377"/>
      <c r="N90" s="376"/>
      <c r="O90" s="377"/>
      <c r="P90" s="376"/>
    </row>
    <row r="91" spans="2:16" ht="16.5">
      <c r="B91" s="34" t="s">
        <v>134</v>
      </c>
      <c r="C91" s="30" t="s">
        <v>141</v>
      </c>
      <c r="D91" s="30" t="s">
        <v>144</v>
      </c>
      <c r="E91" s="372"/>
      <c r="F91" s="374"/>
      <c r="G91" s="372"/>
      <c r="H91" s="374"/>
      <c r="I91" s="372"/>
      <c r="J91" s="382"/>
      <c r="K91" s="375"/>
      <c r="L91" s="376"/>
      <c r="M91" s="377"/>
      <c r="N91" s="376"/>
      <c r="O91" s="377"/>
      <c r="P91" s="376"/>
    </row>
    <row r="92" spans="2:16" ht="16.5">
      <c r="B92" s="34" t="s">
        <v>134</v>
      </c>
      <c r="C92" s="30" t="s">
        <v>145</v>
      </c>
      <c r="D92" s="30" t="s">
        <v>146</v>
      </c>
      <c r="E92" s="30">
        <f>' TOP ABRIL 2026'!BL90</f>
        <v>9</v>
      </c>
      <c r="F92" s="33">
        <f>E92/8</f>
        <v>1.125</v>
      </c>
      <c r="G92" s="30">
        <f>' TOP ABRIL 2026'!BM90</f>
        <v>9</v>
      </c>
      <c r="H92" s="33">
        <f>G92/8</f>
        <v>1.125</v>
      </c>
      <c r="I92" s="30">
        <f t="shared" si="7"/>
        <v>18</v>
      </c>
      <c r="J92" s="105">
        <f>I92/18</f>
        <v>1</v>
      </c>
      <c r="K92" s="107"/>
      <c r="L92" s="81"/>
      <c r="M92" s="85"/>
      <c r="N92" s="81"/>
      <c r="O92" s="85"/>
      <c r="P92" s="81"/>
    </row>
    <row r="93" spans="2:16" ht="16.5">
      <c r="B93" s="34" t="s">
        <v>147</v>
      </c>
      <c r="C93" s="30" t="s">
        <v>148</v>
      </c>
      <c r="D93" s="30" t="s">
        <v>149</v>
      </c>
      <c r="E93" s="30">
        <f>' TOP ABRIL 2026'!BL91</f>
        <v>20</v>
      </c>
      <c r="F93" s="33">
        <f>E93/20</f>
        <v>1</v>
      </c>
      <c r="G93" s="30">
        <f>' TOP ABRIL 2026'!BM91</f>
        <v>20</v>
      </c>
      <c r="H93" s="33">
        <f>G93/20</f>
        <v>1</v>
      </c>
      <c r="I93" s="30">
        <f t="shared" si="7"/>
        <v>40</v>
      </c>
      <c r="J93" s="105">
        <f t="shared" ref="J93:J96" si="11">I93/40</f>
        <v>1</v>
      </c>
      <c r="K93" s="107"/>
      <c r="L93" s="81"/>
      <c r="M93" s="85"/>
      <c r="N93" s="81"/>
      <c r="O93" s="85"/>
      <c r="P93" s="81"/>
    </row>
    <row r="94" spans="2:16" ht="16.5">
      <c r="B94" s="70" t="s">
        <v>147</v>
      </c>
      <c r="C94" s="30"/>
      <c r="D94" s="30" t="s">
        <v>195</v>
      </c>
      <c r="E94" s="30">
        <f>' TOP ABRIL 2026'!BL92</f>
        <v>19</v>
      </c>
      <c r="F94" s="33">
        <f>E94/20</f>
        <v>0.95</v>
      </c>
      <c r="G94" s="30">
        <f>' TOP ABRIL 2026'!BM92</f>
        <v>18</v>
      </c>
      <c r="H94" s="33">
        <f>G94/20</f>
        <v>0.9</v>
      </c>
      <c r="I94" s="30">
        <f t="shared" si="7"/>
        <v>37</v>
      </c>
      <c r="J94" s="105">
        <f t="shared" si="11"/>
        <v>0.92500000000000004</v>
      </c>
      <c r="K94" s="107"/>
      <c r="L94" s="81"/>
      <c r="M94" s="85"/>
      <c r="N94" s="81"/>
      <c r="O94" s="85"/>
      <c r="P94" s="81"/>
    </row>
    <row r="95" spans="2:16" ht="16.5">
      <c r="B95" s="70" t="s">
        <v>147</v>
      </c>
      <c r="C95" s="30" t="s">
        <v>196</v>
      </c>
      <c r="D95" s="30" t="s">
        <v>197</v>
      </c>
      <c r="E95" s="30">
        <f>' TOP ABRIL 2026'!BL93</f>
        <v>20</v>
      </c>
      <c r="F95" s="33">
        <f>E95/20</f>
        <v>1</v>
      </c>
      <c r="G95" s="30">
        <f>' TOP ABRIL 2026'!BM93</f>
        <v>7</v>
      </c>
      <c r="H95" s="33">
        <f>G95/20</f>
        <v>0.35</v>
      </c>
      <c r="I95" s="30">
        <f t="shared" si="7"/>
        <v>27</v>
      </c>
      <c r="J95" s="105">
        <f t="shared" si="11"/>
        <v>0.67500000000000004</v>
      </c>
      <c r="K95" s="107"/>
      <c r="L95" s="81"/>
      <c r="M95" s="85"/>
      <c r="N95" s="81"/>
      <c r="O95" s="85"/>
      <c r="P95" s="81"/>
    </row>
    <row r="96" spans="2:16" ht="16.5">
      <c r="B96" s="35" t="s">
        <v>150</v>
      </c>
      <c r="C96" s="31" t="s">
        <v>151</v>
      </c>
      <c r="D96" s="32" t="s">
        <v>152</v>
      </c>
      <c r="E96" s="30">
        <f>' TOP ABRIL 2026'!BL94</f>
        <v>18</v>
      </c>
      <c r="F96" s="33">
        <f>E96/20</f>
        <v>0.9</v>
      </c>
      <c r="G96" s="30">
        <f>' TOP ABRIL 2026'!BM94</f>
        <v>17</v>
      </c>
      <c r="H96" s="33">
        <f>G96/20</f>
        <v>0.85</v>
      </c>
      <c r="I96" s="30">
        <f t="shared" si="7"/>
        <v>35</v>
      </c>
      <c r="J96" s="105">
        <f t="shared" si="11"/>
        <v>0.875</v>
      </c>
      <c r="K96" s="107"/>
      <c r="L96" s="81"/>
      <c r="M96" s="85"/>
      <c r="N96" s="81"/>
      <c r="O96" s="85"/>
      <c r="P96" s="81"/>
    </row>
    <row r="97" spans="2:16" ht="16.5">
      <c r="B97" s="36" t="s">
        <v>150</v>
      </c>
      <c r="C97" s="31" t="s">
        <v>198</v>
      </c>
      <c r="D97" s="31" t="s">
        <v>153</v>
      </c>
      <c r="E97" s="371">
        <f>' TOP ABRIL 2026'!BL95+' TOP ABRIL 2026'!BL96</f>
        <v>20</v>
      </c>
      <c r="F97" s="373">
        <f>E97/20</f>
        <v>1</v>
      </c>
      <c r="G97" s="371">
        <f>' TOP ABRIL 2026'!BM95+' TOP ABRIL 2026'!BM96</f>
        <v>18</v>
      </c>
      <c r="H97" s="373">
        <f>G97/20</f>
        <v>0.9</v>
      </c>
      <c r="I97" s="371">
        <f t="shared" si="7"/>
        <v>38</v>
      </c>
      <c r="J97" s="373">
        <f>I97/40</f>
        <v>0.95</v>
      </c>
      <c r="K97" s="107"/>
      <c r="L97" s="81"/>
      <c r="M97" s="85"/>
      <c r="N97" s="81"/>
      <c r="O97" s="85"/>
      <c r="P97" s="81"/>
    </row>
    <row r="98" spans="2:16" ht="16.5">
      <c r="B98" s="36" t="s">
        <v>150</v>
      </c>
      <c r="C98" s="31" t="s">
        <v>198</v>
      </c>
      <c r="D98" s="31" t="s">
        <v>154</v>
      </c>
      <c r="E98" s="372"/>
      <c r="F98" s="374"/>
      <c r="G98" s="372"/>
      <c r="H98" s="374"/>
      <c r="I98" s="372"/>
      <c r="J98" s="374"/>
      <c r="K98" s="107"/>
      <c r="L98" s="81"/>
      <c r="M98" s="85"/>
      <c r="N98" s="81"/>
      <c r="O98" s="85"/>
      <c r="P98" s="81"/>
    </row>
    <row r="99" spans="2:16" ht="16.5">
      <c r="B99" s="36" t="s">
        <v>150</v>
      </c>
      <c r="C99" s="31" t="s">
        <v>155</v>
      </c>
      <c r="D99" s="31" t="s">
        <v>156</v>
      </c>
      <c r="E99" s="30">
        <f>' TOP ABRIL 2026'!BL97</f>
        <v>20</v>
      </c>
      <c r="F99" s="33">
        <f>E99/20</f>
        <v>1</v>
      </c>
      <c r="G99" s="30">
        <f>' TOP ABRIL 2026'!BM97</f>
        <v>20</v>
      </c>
      <c r="H99" s="33">
        <f>G99/20</f>
        <v>1</v>
      </c>
      <c r="I99" s="30">
        <f t="shared" si="7"/>
        <v>40</v>
      </c>
      <c r="J99" s="105">
        <f>I99/40</f>
        <v>1</v>
      </c>
      <c r="K99" s="107"/>
      <c r="L99" s="81"/>
      <c r="M99" s="85"/>
      <c r="N99" s="81"/>
      <c r="O99" s="85"/>
      <c r="P99" s="81"/>
    </row>
    <row r="100" spans="2:16" ht="16.5">
      <c r="B100" s="36" t="s">
        <v>150</v>
      </c>
      <c r="C100" s="31" t="s">
        <v>157</v>
      </c>
      <c r="D100" s="31" t="s">
        <v>158</v>
      </c>
      <c r="E100" s="371">
        <f>' TOP ABRIL 2026'!BL98+' TOP ABRIL 2026'!BL99</f>
        <v>17</v>
      </c>
      <c r="F100" s="373">
        <f>E100/20</f>
        <v>0.85</v>
      </c>
      <c r="G100" s="371">
        <f>' TOP ABRIL 2026'!BM98+' TOP ABRIL 2026'!BM99</f>
        <v>12</v>
      </c>
      <c r="H100" s="373">
        <f>G100/20</f>
        <v>0.6</v>
      </c>
      <c r="I100" s="371">
        <f t="shared" si="7"/>
        <v>29</v>
      </c>
      <c r="J100" s="373">
        <f>I100/40</f>
        <v>0.72499999999999998</v>
      </c>
      <c r="K100" s="107"/>
      <c r="L100" s="81"/>
      <c r="M100" s="85"/>
      <c r="N100" s="81"/>
      <c r="O100" s="85"/>
      <c r="P100" s="81"/>
    </row>
    <row r="101" spans="2:16" ht="16.5">
      <c r="B101" s="36" t="s">
        <v>150</v>
      </c>
      <c r="C101" s="31" t="s">
        <v>157</v>
      </c>
      <c r="D101" s="31" t="s">
        <v>159</v>
      </c>
      <c r="E101" s="372"/>
      <c r="F101" s="374"/>
      <c r="G101" s="372"/>
      <c r="H101" s="374"/>
      <c r="I101" s="372"/>
      <c r="J101" s="374"/>
      <c r="K101" s="107"/>
      <c r="L101" s="81"/>
      <c r="M101" s="85"/>
      <c r="N101" s="81"/>
      <c r="O101" s="85"/>
      <c r="P101" s="81"/>
    </row>
    <row r="102" spans="2:16" ht="16.5">
      <c r="B102" s="36" t="s">
        <v>150</v>
      </c>
      <c r="C102" s="31" t="s">
        <v>162</v>
      </c>
      <c r="D102" s="31" t="s">
        <v>161</v>
      </c>
      <c r="E102" s="371">
        <f>' TOP ABRIL 2026'!BL100+' TOP ABRIL 2026'!BL101</f>
        <v>19</v>
      </c>
      <c r="F102" s="373">
        <f>E102/20</f>
        <v>0.95</v>
      </c>
      <c r="G102" s="371">
        <f>' TOP ABRIL 2026'!BM100+' TOP ABRIL 2026'!BM101</f>
        <v>20</v>
      </c>
      <c r="H102" s="373">
        <f>G102/20</f>
        <v>1</v>
      </c>
      <c r="I102" s="371">
        <f t="shared" si="7"/>
        <v>39</v>
      </c>
      <c r="J102" s="373">
        <f>I102/40</f>
        <v>0.97499999999999998</v>
      </c>
      <c r="K102" s="107"/>
      <c r="L102" s="81"/>
      <c r="M102" s="85"/>
      <c r="N102" s="81"/>
      <c r="O102" s="85"/>
      <c r="P102" s="81"/>
    </row>
    <row r="103" spans="2:16" ht="16.5">
      <c r="B103" s="36" t="s">
        <v>150</v>
      </c>
      <c r="C103" s="31" t="s">
        <v>162</v>
      </c>
      <c r="D103" s="31" t="s">
        <v>163</v>
      </c>
      <c r="E103" s="372"/>
      <c r="F103" s="374"/>
      <c r="G103" s="372"/>
      <c r="H103" s="374"/>
      <c r="I103" s="372"/>
      <c r="J103" s="374"/>
    </row>
    <row r="104" spans="2:16">
      <c r="J104" s="73"/>
    </row>
  </sheetData>
  <mergeCells count="274">
    <mergeCell ref="C1:D1"/>
    <mergeCell ref="H1:K1"/>
    <mergeCell ref="E3:I3"/>
    <mergeCell ref="E5:E6"/>
    <mergeCell ref="F5:F6"/>
    <mergeCell ref="G5:G6"/>
    <mergeCell ref="H5:H6"/>
    <mergeCell ref="I5:I6"/>
    <mergeCell ref="J5:J6"/>
    <mergeCell ref="Q3:V3"/>
    <mergeCell ref="K7:K11"/>
    <mergeCell ref="L7:L11"/>
    <mergeCell ref="M7:M11"/>
    <mergeCell ref="N7:N11"/>
    <mergeCell ref="O7:O11"/>
    <mergeCell ref="P7:P11"/>
    <mergeCell ref="E7:E11"/>
    <mergeCell ref="F7:F11"/>
    <mergeCell ref="G7:G11"/>
    <mergeCell ref="H7:H11"/>
    <mergeCell ref="I7:I11"/>
    <mergeCell ref="J7:J11"/>
    <mergeCell ref="K5:K6"/>
    <mergeCell ref="L5:L6"/>
    <mergeCell ref="M5:M6"/>
    <mergeCell ref="N5:N6"/>
    <mergeCell ref="O5:O6"/>
    <mergeCell ref="P5:P6"/>
    <mergeCell ref="K12:K17"/>
    <mergeCell ref="L12:L17"/>
    <mergeCell ref="M12:M17"/>
    <mergeCell ref="N12:N17"/>
    <mergeCell ref="O12:O17"/>
    <mergeCell ref="P12:P17"/>
    <mergeCell ref="E12:E17"/>
    <mergeCell ref="F12:F17"/>
    <mergeCell ref="G12:G17"/>
    <mergeCell ref="H12:H17"/>
    <mergeCell ref="I12:I17"/>
    <mergeCell ref="J12:J17"/>
    <mergeCell ref="K18:K20"/>
    <mergeCell ref="L18:L20"/>
    <mergeCell ref="M18:M20"/>
    <mergeCell ref="N18:N20"/>
    <mergeCell ref="O18:O20"/>
    <mergeCell ref="P18:P20"/>
    <mergeCell ref="E18:E20"/>
    <mergeCell ref="F18:F20"/>
    <mergeCell ref="G18:G20"/>
    <mergeCell ref="H18:H20"/>
    <mergeCell ref="I18:I20"/>
    <mergeCell ref="J18:J20"/>
    <mergeCell ref="K23:K29"/>
    <mergeCell ref="L23:L29"/>
    <mergeCell ref="M23:M29"/>
    <mergeCell ref="N23:N29"/>
    <mergeCell ref="O23:O29"/>
    <mergeCell ref="P23:P29"/>
    <mergeCell ref="E23:E29"/>
    <mergeCell ref="F23:F29"/>
    <mergeCell ref="G23:G29"/>
    <mergeCell ref="H23:H29"/>
    <mergeCell ref="I23:I29"/>
    <mergeCell ref="J23:J29"/>
    <mergeCell ref="K34:K35"/>
    <mergeCell ref="L34:L35"/>
    <mergeCell ref="M34:M35"/>
    <mergeCell ref="N34:N35"/>
    <mergeCell ref="O34:O35"/>
    <mergeCell ref="P34:P35"/>
    <mergeCell ref="E34:E35"/>
    <mergeCell ref="F34:F35"/>
    <mergeCell ref="G34:G35"/>
    <mergeCell ref="H34:H35"/>
    <mergeCell ref="I34:I35"/>
    <mergeCell ref="J34:J35"/>
    <mergeCell ref="K36:K37"/>
    <mergeCell ref="L36:L37"/>
    <mergeCell ref="M36:M37"/>
    <mergeCell ref="N36:N37"/>
    <mergeCell ref="O36:O37"/>
    <mergeCell ref="P36:P37"/>
    <mergeCell ref="E36:E37"/>
    <mergeCell ref="F36:F37"/>
    <mergeCell ref="G36:G37"/>
    <mergeCell ref="H36:H37"/>
    <mergeCell ref="I36:I37"/>
    <mergeCell ref="J36:J37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K41:K42"/>
    <mergeCell ref="L41:L42"/>
    <mergeCell ref="M41:M42"/>
    <mergeCell ref="N41:N42"/>
    <mergeCell ref="O41:O42"/>
    <mergeCell ref="P41:P42"/>
    <mergeCell ref="E41:E42"/>
    <mergeCell ref="F41:F42"/>
    <mergeCell ref="G41:G42"/>
    <mergeCell ref="H41:H42"/>
    <mergeCell ref="I41:I42"/>
    <mergeCell ref="J41:J42"/>
    <mergeCell ref="K43:K44"/>
    <mergeCell ref="L43:L44"/>
    <mergeCell ref="M43:M44"/>
    <mergeCell ref="N43:N44"/>
    <mergeCell ref="O43:O44"/>
    <mergeCell ref="P43:P44"/>
    <mergeCell ref="E43:E44"/>
    <mergeCell ref="F43:F44"/>
    <mergeCell ref="G43:G44"/>
    <mergeCell ref="H43:H44"/>
    <mergeCell ref="I43:I44"/>
    <mergeCell ref="J43:J44"/>
    <mergeCell ref="K48:K49"/>
    <mergeCell ref="L48:L49"/>
    <mergeCell ref="M48:M49"/>
    <mergeCell ref="N48:N49"/>
    <mergeCell ref="O48:O49"/>
    <mergeCell ref="P48:P49"/>
    <mergeCell ref="E48:E49"/>
    <mergeCell ref="F48:F49"/>
    <mergeCell ref="G48:G49"/>
    <mergeCell ref="H48:H49"/>
    <mergeCell ref="I48:I49"/>
    <mergeCell ref="J48:J49"/>
    <mergeCell ref="K50:K54"/>
    <mergeCell ref="L50:L54"/>
    <mergeCell ref="M50:M54"/>
    <mergeCell ref="N50:N54"/>
    <mergeCell ref="O50:O54"/>
    <mergeCell ref="P50:P54"/>
    <mergeCell ref="E50:E54"/>
    <mergeCell ref="F50:F54"/>
    <mergeCell ref="G50:G54"/>
    <mergeCell ref="H50:H54"/>
    <mergeCell ref="I50:I54"/>
    <mergeCell ref="J50:J54"/>
    <mergeCell ref="K55:K56"/>
    <mergeCell ref="L55:L56"/>
    <mergeCell ref="M55:M56"/>
    <mergeCell ref="N55:N56"/>
    <mergeCell ref="O55:O56"/>
    <mergeCell ref="P55:P56"/>
    <mergeCell ref="E55:E56"/>
    <mergeCell ref="F55:F56"/>
    <mergeCell ref="G55:G56"/>
    <mergeCell ref="H55:H56"/>
    <mergeCell ref="I55:I56"/>
    <mergeCell ref="J55:J56"/>
    <mergeCell ref="K57:K59"/>
    <mergeCell ref="L57:L59"/>
    <mergeCell ref="M57:M59"/>
    <mergeCell ref="N57:N59"/>
    <mergeCell ref="O57:O59"/>
    <mergeCell ref="P57:P59"/>
    <mergeCell ref="E57:E59"/>
    <mergeCell ref="F57:F59"/>
    <mergeCell ref="G57:G59"/>
    <mergeCell ref="H57:H59"/>
    <mergeCell ref="I57:I59"/>
    <mergeCell ref="J57:J59"/>
    <mergeCell ref="K61:K62"/>
    <mergeCell ref="L61:L62"/>
    <mergeCell ref="M61:M62"/>
    <mergeCell ref="N61:N62"/>
    <mergeCell ref="O61:O62"/>
    <mergeCell ref="P61:P62"/>
    <mergeCell ref="E61:E62"/>
    <mergeCell ref="F61:F62"/>
    <mergeCell ref="G61:G62"/>
    <mergeCell ref="H61:H62"/>
    <mergeCell ref="I61:I62"/>
    <mergeCell ref="J61:J62"/>
    <mergeCell ref="K66:K67"/>
    <mergeCell ref="L66:L67"/>
    <mergeCell ref="M66:M67"/>
    <mergeCell ref="N66:N67"/>
    <mergeCell ref="O66:O67"/>
    <mergeCell ref="P66:P67"/>
    <mergeCell ref="E66:E67"/>
    <mergeCell ref="F66:F67"/>
    <mergeCell ref="G66:G67"/>
    <mergeCell ref="H66:H67"/>
    <mergeCell ref="I66:I67"/>
    <mergeCell ref="J66:J67"/>
    <mergeCell ref="K68:K69"/>
    <mergeCell ref="L68:L69"/>
    <mergeCell ref="M68:M69"/>
    <mergeCell ref="N68:N69"/>
    <mergeCell ref="O68:O69"/>
    <mergeCell ref="P68:P69"/>
    <mergeCell ref="E68:E69"/>
    <mergeCell ref="F68:F69"/>
    <mergeCell ref="G68:G69"/>
    <mergeCell ref="H68:H69"/>
    <mergeCell ref="I68:I69"/>
    <mergeCell ref="J68:J69"/>
    <mergeCell ref="K70:K71"/>
    <mergeCell ref="L70:L71"/>
    <mergeCell ref="M70:M71"/>
    <mergeCell ref="N70:N71"/>
    <mergeCell ref="O70:O71"/>
    <mergeCell ref="P70:P71"/>
    <mergeCell ref="E70:E71"/>
    <mergeCell ref="F70:F71"/>
    <mergeCell ref="G70:G71"/>
    <mergeCell ref="H70:H71"/>
    <mergeCell ref="I70:I71"/>
    <mergeCell ref="J70:J71"/>
    <mergeCell ref="K72:K73"/>
    <mergeCell ref="L72:L73"/>
    <mergeCell ref="M72:M73"/>
    <mergeCell ref="N72:N73"/>
    <mergeCell ref="O72:O73"/>
    <mergeCell ref="P72:P73"/>
    <mergeCell ref="E72:E73"/>
    <mergeCell ref="F72:F73"/>
    <mergeCell ref="G72:G73"/>
    <mergeCell ref="H72:H73"/>
    <mergeCell ref="I72:I73"/>
    <mergeCell ref="J72:J73"/>
    <mergeCell ref="K84:K88"/>
    <mergeCell ref="L84:L88"/>
    <mergeCell ref="M84:M88"/>
    <mergeCell ref="N84:N88"/>
    <mergeCell ref="O84:O88"/>
    <mergeCell ref="P84:P88"/>
    <mergeCell ref="E84:E88"/>
    <mergeCell ref="F84:F88"/>
    <mergeCell ref="G84:G88"/>
    <mergeCell ref="H84:H88"/>
    <mergeCell ref="I84:I88"/>
    <mergeCell ref="J84:J88"/>
    <mergeCell ref="N89:N91"/>
    <mergeCell ref="O89:O91"/>
    <mergeCell ref="P89:P91"/>
    <mergeCell ref="E89:E91"/>
    <mergeCell ref="F89:F91"/>
    <mergeCell ref="G89:G91"/>
    <mergeCell ref="H89:H91"/>
    <mergeCell ref="I89:I91"/>
    <mergeCell ref="J89:J91"/>
    <mergeCell ref="E97:E98"/>
    <mergeCell ref="F97:F98"/>
    <mergeCell ref="G97:G98"/>
    <mergeCell ref="H97:H98"/>
    <mergeCell ref="I97:I98"/>
    <mergeCell ref="J97:J98"/>
    <mergeCell ref="K89:K91"/>
    <mergeCell ref="L89:L91"/>
    <mergeCell ref="M89:M91"/>
    <mergeCell ref="E102:E103"/>
    <mergeCell ref="F102:F103"/>
    <mergeCell ref="G102:G103"/>
    <mergeCell ref="H102:H103"/>
    <mergeCell ref="I102:I103"/>
    <mergeCell ref="J102:J103"/>
    <mergeCell ref="E100:E101"/>
    <mergeCell ref="F100:F101"/>
    <mergeCell ref="G100:G101"/>
    <mergeCell ref="H100:H101"/>
    <mergeCell ref="I100:I101"/>
    <mergeCell ref="J100:J101"/>
  </mergeCells>
  <conditionalFormatting sqref="Q5 Q7 Q12 Q18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P5 P7 P12 P18 P30:P34 P36 P38:P39 P41 P43 P50 P55 P57 P60:P61 P68 P70 P72 P89 P21:P23 P45:P48 P63:P66 P74:P84 P92:P102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J5 J7 J12 J18 J36 J38:J39 J41 J43 J50 J55 J57 J60:J61 J89 J21:J23 J99:J100 J30:J34 J45:J48 J63:J66 J68 J70 J72 J74:J84 J92:J97 J102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S5:T17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U5:U1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W5:W1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V5:V17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2">
    <dataValidation type="decimal" allowBlank="1" showInputMessage="1" showErrorMessage="1" sqref="V4" xr:uid="{1A97B60B-DD86-4C89-BA26-143D82694640}">
      <formula1>70</formula1>
      <formula2>100</formula2>
    </dataValidation>
    <dataValidation type="custom" operator="greaterThan" allowBlank="1" showInputMessage="1" showErrorMessage="1" sqref="W5:W17" xr:uid="{60DAF240-A9D0-4A5C-86A3-F687C27F6FCB}">
      <formula1>"70$V$5:$V$17"</formula1>
    </dataValidation>
  </dataValidations>
  <pageMargins left="0.7" right="0.7" top="0.75" bottom="0.75" header="0.3" footer="0.3"/>
  <pageSetup paperSize="9" fitToWidth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N102"/>
  <sheetViews>
    <sheetView workbookViewId="0">
      <pane xSplit="3" topLeftCell="D1" activePane="topRight" state="frozen"/>
      <selection pane="topRight" activeCell="D1" sqref="D1"/>
    </sheetView>
  </sheetViews>
  <sheetFormatPr defaultColWidth="9.140625" defaultRowHeight="15"/>
  <cols>
    <col min="1" max="1" width="23.28515625" style="1" customWidth="1"/>
    <col min="2" max="2" width="25.28515625" style="1" customWidth="1"/>
    <col min="3" max="3" width="35.7109375" style="1" customWidth="1"/>
    <col min="4" max="5" width="9.140625" style="1" customWidth="1"/>
    <col min="6" max="9" width="9.140625" style="1"/>
    <col min="10" max="10" width="9.140625" style="3" customWidth="1"/>
    <col min="11" max="17" width="9.140625" style="1"/>
    <col min="18" max="27" width="11.140625" style="1" bestFit="1" customWidth="1"/>
    <col min="28" max="31" width="9.140625" style="1"/>
    <col min="32" max="39" width="11.140625" style="1" bestFit="1" customWidth="1"/>
    <col min="40" max="16384" width="9.140625" style="1"/>
  </cols>
  <sheetData>
    <row r="1" spans="1:66">
      <c r="A1" s="366" t="s">
        <v>0</v>
      </c>
      <c r="B1" s="366" t="s">
        <v>1</v>
      </c>
      <c r="C1" s="366" t="s">
        <v>2</v>
      </c>
      <c r="D1" s="366">
        <v>1</v>
      </c>
      <c r="E1" s="431"/>
      <c r="F1" s="366">
        <v>2</v>
      </c>
      <c r="G1" s="431"/>
      <c r="H1" s="366">
        <v>3</v>
      </c>
      <c r="I1" s="431"/>
      <c r="J1" s="366">
        <v>4</v>
      </c>
      <c r="K1" s="431"/>
      <c r="L1" s="366">
        <v>5</v>
      </c>
      <c r="M1" s="431"/>
      <c r="N1" s="391">
        <v>6</v>
      </c>
      <c r="O1" s="434"/>
      <c r="P1" s="366">
        <v>7</v>
      </c>
      <c r="Q1" s="431"/>
      <c r="R1" s="366">
        <v>8</v>
      </c>
      <c r="S1" s="431"/>
      <c r="T1" s="366">
        <v>9</v>
      </c>
      <c r="U1" s="431"/>
      <c r="V1" s="366">
        <v>10</v>
      </c>
      <c r="W1" s="431"/>
      <c r="X1" s="366">
        <v>11</v>
      </c>
      <c r="Y1" s="431"/>
      <c r="Z1" s="366">
        <v>12</v>
      </c>
      <c r="AA1" s="431"/>
      <c r="AB1" s="391">
        <v>13</v>
      </c>
      <c r="AC1" s="434"/>
      <c r="AD1" s="366">
        <v>14</v>
      </c>
      <c r="AE1" s="431"/>
      <c r="AF1" s="366">
        <v>15</v>
      </c>
      <c r="AG1" s="431"/>
      <c r="AH1" s="366">
        <v>16</v>
      </c>
      <c r="AI1" s="431"/>
      <c r="AJ1" s="366">
        <v>17</v>
      </c>
      <c r="AK1" s="431"/>
      <c r="AL1" s="366">
        <v>18</v>
      </c>
      <c r="AM1" s="431"/>
      <c r="AN1" s="366">
        <v>19</v>
      </c>
      <c r="AO1" s="431"/>
      <c r="AP1" s="391">
        <v>20</v>
      </c>
      <c r="AQ1" s="434"/>
      <c r="AR1" s="366">
        <v>21</v>
      </c>
      <c r="AS1" s="431"/>
      <c r="AT1" s="366">
        <v>22</v>
      </c>
      <c r="AU1" s="431"/>
      <c r="AV1" s="366">
        <v>23</v>
      </c>
      <c r="AW1" s="431"/>
      <c r="AX1" s="370">
        <v>24</v>
      </c>
      <c r="AY1" s="435"/>
      <c r="AZ1" s="370">
        <v>25</v>
      </c>
      <c r="BA1" s="435"/>
      <c r="BB1" s="366">
        <v>26</v>
      </c>
      <c r="BC1" s="431"/>
      <c r="BD1" s="391">
        <v>27</v>
      </c>
      <c r="BE1" s="434"/>
      <c r="BF1" s="366">
        <v>28</v>
      </c>
      <c r="BG1" s="431"/>
      <c r="BH1" s="366">
        <v>29</v>
      </c>
      <c r="BI1" s="431"/>
      <c r="BJ1" s="366">
        <v>30</v>
      </c>
      <c r="BK1" s="431"/>
      <c r="BL1" s="370">
        <v>31</v>
      </c>
      <c r="BM1" s="435"/>
    </row>
    <row r="2" spans="1:66" hidden="1">
      <c r="A2" s="436"/>
      <c r="B2" s="436"/>
      <c r="C2" s="436"/>
      <c r="D2" s="7" t="s">
        <v>3</v>
      </c>
      <c r="E2" s="7" t="s">
        <v>4</v>
      </c>
      <c r="F2" s="7" t="s">
        <v>3</v>
      </c>
      <c r="G2" s="7" t="s">
        <v>4</v>
      </c>
      <c r="H2" s="7" t="s">
        <v>3</v>
      </c>
      <c r="I2" s="7" t="s">
        <v>4</v>
      </c>
      <c r="J2" s="22" t="s">
        <v>3</v>
      </c>
      <c r="K2" s="7" t="s">
        <v>4</v>
      </c>
      <c r="L2" s="7" t="s">
        <v>3</v>
      </c>
      <c r="M2" s="7" t="s">
        <v>4</v>
      </c>
      <c r="N2" s="7" t="s">
        <v>3</v>
      </c>
      <c r="O2" s="7" t="s">
        <v>4</v>
      </c>
      <c r="P2" s="7" t="s">
        <v>3</v>
      </c>
      <c r="Q2" s="7" t="s">
        <v>4</v>
      </c>
      <c r="R2" s="7" t="s">
        <v>3</v>
      </c>
      <c r="S2" s="7" t="s">
        <v>4</v>
      </c>
      <c r="T2" s="7" t="s">
        <v>3</v>
      </c>
      <c r="U2" s="7" t="s">
        <v>4</v>
      </c>
      <c r="V2" s="7" t="s">
        <v>3</v>
      </c>
      <c r="W2" s="7" t="s">
        <v>4</v>
      </c>
      <c r="X2" s="7" t="s">
        <v>3</v>
      </c>
      <c r="Y2" s="7" t="s">
        <v>4</v>
      </c>
      <c r="Z2" s="7" t="s">
        <v>3</v>
      </c>
      <c r="AA2" s="7" t="s">
        <v>4</v>
      </c>
      <c r="AB2" s="7" t="s">
        <v>3</v>
      </c>
      <c r="AC2" s="7" t="s">
        <v>4</v>
      </c>
      <c r="AD2" s="7" t="s">
        <v>3</v>
      </c>
      <c r="AE2" s="7" t="s">
        <v>4</v>
      </c>
      <c r="AF2" s="7" t="s">
        <v>3</v>
      </c>
      <c r="AG2" s="7" t="s">
        <v>4</v>
      </c>
      <c r="AH2" s="7" t="s">
        <v>3</v>
      </c>
      <c r="AI2" s="7" t="s">
        <v>4</v>
      </c>
      <c r="AJ2" s="7" t="s">
        <v>3</v>
      </c>
      <c r="AK2" s="7" t="s">
        <v>4</v>
      </c>
      <c r="AL2" s="7" t="s">
        <v>3</v>
      </c>
      <c r="AM2" s="7" t="s">
        <v>4</v>
      </c>
      <c r="AN2" s="7" t="s">
        <v>3</v>
      </c>
      <c r="AO2" s="7" t="s">
        <v>4</v>
      </c>
      <c r="AP2" s="7" t="s">
        <v>3</v>
      </c>
      <c r="AQ2" s="7" t="s">
        <v>4</v>
      </c>
      <c r="AR2" s="7" t="s">
        <v>3</v>
      </c>
      <c r="AS2" s="7" t="s">
        <v>4</v>
      </c>
      <c r="AT2" s="7" t="s">
        <v>3</v>
      </c>
      <c r="AU2" s="7" t="s">
        <v>4</v>
      </c>
      <c r="AV2" s="7" t="s">
        <v>3</v>
      </c>
      <c r="AW2" s="7" t="s">
        <v>4</v>
      </c>
      <c r="AX2" s="7" t="s">
        <v>3</v>
      </c>
      <c r="AY2" s="7" t="s">
        <v>4</v>
      </c>
      <c r="AZ2" s="7" t="s">
        <v>3</v>
      </c>
      <c r="BA2" s="7" t="s">
        <v>4</v>
      </c>
      <c r="BB2" s="7" t="s">
        <v>3</v>
      </c>
      <c r="BC2" s="7" t="s">
        <v>4</v>
      </c>
      <c r="BD2" s="7" t="s">
        <v>3</v>
      </c>
      <c r="BE2" s="7" t="s">
        <v>4</v>
      </c>
      <c r="BF2" s="7" t="s">
        <v>3</v>
      </c>
      <c r="BG2" s="7" t="s">
        <v>4</v>
      </c>
      <c r="BH2" s="7" t="s">
        <v>3</v>
      </c>
      <c r="BI2" s="7" t="s">
        <v>4</v>
      </c>
      <c r="BJ2" s="7" t="s">
        <v>3</v>
      </c>
      <c r="BK2" s="7" t="s">
        <v>4</v>
      </c>
      <c r="BL2" s="7" t="s">
        <v>3</v>
      </c>
      <c r="BM2" s="7" t="s">
        <v>4</v>
      </c>
    </row>
    <row r="3" spans="1:66" hidden="1">
      <c r="A3" s="5"/>
      <c r="B3" s="5"/>
      <c r="C3" s="5"/>
      <c r="D3" s="5" t="s">
        <v>199</v>
      </c>
      <c r="E3" s="5" t="s">
        <v>200</v>
      </c>
      <c r="F3" s="5" t="s">
        <v>199</v>
      </c>
      <c r="G3" s="5" t="s">
        <v>200</v>
      </c>
      <c r="H3" s="5" t="s">
        <v>199</v>
      </c>
      <c r="I3" s="5" t="s">
        <v>200</v>
      </c>
      <c r="J3" s="23" t="s">
        <v>199</v>
      </c>
      <c r="K3" s="5" t="s">
        <v>200</v>
      </c>
      <c r="L3" s="5" t="s">
        <v>199</v>
      </c>
      <c r="M3" s="5" t="s">
        <v>200</v>
      </c>
      <c r="N3" s="5" t="s">
        <v>199</v>
      </c>
      <c r="O3" s="5" t="s">
        <v>200</v>
      </c>
      <c r="P3" s="5" t="s">
        <v>199</v>
      </c>
      <c r="Q3" s="5" t="s">
        <v>200</v>
      </c>
      <c r="R3" s="5" t="s">
        <v>199</v>
      </c>
      <c r="S3" s="5" t="s">
        <v>200</v>
      </c>
      <c r="T3" s="5" t="s">
        <v>199</v>
      </c>
      <c r="U3" s="5" t="s">
        <v>200</v>
      </c>
      <c r="V3" s="5" t="s">
        <v>199</v>
      </c>
      <c r="W3" s="5" t="s">
        <v>200</v>
      </c>
      <c r="X3" s="5" t="s">
        <v>199</v>
      </c>
      <c r="Y3" s="5" t="s">
        <v>200</v>
      </c>
      <c r="Z3" s="5" t="s">
        <v>199</v>
      </c>
      <c r="AA3" s="5" t="s">
        <v>200</v>
      </c>
      <c r="AB3" s="5" t="s">
        <v>199</v>
      </c>
      <c r="AC3" s="5" t="s">
        <v>200</v>
      </c>
      <c r="AD3" s="5" t="s">
        <v>199</v>
      </c>
      <c r="AE3" s="5" t="s">
        <v>200</v>
      </c>
      <c r="AF3" s="5" t="s">
        <v>199</v>
      </c>
      <c r="AG3" s="5" t="s">
        <v>200</v>
      </c>
      <c r="AH3" s="5" t="s">
        <v>199</v>
      </c>
      <c r="AI3" s="5" t="s">
        <v>200</v>
      </c>
      <c r="AJ3" s="5" t="s">
        <v>199</v>
      </c>
      <c r="AK3" s="5" t="s">
        <v>200</v>
      </c>
      <c r="AL3" s="5" t="s">
        <v>199</v>
      </c>
      <c r="AM3" s="5" t="s">
        <v>200</v>
      </c>
      <c r="AN3" s="5" t="s">
        <v>199</v>
      </c>
      <c r="AO3" s="5" t="s">
        <v>200</v>
      </c>
      <c r="AP3" s="5" t="s">
        <v>199</v>
      </c>
      <c r="AQ3" s="5" t="s">
        <v>200</v>
      </c>
      <c r="AR3" s="5" t="s">
        <v>199</v>
      </c>
      <c r="AS3" s="5" t="s">
        <v>200</v>
      </c>
      <c r="AT3" s="5" t="s">
        <v>199</v>
      </c>
      <c r="AU3" s="5" t="s">
        <v>200</v>
      </c>
      <c r="AV3" s="5" t="s">
        <v>199</v>
      </c>
      <c r="AW3" s="5" t="s">
        <v>200</v>
      </c>
      <c r="AX3" s="5" t="s">
        <v>199</v>
      </c>
      <c r="AY3" s="5" t="s">
        <v>200</v>
      </c>
      <c r="AZ3" s="5" t="s">
        <v>199</v>
      </c>
      <c r="BA3" s="5" t="s">
        <v>200</v>
      </c>
      <c r="BB3" s="5" t="s">
        <v>199</v>
      </c>
      <c r="BC3" s="5" t="s">
        <v>200</v>
      </c>
      <c r="BD3" s="9" t="s">
        <v>199</v>
      </c>
      <c r="BE3" s="9" t="s">
        <v>200</v>
      </c>
      <c r="BF3" s="9" t="s">
        <v>199</v>
      </c>
      <c r="BG3" s="9" t="s">
        <v>200</v>
      </c>
      <c r="BH3" s="9" t="s">
        <v>199</v>
      </c>
      <c r="BI3" s="9" t="s">
        <v>200</v>
      </c>
      <c r="BJ3" s="9" t="s">
        <v>199</v>
      </c>
      <c r="BK3" s="9" t="s">
        <v>200</v>
      </c>
      <c r="BL3" s="9" t="s">
        <v>199</v>
      </c>
      <c r="BM3" s="9" t="s">
        <v>200</v>
      </c>
      <c r="BN3" t="s">
        <v>201</v>
      </c>
    </row>
    <row r="4" spans="1:66" hidden="1">
      <c r="A4" s="8" t="s">
        <v>5</v>
      </c>
      <c r="B4" s="6" t="s">
        <v>6</v>
      </c>
      <c r="C4" s="6" t="s">
        <v>7</v>
      </c>
      <c r="D4" s="5" t="s">
        <v>202</v>
      </c>
      <c r="E4" s="5" t="s">
        <v>203</v>
      </c>
      <c r="F4" s="5" t="s">
        <v>204</v>
      </c>
      <c r="G4" s="5"/>
      <c r="H4" s="5" t="s">
        <v>205</v>
      </c>
      <c r="I4" s="5" t="s">
        <v>206</v>
      </c>
      <c r="J4" s="23" t="s">
        <v>207</v>
      </c>
      <c r="K4" s="5"/>
      <c r="L4" s="5" t="s">
        <v>208</v>
      </c>
      <c r="M4" s="5" t="s">
        <v>209</v>
      </c>
      <c r="N4" s="5" t="s">
        <v>210</v>
      </c>
      <c r="O4" s="5"/>
      <c r="P4" s="13"/>
      <c r="Q4" s="13"/>
      <c r="R4" s="5" t="s">
        <v>211</v>
      </c>
      <c r="S4" s="5" t="s">
        <v>212</v>
      </c>
      <c r="T4" s="5" t="s">
        <v>202</v>
      </c>
      <c r="U4" s="5" t="s">
        <v>213</v>
      </c>
      <c r="V4" s="5" t="s">
        <v>214</v>
      </c>
      <c r="W4" s="5"/>
      <c r="X4" s="5" t="s">
        <v>204</v>
      </c>
      <c r="Y4" s="5" t="s">
        <v>215</v>
      </c>
      <c r="Z4" s="5" t="s">
        <v>216</v>
      </c>
      <c r="AA4" s="5" t="s">
        <v>217</v>
      </c>
      <c r="AB4" s="5" t="s">
        <v>218</v>
      </c>
      <c r="AC4" s="5"/>
      <c r="AD4" s="13"/>
      <c r="AE4" s="13"/>
      <c r="AF4" s="5" t="s">
        <v>216</v>
      </c>
      <c r="AG4" s="5" t="s">
        <v>213</v>
      </c>
      <c r="AH4" s="5" t="s">
        <v>219</v>
      </c>
      <c r="AI4" s="5" t="s">
        <v>220</v>
      </c>
      <c r="AJ4" s="5" t="s">
        <v>221</v>
      </c>
      <c r="AK4" s="5" t="s">
        <v>222</v>
      </c>
      <c r="AL4" s="5" t="s">
        <v>210</v>
      </c>
      <c r="AM4" s="5" t="s">
        <v>223</v>
      </c>
      <c r="AN4" s="5" t="s">
        <v>224</v>
      </c>
      <c r="AO4" s="5" t="s">
        <v>225</v>
      </c>
      <c r="AP4" s="5" t="s">
        <v>226</v>
      </c>
      <c r="AQ4" s="5"/>
      <c r="AR4" s="13"/>
      <c r="AS4" s="13"/>
      <c r="AT4" s="5" t="s">
        <v>216</v>
      </c>
      <c r="AU4" s="5" t="s">
        <v>227</v>
      </c>
      <c r="AV4" s="5" t="s">
        <v>228</v>
      </c>
      <c r="AW4" s="5" t="s">
        <v>229</v>
      </c>
      <c r="AX4" s="5"/>
      <c r="AY4" s="5"/>
      <c r="AZ4" s="13"/>
      <c r="BA4" s="13"/>
      <c r="BB4" s="5"/>
      <c r="BC4" s="5"/>
      <c r="BD4" s="10"/>
      <c r="BE4" s="10"/>
      <c r="BF4" s="12"/>
      <c r="BG4" s="12"/>
      <c r="BH4" s="10">
        <v>0.35833333333333328</v>
      </c>
      <c r="BI4" s="10">
        <v>0.16388888888888889</v>
      </c>
      <c r="BJ4" s="10">
        <v>0.35</v>
      </c>
      <c r="BK4" s="10">
        <v>0.16527777777777777</v>
      </c>
      <c r="BL4" s="10"/>
      <c r="BM4" s="10"/>
      <c r="BN4" t="str">
        <f t="shared" ref="BN4:BN35" si="0">A4&amp;"|"&amp;B4&amp;"|"&amp;C4</f>
        <v>R1|ALFREDO OLVERA|AZCAPOPARK</v>
      </c>
    </row>
    <row r="5" spans="1:66" hidden="1">
      <c r="A5" s="8" t="s">
        <v>5</v>
      </c>
      <c r="B5" s="6" t="s">
        <v>6</v>
      </c>
      <c r="C5" s="6" t="s">
        <v>8</v>
      </c>
      <c r="D5" s="5"/>
      <c r="E5" s="5"/>
      <c r="F5" s="5" t="s">
        <v>230</v>
      </c>
      <c r="G5" s="5"/>
      <c r="H5" s="5"/>
      <c r="I5" s="5"/>
      <c r="J5" s="23" t="s">
        <v>231</v>
      </c>
      <c r="K5" s="5"/>
      <c r="L5" s="5"/>
      <c r="M5" s="5"/>
      <c r="N5" s="5"/>
      <c r="O5" s="5"/>
      <c r="P5" s="13"/>
      <c r="Q5" s="13"/>
      <c r="R5" s="5"/>
      <c r="S5" s="5"/>
      <c r="T5" s="5"/>
      <c r="U5" s="5"/>
      <c r="V5" s="5" t="s">
        <v>232</v>
      </c>
      <c r="W5" s="5"/>
      <c r="X5" s="5"/>
      <c r="Y5" s="5"/>
      <c r="Z5" s="5"/>
      <c r="AA5" s="5"/>
      <c r="AB5" s="5"/>
      <c r="AC5" s="5"/>
      <c r="AD5" s="13"/>
      <c r="AE5" s="13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13"/>
      <c r="AS5" s="13"/>
      <c r="AT5" s="5"/>
      <c r="AU5" s="5"/>
      <c r="AV5" s="5"/>
      <c r="AW5" s="5"/>
      <c r="AX5" s="5"/>
      <c r="AY5" s="5"/>
      <c r="AZ5" s="13"/>
      <c r="BA5" s="13"/>
      <c r="BB5" s="5"/>
      <c r="BC5" s="5"/>
      <c r="BD5" s="10"/>
      <c r="BE5" s="10"/>
      <c r="BF5" s="12"/>
      <c r="BG5" s="12"/>
      <c r="BH5" s="10"/>
      <c r="BI5" s="10"/>
      <c r="BJ5" s="10"/>
      <c r="BK5" s="10"/>
      <c r="BL5" s="10"/>
      <c r="BM5" s="10"/>
      <c r="BN5" t="str">
        <f t="shared" si="0"/>
        <v>R1|ALFREDO OLVERA|VALLEJO PARK</v>
      </c>
    </row>
    <row r="6" spans="1:66" hidden="1">
      <c r="A6" s="8" t="s">
        <v>5</v>
      </c>
      <c r="B6" s="6" t="s">
        <v>9</v>
      </c>
      <c r="C6" s="6" t="s">
        <v>10</v>
      </c>
      <c r="D6" s="5" t="s">
        <v>233</v>
      </c>
      <c r="E6" s="5"/>
      <c r="F6" s="5" t="s">
        <v>219</v>
      </c>
      <c r="G6" s="5" t="s">
        <v>234</v>
      </c>
      <c r="H6" s="5" t="s">
        <v>235</v>
      </c>
      <c r="I6" s="5" t="s">
        <v>236</v>
      </c>
      <c r="J6" s="23" t="s">
        <v>236</v>
      </c>
      <c r="K6" s="5"/>
      <c r="L6" s="5" t="s">
        <v>237</v>
      </c>
      <c r="M6" s="5" t="s">
        <v>213</v>
      </c>
      <c r="N6" s="5"/>
      <c r="O6" s="5"/>
      <c r="P6" s="13"/>
      <c r="Q6" s="13"/>
      <c r="R6" s="5" t="s">
        <v>238</v>
      </c>
      <c r="S6" s="5" t="s">
        <v>239</v>
      </c>
      <c r="T6" s="5" t="s">
        <v>217</v>
      </c>
      <c r="U6" s="5"/>
      <c r="V6" s="5" t="s">
        <v>240</v>
      </c>
      <c r="W6" s="5" t="s">
        <v>241</v>
      </c>
      <c r="X6" s="5" t="s">
        <v>223</v>
      </c>
      <c r="Y6" s="5"/>
      <c r="Z6" s="5" t="s">
        <v>208</v>
      </c>
      <c r="AA6" s="5"/>
      <c r="AB6" s="5" t="s">
        <v>242</v>
      </c>
      <c r="AC6" s="5"/>
      <c r="AD6" s="13"/>
      <c r="AE6" s="13"/>
      <c r="AF6" s="5" t="s">
        <v>231</v>
      </c>
      <c r="AG6" s="5" t="s">
        <v>243</v>
      </c>
      <c r="AH6" s="5" t="s">
        <v>244</v>
      </c>
      <c r="AI6" s="5" t="s">
        <v>223</v>
      </c>
      <c r="AJ6" s="5" t="s">
        <v>245</v>
      </c>
      <c r="AK6" s="5" t="s">
        <v>220</v>
      </c>
      <c r="AL6" s="5" t="s">
        <v>246</v>
      </c>
      <c r="AM6" s="5" t="s">
        <v>220</v>
      </c>
      <c r="AN6" s="5" t="s">
        <v>247</v>
      </c>
      <c r="AO6" s="5"/>
      <c r="AP6" s="5"/>
      <c r="AQ6" s="5"/>
      <c r="AR6" s="13"/>
      <c r="AS6" s="13"/>
      <c r="AT6" s="5"/>
      <c r="AU6" s="5"/>
      <c r="AV6" s="5"/>
      <c r="AW6" s="5"/>
      <c r="AX6" s="5"/>
      <c r="AY6" s="5"/>
      <c r="AZ6" s="13"/>
      <c r="BA6" s="13"/>
      <c r="BB6" s="5"/>
      <c r="BC6" s="5"/>
      <c r="BD6" s="10"/>
      <c r="BE6" s="10"/>
      <c r="BF6" s="12"/>
      <c r="BG6" s="12"/>
      <c r="BH6" s="10">
        <v>0.35902777777777778</v>
      </c>
      <c r="BI6" s="10">
        <v>0.15763888888888888</v>
      </c>
      <c r="BJ6" s="10">
        <v>0.36319444444444443</v>
      </c>
      <c r="BK6" s="10">
        <v>0.16597222222222222</v>
      </c>
      <c r="BL6" s="10"/>
      <c r="BM6" s="10"/>
      <c r="BN6" t="str">
        <f t="shared" si="0"/>
        <v>R1|MARTIN BAUME|GB</v>
      </c>
    </row>
    <row r="7" spans="1:66" hidden="1">
      <c r="A7" s="8" t="s">
        <v>5</v>
      </c>
      <c r="B7" s="6" t="s">
        <v>9</v>
      </c>
      <c r="C7" s="6" t="s">
        <v>11</v>
      </c>
      <c r="D7" s="5"/>
      <c r="E7" s="5"/>
      <c r="F7" s="5"/>
      <c r="G7" s="5"/>
      <c r="H7" s="5"/>
      <c r="I7" s="5"/>
      <c r="J7" s="23" t="s">
        <v>226</v>
      </c>
      <c r="K7" s="5"/>
      <c r="L7" s="5"/>
      <c r="M7" s="5"/>
      <c r="N7" s="5"/>
      <c r="O7" s="5"/>
      <c r="P7" s="13"/>
      <c r="Q7" s="13"/>
      <c r="R7" s="5"/>
      <c r="S7" s="5"/>
      <c r="T7" s="5"/>
      <c r="U7" s="5"/>
      <c r="V7" s="5"/>
      <c r="W7" s="5"/>
      <c r="X7" s="5" t="s">
        <v>248</v>
      </c>
      <c r="Y7" s="5"/>
      <c r="Z7" s="5" t="s">
        <v>249</v>
      </c>
      <c r="AA7" s="5"/>
      <c r="AB7" s="5"/>
      <c r="AC7" s="5"/>
      <c r="AD7" s="13"/>
      <c r="AE7" s="13"/>
      <c r="AF7" s="5"/>
      <c r="AG7" s="5"/>
      <c r="AH7" s="5"/>
      <c r="AI7" s="5"/>
      <c r="AJ7" s="5"/>
      <c r="AK7" s="5"/>
      <c r="AL7" s="5"/>
      <c r="AM7" s="5"/>
      <c r="AN7" s="5" t="s">
        <v>250</v>
      </c>
      <c r="AO7" s="5"/>
      <c r="AP7" s="5"/>
      <c r="AQ7" s="5"/>
      <c r="AR7" s="13"/>
      <c r="AS7" s="13"/>
      <c r="AT7" s="5"/>
      <c r="AU7" s="5"/>
      <c r="AV7" s="5"/>
      <c r="AW7" s="5"/>
      <c r="AX7" s="5"/>
      <c r="AY7" s="5"/>
      <c r="AZ7" s="13"/>
      <c r="BA7" s="13"/>
      <c r="BB7" s="5"/>
      <c r="BC7" s="5"/>
      <c r="BD7" s="10"/>
      <c r="BE7" s="10"/>
      <c r="BF7" s="12"/>
      <c r="BG7" s="12"/>
      <c r="BH7" s="10"/>
      <c r="BI7" s="10"/>
      <c r="BJ7" s="10"/>
      <c r="BK7" s="10"/>
      <c r="BL7" s="10"/>
      <c r="BM7" s="10"/>
      <c r="BN7" t="str">
        <f t="shared" si="0"/>
        <v>R1|MARTIN BAUME|CEYLAN</v>
      </c>
    </row>
    <row r="8" spans="1:66" hidden="1">
      <c r="A8" s="8" t="s">
        <v>5</v>
      </c>
      <c r="B8" s="6" t="s">
        <v>9</v>
      </c>
      <c r="C8" s="6" t="s">
        <v>12</v>
      </c>
      <c r="D8" s="5"/>
      <c r="E8" s="5"/>
      <c r="F8" s="5"/>
      <c r="G8" s="5"/>
      <c r="H8" s="5"/>
      <c r="I8" s="5"/>
      <c r="J8" s="23"/>
      <c r="K8" s="5"/>
      <c r="L8" s="5"/>
      <c r="M8" s="5"/>
      <c r="N8" s="5"/>
      <c r="O8" s="5"/>
      <c r="P8" s="13"/>
      <c r="Q8" s="13"/>
      <c r="R8" s="5"/>
      <c r="S8" s="5"/>
      <c r="T8" s="5" t="s">
        <v>238</v>
      </c>
      <c r="U8" s="5"/>
      <c r="V8" s="5"/>
      <c r="W8" s="5"/>
      <c r="X8" s="5"/>
      <c r="Y8" s="5"/>
      <c r="Z8" s="5"/>
      <c r="AA8" s="5"/>
      <c r="AB8" s="5"/>
      <c r="AC8" s="5"/>
      <c r="AD8" s="13"/>
      <c r="AE8" s="13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13"/>
      <c r="AS8" s="13"/>
      <c r="AT8" s="5"/>
      <c r="AU8" s="5"/>
      <c r="AV8" s="5"/>
      <c r="AW8" s="5"/>
      <c r="AX8" s="5"/>
      <c r="AY8" s="5"/>
      <c r="AZ8" s="13"/>
      <c r="BA8" s="13"/>
      <c r="BB8" s="5"/>
      <c r="BC8" s="5"/>
      <c r="BD8" s="10"/>
      <c r="BE8" s="10"/>
      <c r="BF8" s="12"/>
      <c r="BG8" s="12"/>
      <c r="BH8" s="10"/>
      <c r="BI8" s="10"/>
      <c r="BJ8" s="10"/>
      <c r="BK8" s="10"/>
      <c r="BL8" s="10"/>
      <c r="BM8" s="10"/>
      <c r="BN8" t="str">
        <f t="shared" si="0"/>
        <v>R1|MARTIN BAUME|100 METROS</v>
      </c>
    </row>
    <row r="9" spans="1:66" hidden="1">
      <c r="A9" s="8" t="s">
        <v>5</v>
      </c>
      <c r="B9" s="6" t="s">
        <v>9</v>
      </c>
      <c r="C9" s="6" t="s">
        <v>13</v>
      </c>
      <c r="D9" s="5"/>
      <c r="E9" s="5"/>
      <c r="F9" s="5"/>
      <c r="G9" s="5"/>
      <c r="H9" s="5"/>
      <c r="I9" s="5"/>
      <c r="J9" s="23"/>
      <c r="K9" s="5"/>
      <c r="L9" s="5"/>
      <c r="M9" s="5"/>
      <c r="N9" s="5"/>
      <c r="O9" s="5"/>
      <c r="P9" s="13"/>
      <c r="Q9" s="13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13"/>
      <c r="AE9" s="13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13"/>
      <c r="AS9" s="13"/>
      <c r="AT9" s="5"/>
      <c r="AU9" s="5"/>
      <c r="AV9" s="5"/>
      <c r="AW9" s="5"/>
      <c r="AX9" s="5"/>
      <c r="AY9" s="5"/>
      <c r="AZ9" s="13"/>
      <c r="BA9" s="13"/>
      <c r="BB9" s="5"/>
      <c r="BC9" s="5"/>
      <c r="BD9" s="10"/>
      <c r="BE9" s="10"/>
      <c r="BF9" s="12"/>
      <c r="BG9" s="12"/>
      <c r="BH9" s="10"/>
      <c r="BI9" s="10"/>
      <c r="BJ9" s="10"/>
      <c r="BK9" s="10"/>
      <c r="BL9" s="10"/>
      <c r="BM9" s="10"/>
      <c r="BN9" t="str">
        <f t="shared" si="0"/>
        <v>R1|MARTIN BAUME|PINO</v>
      </c>
    </row>
    <row r="10" spans="1:66" hidden="1">
      <c r="A10" s="8" t="s">
        <v>5</v>
      </c>
      <c r="B10" s="6" t="s">
        <v>9</v>
      </c>
      <c r="C10" s="6" t="s">
        <v>14</v>
      </c>
      <c r="D10" s="5"/>
      <c r="E10" s="5"/>
      <c r="F10" s="5"/>
      <c r="G10" s="5"/>
      <c r="H10" s="5"/>
      <c r="I10" s="5"/>
      <c r="J10" s="23"/>
      <c r="K10" s="5"/>
      <c r="L10" s="5"/>
      <c r="M10" s="5"/>
      <c r="N10" s="5"/>
      <c r="O10" s="5"/>
      <c r="P10" s="13"/>
      <c r="Q10" s="13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13"/>
      <c r="AE10" s="13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13"/>
      <c r="AS10" s="13"/>
      <c r="AT10" s="5"/>
      <c r="AU10" s="5"/>
      <c r="AV10" s="5"/>
      <c r="AW10" s="5"/>
      <c r="AX10" s="5"/>
      <c r="AY10" s="5"/>
      <c r="AZ10" s="13"/>
      <c r="BA10" s="13"/>
      <c r="BB10" s="5"/>
      <c r="BC10" s="5"/>
      <c r="BD10" s="10"/>
      <c r="BE10" s="10"/>
      <c r="BF10" s="12"/>
      <c r="BG10" s="12"/>
      <c r="BH10" s="10"/>
      <c r="BI10" s="10"/>
      <c r="BJ10" s="10"/>
      <c r="BK10" s="10"/>
      <c r="BL10" s="10"/>
      <c r="BM10" s="10"/>
      <c r="BN10" t="str">
        <f t="shared" si="0"/>
        <v>R1|MARTIN BAUME|VALLEJO 1746</v>
      </c>
    </row>
    <row r="11" spans="1:66" hidden="1">
      <c r="A11" s="8" t="s">
        <v>5</v>
      </c>
      <c r="B11" s="6" t="s">
        <v>15</v>
      </c>
      <c r="C11" s="6" t="s">
        <v>16</v>
      </c>
      <c r="D11" s="5" t="s">
        <v>251</v>
      </c>
      <c r="E11" s="5" t="s">
        <v>212</v>
      </c>
      <c r="F11" s="5" t="s">
        <v>215</v>
      </c>
      <c r="G11" s="5"/>
      <c r="H11" s="5" t="s">
        <v>252</v>
      </c>
      <c r="I11" s="5" t="s">
        <v>253</v>
      </c>
      <c r="J11" s="23" t="s">
        <v>228</v>
      </c>
      <c r="K11" s="5" t="s">
        <v>254</v>
      </c>
      <c r="L11" s="5" t="s">
        <v>255</v>
      </c>
      <c r="M11" s="5" t="s">
        <v>206</v>
      </c>
      <c r="N11" s="5"/>
      <c r="O11" s="5"/>
      <c r="P11" s="13"/>
      <c r="Q11" s="13"/>
      <c r="R11" s="5" t="s">
        <v>248</v>
      </c>
      <c r="S11" s="5" t="s">
        <v>256</v>
      </c>
      <c r="T11" s="5" t="s">
        <v>204</v>
      </c>
      <c r="U11" s="5" t="s">
        <v>257</v>
      </c>
      <c r="V11" s="5" t="s">
        <v>228</v>
      </c>
      <c r="W11" s="5" t="s">
        <v>258</v>
      </c>
      <c r="X11" s="5" t="s">
        <v>252</v>
      </c>
      <c r="Y11" s="5" t="s">
        <v>259</v>
      </c>
      <c r="Z11" s="5" t="s">
        <v>235</v>
      </c>
      <c r="AA11" s="5" t="s">
        <v>209</v>
      </c>
      <c r="AB11" s="5"/>
      <c r="AC11" s="5"/>
      <c r="AD11" s="13"/>
      <c r="AE11" s="13"/>
      <c r="AF11" s="5" t="s">
        <v>205</v>
      </c>
      <c r="AG11" s="5" t="s">
        <v>260</v>
      </c>
      <c r="AH11" s="5" t="s">
        <v>208</v>
      </c>
      <c r="AI11" s="5" t="s">
        <v>261</v>
      </c>
      <c r="AJ11" s="5" t="s">
        <v>210</v>
      </c>
      <c r="AK11" s="5" t="s">
        <v>214</v>
      </c>
      <c r="AL11" s="5" t="s">
        <v>221</v>
      </c>
      <c r="AM11" s="5" t="s">
        <v>262</v>
      </c>
      <c r="AN11" s="5" t="s">
        <v>263</v>
      </c>
      <c r="AO11" s="5" t="s">
        <v>264</v>
      </c>
      <c r="AP11" s="5"/>
      <c r="AQ11" s="5"/>
      <c r="AR11" s="13"/>
      <c r="AS11" s="13"/>
      <c r="AT11" s="5" t="s">
        <v>216</v>
      </c>
      <c r="AU11" s="5" t="s">
        <v>265</v>
      </c>
      <c r="AV11" s="5" t="s">
        <v>221</v>
      </c>
      <c r="AW11" s="5" t="s">
        <v>266</v>
      </c>
      <c r="AX11" s="5"/>
      <c r="AY11" s="5"/>
      <c r="AZ11" s="13"/>
      <c r="BA11" s="13"/>
      <c r="BB11" s="5"/>
      <c r="BC11" s="5"/>
      <c r="BD11" s="10"/>
      <c r="BE11" s="10"/>
      <c r="BF11" s="12"/>
      <c r="BG11" s="12"/>
      <c r="BH11" s="10">
        <v>0.35902777777777778</v>
      </c>
      <c r="BI11" s="10">
        <v>0.15347222222222223</v>
      </c>
      <c r="BJ11" s="10">
        <v>0.36180555555555555</v>
      </c>
      <c r="BK11" s="10">
        <v>0.15694444444444444</v>
      </c>
      <c r="BL11" s="10"/>
      <c r="BM11" s="10"/>
      <c r="BN11" t="str">
        <f t="shared" si="0"/>
        <v>R1|JAIR ABRAHAM GONZALEZ|TLANE PARK III</v>
      </c>
    </row>
    <row r="12" spans="1:66" hidden="1">
      <c r="A12" s="8" t="s">
        <v>5</v>
      </c>
      <c r="B12" s="6" t="s">
        <v>15</v>
      </c>
      <c r="C12" s="6" t="s">
        <v>17</v>
      </c>
      <c r="D12" s="5"/>
      <c r="E12" s="5"/>
      <c r="F12" s="5" t="s">
        <v>208</v>
      </c>
      <c r="G12" s="5"/>
      <c r="H12" s="5"/>
      <c r="I12" s="5"/>
      <c r="J12" s="23"/>
      <c r="K12" s="5"/>
      <c r="L12" s="5"/>
      <c r="M12" s="5"/>
      <c r="N12" s="5" t="s">
        <v>211</v>
      </c>
      <c r="O12" s="5"/>
      <c r="P12" s="13"/>
      <c r="Q12" s="13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13"/>
      <c r="AE12" s="13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13"/>
      <c r="AS12" s="13"/>
      <c r="AT12" s="5"/>
      <c r="AU12" s="5"/>
      <c r="AV12" s="5"/>
      <c r="AW12" s="5"/>
      <c r="AX12" s="5"/>
      <c r="AY12" s="5"/>
      <c r="AZ12" s="13"/>
      <c r="BA12" s="13"/>
      <c r="BB12" s="5"/>
      <c r="BC12" s="5"/>
      <c r="BD12" s="10"/>
      <c r="BE12" s="10"/>
      <c r="BF12" s="12"/>
      <c r="BG12" s="12"/>
      <c r="BH12" s="10"/>
      <c r="BI12" s="10"/>
      <c r="BJ12" s="10"/>
      <c r="BK12" s="10"/>
      <c r="BL12" s="10"/>
      <c r="BM12" s="10"/>
      <c r="BN12" t="str">
        <f t="shared" si="0"/>
        <v>R1|JAIR ABRAHAM GONZALEZ|VIA MORELOS</v>
      </c>
    </row>
    <row r="13" spans="1:66" hidden="1">
      <c r="A13" s="8" t="s">
        <v>5</v>
      </c>
      <c r="B13" s="6" t="s">
        <v>15</v>
      </c>
      <c r="C13" s="6" t="s">
        <v>18</v>
      </c>
      <c r="D13" s="5"/>
      <c r="E13" s="5"/>
      <c r="F13" s="5"/>
      <c r="G13" s="5"/>
      <c r="H13" s="5"/>
      <c r="I13" s="5"/>
      <c r="J13" s="23"/>
      <c r="K13" s="5"/>
      <c r="L13" s="5"/>
      <c r="M13" s="5"/>
      <c r="N13" s="5"/>
      <c r="O13" s="5"/>
      <c r="P13" s="13"/>
      <c r="Q13" s="13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13"/>
      <c r="AE13" s="13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13"/>
      <c r="AS13" s="13"/>
      <c r="AT13" s="5"/>
      <c r="AU13" s="5"/>
      <c r="AV13" s="5"/>
      <c r="AW13" s="5"/>
      <c r="AX13" s="5"/>
      <c r="AY13" s="5"/>
      <c r="AZ13" s="13"/>
      <c r="BA13" s="13"/>
      <c r="BB13" s="5"/>
      <c r="BC13" s="5"/>
      <c r="BD13" s="10"/>
      <c r="BE13" s="10"/>
      <c r="BF13" s="12"/>
      <c r="BG13" s="12"/>
      <c r="BH13" s="10"/>
      <c r="BI13" s="10"/>
      <c r="BJ13" s="10"/>
      <c r="BK13" s="10"/>
      <c r="BL13" s="10"/>
      <c r="BM13" s="10"/>
      <c r="BN13" t="str">
        <f t="shared" si="0"/>
        <v>R1|JAIR ABRAHAM GONZALEZ|TLANE PARK V</v>
      </c>
    </row>
    <row r="14" spans="1:66" hidden="1">
      <c r="A14" s="8" t="s">
        <v>5</v>
      </c>
      <c r="B14" s="6" t="s">
        <v>15</v>
      </c>
      <c r="C14" s="6" t="s">
        <v>19</v>
      </c>
      <c r="D14" s="5"/>
      <c r="E14" s="5"/>
      <c r="F14" s="5"/>
      <c r="G14" s="5"/>
      <c r="H14" s="5"/>
      <c r="I14" s="5"/>
      <c r="J14" s="23"/>
      <c r="K14" s="5"/>
      <c r="L14" s="5"/>
      <c r="M14" s="5"/>
      <c r="N14" s="5"/>
      <c r="O14" s="5"/>
      <c r="P14" s="13"/>
      <c r="Q14" s="13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13"/>
      <c r="AE14" s="13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13"/>
      <c r="AS14" s="13"/>
      <c r="AT14" s="5"/>
      <c r="AU14" s="5"/>
      <c r="AV14" s="5"/>
      <c r="AW14" s="5"/>
      <c r="AX14" s="5"/>
      <c r="AY14" s="5"/>
      <c r="AZ14" s="13"/>
      <c r="BA14" s="13"/>
      <c r="BB14" s="5"/>
      <c r="BC14" s="5"/>
      <c r="BD14" s="10"/>
      <c r="BE14" s="10"/>
      <c r="BF14" s="12"/>
      <c r="BG14" s="12"/>
      <c r="BH14" s="10"/>
      <c r="BI14" s="10"/>
      <c r="BJ14" s="10"/>
      <c r="BK14" s="10"/>
      <c r="BL14" s="10"/>
      <c r="BM14" s="10"/>
      <c r="BN14" t="str">
        <f t="shared" si="0"/>
        <v>R1|JAIR ABRAHAM GONZALEZ|VALLEJO 2000</v>
      </c>
    </row>
    <row r="15" spans="1:66" hidden="1">
      <c r="A15" s="8" t="s">
        <v>5</v>
      </c>
      <c r="B15" s="6" t="s">
        <v>15</v>
      </c>
      <c r="C15" s="6" t="s">
        <v>20</v>
      </c>
      <c r="D15" s="5"/>
      <c r="E15" s="5"/>
      <c r="F15" s="5"/>
      <c r="G15" s="5"/>
      <c r="H15" s="5"/>
      <c r="I15" s="5"/>
      <c r="J15" s="23"/>
      <c r="K15" s="5"/>
      <c r="L15" s="5"/>
      <c r="M15" s="5"/>
      <c r="N15" s="5"/>
      <c r="O15" s="5"/>
      <c r="P15" s="13"/>
      <c r="Q15" s="13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13"/>
      <c r="AE15" s="13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13"/>
      <c r="AS15" s="13"/>
      <c r="AT15" s="5"/>
      <c r="AU15" s="5"/>
      <c r="AV15" s="5"/>
      <c r="AW15" s="5"/>
      <c r="AX15" s="5"/>
      <c r="AY15" s="5"/>
      <c r="AZ15" s="13"/>
      <c r="BA15" s="13"/>
      <c r="BB15" s="5"/>
      <c r="BC15" s="5"/>
      <c r="BD15" s="10"/>
      <c r="BE15" s="10"/>
      <c r="BF15" s="12"/>
      <c r="BG15" s="12"/>
      <c r="BH15" s="10"/>
      <c r="BI15" s="10"/>
      <c r="BJ15" s="10"/>
      <c r="BK15" s="10"/>
      <c r="BL15" s="10"/>
      <c r="BM15" s="10"/>
      <c r="BN15" t="str">
        <f t="shared" si="0"/>
        <v>R1|JAIR ABRAHAM GONZALEZ|LA PRESA</v>
      </c>
    </row>
    <row r="16" spans="1:66" hidden="1">
      <c r="A16" s="8" t="s">
        <v>5</v>
      </c>
      <c r="B16" s="6" t="s">
        <v>15</v>
      </c>
      <c r="C16" s="6" t="s">
        <v>21</v>
      </c>
      <c r="D16" s="5"/>
      <c r="E16" s="5"/>
      <c r="F16" s="5"/>
      <c r="G16" s="5"/>
      <c r="H16" s="5"/>
      <c r="I16" s="5"/>
      <c r="J16" s="23"/>
      <c r="K16" s="5"/>
      <c r="L16" s="5"/>
      <c r="M16" s="5"/>
      <c r="N16" s="5"/>
      <c r="O16" s="5"/>
      <c r="P16" s="13"/>
      <c r="Q16" s="13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13"/>
      <c r="AE16" s="13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13"/>
      <c r="AS16" s="13"/>
      <c r="AT16" s="5"/>
      <c r="AU16" s="5"/>
      <c r="AV16" s="5"/>
      <c r="AW16" s="5"/>
      <c r="AX16" s="5"/>
      <c r="AY16" s="5"/>
      <c r="AZ16" s="13"/>
      <c r="BA16" s="13"/>
      <c r="BB16" s="5"/>
      <c r="BC16" s="5"/>
      <c r="BD16" s="10"/>
      <c r="BE16" s="10"/>
      <c r="BF16" s="12"/>
      <c r="BG16" s="12"/>
      <c r="BH16" s="10"/>
      <c r="BI16" s="10"/>
      <c r="BJ16" s="10"/>
      <c r="BK16" s="10"/>
      <c r="BL16" s="10"/>
      <c r="BM16" s="10"/>
      <c r="BN16" t="str">
        <f t="shared" si="0"/>
        <v>R1|JAIR ABRAHAM GONZALEZ|CHIQUIHUITE (WALMART)</v>
      </c>
    </row>
    <row r="17" spans="1:66" hidden="1">
      <c r="A17" s="8" t="s">
        <v>5</v>
      </c>
      <c r="B17" s="6" t="s">
        <v>22</v>
      </c>
      <c r="C17" s="6" t="s">
        <v>23</v>
      </c>
      <c r="D17" s="5" t="s">
        <v>251</v>
      </c>
      <c r="E17" s="5" t="s">
        <v>267</v>
      </c>
      <c r="F17" s="5" t="s">
        <v>268</v>
      </c>
      <c r="G17" s="5" t="s">
        <v>258</v>
      </c>
      <c r="H17" s="5" t="s">
        <v>269</v>
      </c>
      <c r="I17" s="5" t="s">
        <v>270</v>
      </c>
      <c r="J17" s="23" t="s">
        <v>271</v>
      </c>
      <c r="K17" s="5" t="s">
        <v>272</v>
      </c>
      <c r="L17" s="5" t="s">
        <v>273</v>
      </c>
      <c r="M17" s="5" t="s">
        <v>274</v>
      </c>
      <c r="N17" s="5" t="s">
        <v>216</v>
      </c>
      <c r="O17" s="5"/>
      <c r="P17" s="13"/>
      <c r="Q17" s="13"/>
      <c r="R17" s="5" t="s">
        <v>275</v>
      </c>
      <c r="S17" s="5" t="s">
        <v>213</v>
      </c>
      <c r="T17" s="5" t="s">
        <v>276</v>
      </c>
      <c r="U17" s="5" t="s">
        <v>277</v>
      </c>
      <c r="V17" s="5" t="s">
        <v>278</v>
      </c>
      <c r="W17" s="5" t="s">
        <v>213</v>
      </c>
      <c r="X17" s="5" t="s">
        <v>279</v>
      </c>
      <c r="Y17" s="5" t="s">
        <v>217</v>
      </c>
      <c r="Z17" s="5" t="s">
        <v>280</v>
      </c>
      <c r="AA17" s="5" t="s">
        <v>253</v>
      </c>
      <c r="AB17" s="5"/>
      <c r="AC17" s="5"/>
      <c r="AD17" s="13"/>
      <c r="AE17" s="13"/>
      <c r="AF17" s="5" t="s">
        <v>281</v>
      </c>
      <c r="AG17" s="5" t="s">
        <v>282</v>
      </c>
      <c r="AH17" s="5" t="s">
        <v>283</v>
      </c>
      <c r="AI17" s="5" t="s">
        <v>284</v>
      </c>
      <c r="AJ17" s="5" t="s">
        <v>285</v>
      </c>
      <c r="AK17" s="5" t="s">
        <v>286</v>
      </c>
      <c r="AL17" s="5" t="s">
        <v>287</v>
      </c>
      <c r="AM17" s="5" t="s">
        <v>213</v>
      </c>
      <c r="AN17" s="5" t="s">
        <v>269</v>
      </c>
      <c r="AO17" s="5" t="s">
        <v>282</v>
      </c>
      <c r="AP17" s="5" t="s">
        <v>252</v>
      </c>
      <c r="AQ17" s="5"/>
      <c r="AR17" s="13"/>
      <c r="AS17" s="13"/>
      <c r="AT17" s="5" t="s">
        <v>288</v>
      </c>
      <c r="AU17" s="5" t="s">
        <v>289</v>
      </c>
      <c r="AV17" s="5" t="s">
        <v>250</v>
      </c>
      <c r="AW17" s="5" t="s">
        <v>290</v>
      </c>
      <c r="AX17" s="5" t="s">
        <v>291</v>
      </c>
      <c r="AY17" s="5"/>
      <c r="AZ17" s="13"/>
      <c r="BA17" s="13"/>
      <c r="BB17" s="5" t="s">
        <v>292</v>
      </c>
      <c r="BC17" s="5" t="s">
        <v>293</v>
      </c>
      <c r="BD17" s="10"/>
      <c r="BE17" s="10"/>
      <c r="BF17" s="12"/>
      <c r="BG17" s="12"/>
      <c r="BH17" s="10"/>
      <c r="BI17" s="10"/>
      <c r="BJ17" s="10"/>
      <c r="BK17" s="10"/>
      <c r="BL17" s="10"/>
      <c r="BM17" s="10"/>
      <c r="BN17" t="str">
        <f t="shared" si="0"/>
        <v>R1|GEOVANI PEÑA|LOS REYES</v>
      </c>
    </row>
    <row r="18" spans="1:66" hidden="1">
      <c r="A18" s="8" t="s">
        <v>5</v>
      </c>
      <c r="B18" s="6" t="s">
        <v>22</v>
      </c>
      <c r="C18" s="6" t="s">
        <v>24</v>
      </c>
      <c r="D18" s="5"/>
      <c r="E18" s="5"/>
      <c r="F18" s="5"/>
      <c r="G18" s="5"/>
      <c r="H18" s="5"/>
      <c r="I18" s="5"/>
      <c r="J18" s="23"/>
      <c r="K18" s="5"/>
      <c r="L18" s="5"/>
      <c r="M18" s="5"/>
      <c r="N18" s="5"/>
      <c r="O18" s="5"/>
      <c r="P18" s="13"/>
      <c r="Q18" s="13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13"/>
      <c r="AE18" s="13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13"/>
      <c r="AS18" s="13"/>
      <c r="AT18" s="5"/>
      <c r="AU18" s="5"/>
      <c r="AV18" s="5"/>
      <c r="AW18" s="5"/>
      <c r="AX18" s="5"/>
      <c r="AY18" s="5"/>
      <c r="AZ18" s="13"/>
      <c r="BA18" s="13"/>
      <c r="BB18" s="5"/>
      <c r="BC18" s="5"/>
      <c r="BD18" s="10"/>
      <c r="BE18" s="10"/>
      <c r="BF18" s="12"/>
      <c r="BG18" s="12"/>
      <c r="BH18" s="10"/>
      <c r="BI18" s="10"/>
      <c r="BJ18" s="10"/>
      <c r="BK18" s="10"/>
      <c r="BL18" s="10"/>
      <c r="BM18" s="10"/>
      <c r="BN18" t="str">
        <f t="shared" si="0"/>
        <v>R1|GEOVANI PEÑA|IXTAPALUCA</v>
      </c>
    </row>
    <row r="19" spans="1:66" hidden="1">
      <c r="A19" s="8" t="s">
        <v>5</v>
      </c>
      <c r="B19" s="6" t="s">
        <v>22</v>
      </c>
      <c r="C19" s="6" t="s">
        <v>25</v>
      </c>
      <c r="D19" s="5"/>
      <c r="E19" s="5"/>
      <c r="F19" s="5"/>
      <c r="G19" s="5"/>
      <c r="H19" s="5"/>
      <c r="I19" s="5"/>
      <c r="J19" s="23"/>
      <c r="K19" s="5"/>
      <c r="L19" s="5"/>
      <c r="M19" s="5"/>
      <c r="N19" s="5"/>
      <c r="O19" s="5"/>
      <c r="P19" s="13"/>
      <c r="Q19" s="13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13"/>
      <c r="AE19" s="13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13"/>
      <c r="AS19" s="13"/>
      <c r="AT19" s="5"/>
      <c r="AU19" s="5"/>
      <c r="AV19" s="5"/>
      <c r="AW19" s="5"/>
      <c r="AX19" s="5"/>
      <c r="AY19" s="5"/>
      <c r="AZ19" s="13"/>
      <c r="BA19" s="13"/>
      <c r="BB19" s="5"/>
      <c r="BC19" s="5"/>
      <c r="BD19" s="10"/>
      <c r="BE19" s="10"/>
      <c r="BF19" s="12"/>
      <c r="BG19" s="12"/>
      <c r="BH19" s="10"/>
      <c r="BI19" s="10"/>
      <c r="BJ19" s="10"/>
      <c r="BK19" s="10"/>
      <c r="BL19" s="10"/>
      <c r="BM19" s="10"/>
      <c r="BN19" t="str">
        <f t="shared" si="0"/>
        <v>R1|GEOVANI PEÑA|IZTAPALAPA</v>
      </c>
    </row>
    <row r="20" spans="1:66" hidden="1">
      <c r="A20" s="8" t="s">
        <v>26</v>
      </c>
      <c r="B20" s="6" t="s">
        <v>27</v>
      </c>
      <c r="C20" s="6" t="s">
        <v>28</v>
      </c>
      <c r="D20" s="5"/>
      <c r="E20" s="5"/>
      <c r="F20" s="5" t="s">
        <v>235</v>
      </c>
      <c r="G20" s="5" t="s">
        <v>294</v>
      </c>
      <c r="H20" s="5" t="s">
        <v>295</v>
      </c>
      <c r="I20" s="5" t="s">
        <v>296</v>
      </c>
      <c r="J20" s="23" t="s">
        <v>256</v>
      </c>
      <c r="K20" s="5"/>
      <c r="L20" s="5" t="s">
        <v>282</v>
      </c>
      <c r="M20" s="5"/>
      <c r="N20" s="5"/>
      <c r="O20" s="5"/>
      <c r="P20" s="13"/>
      <c r="Q20" s="13"/>
      <c r="R20" s="5"/>
      <c r="S20" s="5"/>
      <c r="T20" s="5" t="s">
        <v>297</v>
      </c>
      <c r="U20" s="5" t="s">
        <v>298</v>
      </c>
      <c r="V20" s="5" t="s">
        <v>211</v>
      </c>
      <c r="W20" s="5" t="s">
        <v>261</v>
      </c>
      <c r="X20" s="5" t="s">
        <v>299</v>
      </c>
      <c r="Y20" s="5" t="s">
        <v>298</v>
      </c>
      <c r="Z20" s="5" t="s">
        <v>300</v>
      </c>
      <c r="AA20" s="5" t="s">
        <v>220</v>
      </c>
      <c r="AB20" s="5"/>
      <c r="AC20" s="5"/>
      <c r="AD20" s="13"/>
      <c r="AE20" s="13"/>
      <c r="AF20" s="5" t="s">
        <v>218</v>
      </c>
      <c r="AG20" s="5" t="s">
        <v>301</v>
      </c>
      <c r="AH20" s="5" t="s">
        <v>300</v>
      </c>
      <c r="AI20" s="5" t="s">
        <v>225</v>
      </c>
      <c r="AJ20" s="5" t="s">
        <v>302</v>
      </c>
      <c r="AK20" s="5" t="s">
        <v>303</v>
      </c>
      <c r="AL20" s="5" t="s">
        <v>304</v>
      </c>
      <c r="AM20" s="5" t="s">
        <v>305</v>
      </c>
      <c r="AN20" s="5" t="s">
        <v>297</v>
      </c>
      <c r="AO20" s="5" t="s">
        <v>249</v>
      </c>
      <c r="AP20" s="5" t="s">
        <v>306</v>
      </c>
      <c r="AQ20" s="5"/>
      <c r="AR20" s="13"/>
      <c r="AS20" s="13"/>
      <c r="AT20" s="5" t="s">
        <v>307</v>
      </c>
      <c r="AU20" s="5" t="s">
        <v>308</v>
      </c>
      <c r="AV20" s="5" t="s">
        <v>306</v>
      </c>
      <c r="AW20" s="5" t="s">
        <v>309</v>
      </c>
      <c r="AX20" s="5"/>
      <c r="AY20" s="5"/>
      <c r="AZ20" s="13"/>
      <c r="BA20" s="13"/>
      <c r="BB20" s="5" t="s">
        <v>251</v>
      </c>
      <c r="BC20" s="5" t="s">
        <v>310</v>
      </c>
      <c r="BD20" s="10"/>
      <c r="BE20" s="10"/>
      <c r="BF20" s="12"/>
      <c r="BG20" s="12"/>
      <c r="BH20" s="10"/>
      <c r="BI20" s="10">
        <v>0.13125000000000001</v>
      </c>
      <c r="BJ20" s="10">
        <v>0.37708333333333333</v>
      </c>
      <c r="BK20" s="10">
        <v>0.14652777777777778</v>
      </c>
      <c r="BL20" s="10"/>
      <c r="BM20" s="10"/>
      <c r="BN20" t="str">
        <f t="shared" si="0"/>
        <v>R2|OMAR SANCHEZ|TULTI PARK I</v>
      </c>
    </row>
    <row r="21" spans="1:66" hidden="1">
      <c r="A21" s="8" t="s">
        <v>26</v>
      </c>
      <c r="B21" s="6" t="s">
        <v>29</v>
      </c>
      <c r="C21" s="6" t="s">
        <v>30</v>
      </c>
      <c r="D21" s="5" t="s">
        <v>307</v>
      </c>
      <c r="E21" s="5" t="s">
        <v>233</v>
      </c>
      <c r="F21" s="5" t="s">
        <v>292</v>
      </c>
      <c r="G21" s="5" t="s">
        <v>311</v>
      </c>
      <c r="H21" s="5" t="s">
        <v>240</v>
      </c>
      <c r="I21" s="5" t="s">
        <v>312</v>
      </c>
      <c r="J21" s="23" t="s">
        <v>224</v>
      </c>
      <c r="K21" s="5" t="s">
        <v>313</v>
      </c>
      <c r="L21" s="5" t="s">
        <v>221</v>
      </c>
      <c r="M21" s="5" t="s">
        <v>314</v>
      </c>
      <c r="N21" s="5"/>
      <c r="O21" s="5"/>
      <c r="P21" s="13"/>
      <c r="Q21" s="13"/>
      <c r="R21" s="5"/>
      <c r="S21" s="5"/>
      <c r="T21" s="5" t="s">
        <v>235</v>
      </c>
      <c r="U21" s="5" t="s">
        <v>315</v>
      </c>
      <c r="V21" s="5" t="s">
        <v>292</v>
      </c>
      <c r="W21" s="5" t="s">
        <v>305</v>
      </c>
      <c r="X21" s="5" t="s">
        <v>211</v>
      </c>
      <c r="Y21" s="5" t="s">
        <v>316</v>
      </c>
      <c r="Z21" s="5" t="s">
        <v>210</v>
      </c>
      <c r="AA21" s="5" t="s">
        <v>317</v>
      </c>
      <c r="AB21" s="5"/>
      <c r="AC21" s="5"/>
      <c r="AD21" s="13"/>
      <c r="AE21" s="13"/>
      <c r="AF21" s="5" t="s">
        <v>204</v>
      </c>
      <c r="AG21" s="5" t="s">
        <v>318</v>
      </c>
      <c r="AH21" s="5" t="s">
        <v>246</v>
      </c>
      <c r="AI21" s="5" t="s">
        <v>319</v>
      </c>
      <c r="AJ21" s="5" t="s">
        <v>248</v>
      </c>
      <c r="AK21" s="5" t="s">
        <v>320</v>
      </c>
      <c r="AL21" s="5" t="s">
        <v>269</v>
      </c>
      <c r="AM21" s="5" t="s">
        <v>321</v>
      </c>
      <c r="AN21" s="5" t="s">
        <v>322</v>
      </c>
      <c r="AO21" s="5" t="s">
        <v>323</v>
      </c>
      <c r="AP21" s="5"/>
      <c r="AQ21" s="5"/>
      <c r="AR21" s="13"/>
      <c r="AS21" s="13"/>
      <c r="AT21" s="5" t="s">
        <v>324</v>
      </c>
      <c r="AU21" s="5" t="s">
        <v>325</v>
      </c>
      <c r="AV21" s="5" t="s">
        <v>240</v>
      </c>
      <c r="AW21" s="5" t="s">
        <v>326</v>
      </c>
      <c r="AX21" s="5"/>
      <c r="AY21" s="5"/>
      <c r="AZ21" s="13"/>
      <c r="BA21" s="13"/>
      <c r="BB21" s="5" t="s">
        <v>295</v>
      </c>
      <c r="BC21" s="5" t="s">
        <v>327</v>
      </c>
      <c r="BD21" s="10">
        <v>0.41736111111111113</v>
      </c>
      <c r="BE21" s="10"/>
      <c r="BF21" s="12"/>
      <c r="BG21" s="12"/>
      <c r="BH21" s="10">
        <v>0.35138888888888892</v>
      </c>
      <c r="BI21" s="10">
        <v>0.125</v>
      </c>
      <c r="BJ21" s="10">
        <v>0.33958333333333335</v>
      </c>
      <c r="BK21" s="10"/>
      <c r="BL21" s="10">
        <v>0.35625000000000001</v>
      </c>
      <c r="BM21" s="10">
        <v>0.11597222222222223</v>
      </c>
      <c r="BN21" t="str">
        <f t="shared" si="0"/>
        <v>R2|ARTURO ESPINOSA|JAMES WATT</v>
      </c>
    </row>
    <row r="22" spans="1:66" hidden="1">
      <c r="A22" s="8" t="s">
        <v>26</v>
      </c>
      <c r="B22" s="6" t="s">
        <v>31</v>
      </c>
      <c r="C22" s="6" t="s">
        <v>32</v>
      </c>
      <c r="D22" s="5" t="s">
        <v>328</v>
      </c>
      <c r="E22" s="5" t="s">
        <v>319</v>
      </c>
      <c r="F22" s="5"/>
      <c r="G22" s="5"/>
      <c r="H22" s="5"/>
      <c r="I22" s="5"/>
      <c r="J22" s="23" t="s">
        <v>248</v>
      </c>
      <c r="K22" s="5" t="s">
        <v>319</v>
      </c>
      <c r="L22" s="5" t="s">
        <v>218</v>
      </c>
      <c r="M22" s="5" t="s">
        <v>329</v>
      </c>
      <c r="N22" s="5" t="s">
        <v>330</v>
      </c>
      <c r="O22" s="5"/>
      <c r="P22" s="13"/>
      <c r="Q22" s="13"/>
      <c r="R22" s="5" t="s">
        <v>248</v>
      </c>
      <c r="S22" s="5" t="s">
        <v>331</v>
      </c>
      <c r="T22" s="5"/>
      <c r="U22" s="5"/>
      <c r="V22" s="5" t="s">
        <v>332</v>
      </c>
      <c r="W22" s="5" t="s">
        <v>333</v>
      </c>
      <c r="X22" s="5"/>
      <c r="Y22" s="5"/>
      <c r="Z22" s="5"/>
      <c r="AA22" s="5"/>
      <c r="AB22" s="5"/>
      <c r="AC22" s="5"/>
      <c r="AD22" s="13"/>
      <c r="AE22" s="13"/>
      <c r="AF22" s="5" t="s">
        <v>334</v>
      </c>
      <c r="AG22" s="5" t="s">
        <v>258</v>
      </c>
      <c r="AH22" s="5"/>
      <c r="AI22" s="5"/>
      <c r="AJ22" s="5"/>
      <c r="AK22" s="5"/>
      <c r="AL22" s="5" t="s">
        <v>335</v>
      </c>
      <c r="AM22" s="5" t="s">
        <v>215</v>
      </c>
      <c r="AN22" s="5"/>
      <c r="AO22" s="5"/>
      <c r="AP22" s="5" t="s">
        <v>304</v>
      </c>
      <c r="AQ22" s="5"/>
      <c r="AR22" s="13"/>
      <c r="AS22" s="13"/>
      <c r="AT22" s="5"/>
      <c r="AU22" s="5"/>
      <c r="AV22" s="5" t="s">
        <v>336</v>
      </c>
      <c r="AW22" s="5" t="s">
        <v>337</v>
      </c>
      <c r="AX22" s="5"/>
      <c r="AY22" s="5"/>
      <c r="AZ22" s="13"/>
      <c r="BA22" s="13"/>
      <c r="BB22" s="5" t="s">
        <v>338</v>
      </c>
      <c r="BC22" s="5"/>
      <c r="BD22" s="10"/>
      <c r="BE22" s="10"/>
      <c r="BF22" s="12"/>
      <c r="BG22" s="12"/>
      <c r="BH22" s="10"/>
      <c r="BI22" s="10"/>
      <c r="BJ22" s="10"/>
      <c r="BK22" s="10"/>
      <c r="BL22" s="10"/>
      <c r="BM22" s="10"/>
      <c r="BN22" t="str">
        <f t="shared" si="0"/>
        <v>R2|ARTURO VALERIO|LA PALMA</v>
      </c>
    </row>
    <row r="23" spans="1:66" hidden="1">
      <c r="A23" s="8" t="s">
        <v>26</v>
      </c>
      <c r="B23" s="6" t="s">
        <v>31</v>
      </c>
      <c r="C23" s="6" t="s">
        <v>33</v>
      </c>
      <c r="D23" s="5"/>
      <c r="E23" s="5"/>
      <c r="F23" s="5" t="s">
        <v>202</v>
      </c>
      <c r="G23" s="5" t="s">
        <v>222</v>
      </c>
      <c r="H23" s="5"/>
      <c r="I23" s="5"/>
      <c r="J23" s="23"/>
      <c r="K23" s="5"/>
      <c r="L23" s="5"/>
      <c r="M23" s="5"/>
      <c r="N23" s="5"/>
      <c r="O23" s="5"/>
      <c r="P23" s="13"/>
      <c r="Q23" s="13"/>
      <c r="R23" s="5"/>
      <c r="S23" s="5"/>
      <c r="T23" s="5" t="s">
        <v>248</v>
      </c>
      <c r="U23" s="5"/>
      <c r="V23" s="5"/>
      <c r="W23" s="5"/>
      <c r="X23" s="5"/>
      <c r="Y23" s="5"/>
      <c r="Z23" s="5" t="s">
        <v>339</v>
      </c>
      <c r="AA23" s="5" t="s">
        <v>340</v>
      </c>
      <c r="AB23" s="5"/>
      <c r="AC23" s="5"/>
      <c r="AD23" s="13"/>
      <c r="AE23" s="13"/>
      <c r="AF23" s="5"/>
      <c r="AG23" s="5"/>
      <c r="AH23" s="5" t="s">
        <v>341</v>
      </c>
      <c r="AI23" s="5" t="s">
        <v>303</v>
      </c>
      <c r="AJ23" s="5"/>
      <c r="AK23" s="5"/>
      <c r="AL23" s="5"/>
      <c r="AM23" s="5"/>
      <c r="AN23" s="5" t="s">
        <v>335</v>
      </c>
      <c r="AO23" s="5" t="s">
        <v>277</v>
      </c>
      <c r="AP23" s="5"/>
      <c r="AQ23" s="5"/>
      <c r="AR23" s="13"/>
      <c r="AS23" s="13"/>
      <c r="AT23" s="5"/>
      <c r="AU23" s="5"/>
      <c r="AV23" s="5"/>
      <c r="AW23" s="5"/>
      <c r="AX23" s="5"/>
      <c r="AY23" s="5"/>
      <c r="AZ23" s="13"/>
      <c r="BA23" s="13"/>
      <c r="BB23" s="5" t="s">
        <v>342</v>
      </c>
      <c r="BC23" s="5"/>
      <c r="BD23" s="10"/>
      <c r="BE23" s="10"/>
      <c r="BF23" s="12"/>
      <c r="BG23" s="12"/>
      <c r="BH23" s="10"/>
      <c r="BI23" s="10"/>
      <c r="BJ23" s="10"/>
      <c r="BK23" s="10"/>
      <c r="BL23" s="10"/>
      <c r="BM23" s="10"/>
      <c r="BN23" t="str">
        <f t="shared" si="0"/>
        <v>R2|ARTURO VALERIO|LA JOYA I Y II</v>
      </c>
    </row>
    <row r="24" spans="1:66" hidden="1">
      <c r="A24" s="8" t="s">
        <v>26</v>
      </c>
      <c r="B24" s="6" t="s">
        <v>31</v>
      </c>
      <c r="C24" s="6" t="s">
        <v>34</v>
      </c>
      <c r="D24" s="5"/>
      <c r="E24" s="5"/>
      <c r="F24" s="5"/>
      <c r="G24" s="5"/>
      <c r="H24" s="5" t="s">
        <v>237</v>
      </c>
      <c r="I24" s="5" t="s">
        <v>223</v>
      </c>
      <c r="J24" s="23"/>
      <c r="K24" s="5"/>
      <c r="L24" s="5"/>
      <c r="M24" s="5"/>
      <c r="N24" s="5"/>
      <c r="O24" s="5"/>
      <c r="P24" s="13"/>
      <c r="Q24" s="13"/>
      <c r="R24" s="5"/>
      <c r="S24" s="5"/>
      <c r="T24" s="5"/>
      <c r="U24" s="5"/>
      <c r="V24" s="5"/>
      <c r="W24" s="5"/>
      <c r="X24" s="5" t="s">
        <v>343</v>
      </c>
      <c r="Y24" s="5" t="s">
        <v>203</v>
      </c>
      <c r="Z24" s="5"/>
      <c r="AA24" s="5"/>
      <c r="AB24" s="5"/>
      <c r="AC24" s="5"/>
      <c r="AD24" s="13"/>
      <c r="AE24" s="13"/>
      <c r="AF24" s="5"/>
      <c r="AG24" s="5"/>
      <c r="AH24" s="5"/>
      <c r="AI24" s="5"/>
      <c r="AJ24" s="5" t="s">
        <v>218</v>
      </c>
      <c r="AK24" s="5"/>
      <c r="AL24" s="5"/>
      <c r="AM24" s="5"/>
      <c r="AN24" s="5"/>
      <c r="AO24" s="5"/>
      <c r="AP24" s="5"/>
      <c r="AQ24" s="5"/>
      <c r="AR24" s="13"/>
      <c r="AS24" s="13"/>
      <c r="AT24" s="5"/>
      <c r="AU24" s="5"/>
      <c r="AV24" s="5"/>
      <c r="AW24" s="5"/>
      <c r="AX24" s="5"/>
      <c r="AY24" s="5"/>
      <c r="AZ24" s="13"/>
      <c r="BA24" s="13"/>
      <c r="BB24" s="5"/>
      <c r="BC24" s="5"/>
      <c r="BD24" s="10"/>
      <c r="BE24" s="10"/>
      <c r="BF24" s="12"/>
      <c r="BG24" s="12"/>
      <c r="BH24" s="10"/>
      <c r="BI24" s="10"/>
      <c r="BJ24" s="10"/>
      <c r="BK24" s="10"/>
      <c r="BL24" s="10"/>
      <c r="BM24" s="10"/>
      <c r="BN24" t="str">
        <f t="shared" si="0"/>
        <v>R2|ARTURO VALERIO|LA JOYA III</v>
      </c>
    </row>
    <row r="25" spans="1:66" hidden="1">
      <c r="A25" s="8" t="s">
        <v>26</v>
      </c>
      <c r="B25" s="6" t="s">
        <v>31</v>
      </c>
      <c r="C25" s="6" t="s">
        <v>35</v>
      </c>
      <c r="D25" s="5"/>
      <c r="E25" s="5"/>
      <c r="F25" s="5"/>
      <c r="G25" s="5"/>
      <c r="H25" s="5"/>
      <c r="I25" s="5"/>
      <c r="J25" s="23"/>
      <c r="K25" s="5"/>
      <c r="L25" s="5"/>
      <c r="M25" s="5"/>
      <c r="N25" s="5"/>
      <c r="O25" s="5"/>
      <c r="P25" s="13"/>
      <c r="Q25" s="13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13"/>
      <c r="AE25" s="13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13"/>
      <c r="AS25" s="13"/>
      <c r="AT25" s="5"/>
      <c r="AU25" s="5"/>
      <c r="AV25" s="5"/>
      <c r="AW25" s="5"/>
      <c r="AX25" s="5"/>
      <c r="AY25" s="5"/>
      <c r="AZ25" s="13"/>
      <c r="BA25" s="13"/>
      <c r="BB25" s="5"/>
      <c r="BC25" s="5"/>
      <c r="BD25" s="10"/>
      <c r="BE25" s="10"/>
      <c r="BF25" s="12"/>
      <c r="BG25" s="12"/>
      <c r="BH25" s="10"/>
      <c r="BI25" s="10"/>
      <c r="BJ25" s="10"/>
      <c r="BK25" s="10"/>
      <c r="BL25" s="10"/>
      <c r="BM25" s="10"/>
      <c r="BN25" t="str">
        <f t="shared" si="0"/>
        <v>R2|ARTURO VALERIO|LA JOYA IV</v>
      </c>
    </row>
    <row r="26" spans="1:66" hidden="1">
      <c r="A26" s="8" t="s">
        <v>26</v>
      </c>
      <c r="B26" s="6" t="s">
        <v>31</v>
      </c>
      <c r="C26" s="6" t="s">
        <v>36</v>
      </c>
      <c r="D26" s="5"/>
      <c r="E26" s="5"/>
      <c r="F26" s="5"/>
      <c r="G26" s="5"/>
      <c r="H26" s="5"/>
      <c r="I26" s="5"/>
      <c r="J26" s="23"/>
      <c r="K26" s="5"/>
      <c r="L26" s="5"/>
      <c r="M26" s="5"/>
      <c r="N26" s="5"/>
      <c r="O26" s="5"/>
      <c r="P26" s="13"/>
      <c r="Q26" s="13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13"/>
      <c r="AE26" s="13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13"/>
      <c r="AS26" s="13"/>
      <c r="AT26" s="5"/>
      <c r="AU26" s="5"/>
      <c r="AV26" s="5"/>
      <c r="AW26" s="5"/>
      <c r="AX26" s="5"/>
      <c r="AY26" s="5"/>
      <c r="AZ26" s="13"/>
      <c r="BA26" s="13"/>
      <c r="BB26" s="5"/>
      <c r="BC26" s="5"/>
      <c r="BD26" s="10"/>
      <c r="BE26" s="10"/>
      <c r="BF26" s="12"/>
      <c r="BG26" s="12"/>
      <c r="BH26" s="10"/>
      <c r="BI26" s="10"/>
      <c r="BJ26" s="10"/>
      <c r="BK26" s="10"/>
      <c r="BL26" s="10"/>
      <c r="BM26" s="10"/>
      <c r="BN26" t="str">
        <f t="shared" si="0"/>
        <v>R2|ARTURO VALERIO|LA JOYA V</v>
      </c>
    </row>
    <row r="27" spans="1:66" hidden="1">
      <c r="A27" s="8" t="s">
        <v>26</v>
      </c>
      <c r="B27" s="6" t="s">
        <v>31</v>
      </c>
      <c r="C27" s="6" t="s">
        <v>37</v>
      </c>
      <c r="D27" s="5"/>
      <c r="E27" s="5"/>
      <c r="F27" s="5"/>
      <c r="G27" s="5"/>
      <c r="H27" s="5"/>
      <c r="I27" s="5"/>
      <c r="J27" s="23"/>
      <c r="K27" s="5"/>
      <c r="L27" s="5"/>
      <c r="M27" s="5"/>
      <c r="N27" s="5"/>
      <c r="O27" s="5"/>
      <c r="P27" s="13"/>
      <c r="Q27" s="13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13"/>
      <c r="AE27" s="13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13"/>
      <c r="AS27" s="13"/>
      <c r="AT27" s="5"/>
      <c r="AU27" s="5"/>
      <c r="AV27" s="5"/>
      <c r="AW27" s="5"/>
      <c r="AX27" s="5"/>
      <c r="AY27" s="5"/>
      <c r="AZ27" s="13"/>
      <c r="BA27" s="13"/>
      <c r="BB27" s="5"/>
      <c r="BC27" s="5"/>
      <c r="BD27" s="10"/>
      <c r="BE27" s="10"/>
      <c r="BF27" s="12"/>
      <c r="BG27" s="12"/>
      <c r="BH27" s="10"/>
      <c r="BI27" s="10"/>
      <c r="BJ27" s="10"/>
      <c r="BK27" s="10"/>
      <c r="BL27" s="10"/>
      <c r="BM27" s="10"/>
      <c r="BN27" t="str">
        <f t="shared" si="0"/>
        <v>R2|ARTURO VALERIO|DIAMANTE</v>
      </c>
    </row>
    <row r="28" spans="1:66" hidden="1">
      <c r="A28" s="8" t="s">
        <v>26</v>
      </c>
      <c r="B28" s="6" t="s">
        <v>31</v>
      </c>
      <c r="C28" s="6" t="s">
        <v>38</v>
      </c>
      <c r="D28" s="5"/>
      <c r="E28" s="5"/>
      <c r="F28" s="5"/>
      <c r="G28" s="5"/>
      <c r="H28" s="5"/>
      <c r="I28" s="5"/>
      <c r="J28" s="23"/>
      <c r="K28" s="5"/>
      <c r="L28" s="5"/>
      <c r="M28" s="5"/>
      <c r="N28" s="5"/>
      <c r="O28" s="5"/>
      <c r="P28" s="13"/>
      <c r="Q28" s="13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13"/>
      <c r="AE28" s="13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13"/>
      <c r="AS28" s="13"/>
      <c r="AT28" s="5" t="s">
        <v>344</v>
      </c>
      <c r="AU28" s="5"/>
      <c r="AV28" s="5"/>
      <c r="AW28" s="5"/>
      <c r="AX28" s="5"/>
      <c r="AY28" s="5"/>
      <c r="AZ28" s="13"/>
      <c r="BA28" s="13"/>
      <c r="BB28" s="5"/>
      <c r="BC28" s="5"/>
      <c r="BD28" s="10"/>
      <c r="BE28" s="10"/>
      <c r="BF28" s="12"/>
      <c r="BG28" s="12"/>
      <c r="BH28" s="10"/>
      <c r="BI28" s="10"/>
      <c r="BJ28" s="10"/>
      <c r="BK28" s="10"/>
      <c r="BL28" s="10"/>
      <c r="BM28" s="10"/>
      <c r="BN28" t="str">
        <f t="shared" si="0"/>
        <v>R2|ARTURO VALERIO|PUMA</v>
      </c>
    </row>
    <row r="29" spans="1:66" hidden="1">
      <c r="A29" s="8" t="s">
        <v>26</v>
      </c>
      <c r="B29" s="6" t="s">
        <v>39</v>
      </c>
      <c r="C29" s="6" t="s">
        <v>40</v>
      </c>
      <c r="D29" s="5" t="s">
        <v>345</v>
      </c>
      <c r="E29" s="5" t="s">
        <v>267</v>
      </c>
      <c r="F29" s="5" t="s">
        <v>346</v>
      </c>
      <c r="G29" s="5" t="s">
        <v>213</v>
      </c>
      <c r="H29" s="5" t="s">
        <v>295</v>
      </c>
      <c r="I29" s="5" t="s">
        <v>203</v>
      </c>
      <c r="J29" s="23" t="s">
        <v>208</v>
      </c>
      <c r="K29" s="5"/>
      <c r="L29" s="5" t="s">
        <v>299</v>
      </c>
      <c r="M29" s="5" t="s">
        <v>234</v>
      </c>
      <c r="N29" s="5"/>
      <c r="O29" s="5"/>
      <c r="P29" s="13"/>
      <c r="Q29" s="13"/>
      <c r="R29" s="5" t="s">
        <v>347</v>
      </c>
      <c r="S29" s="5" t="s">
        <v>348</v>
      </c>
      <c r="T29" s="5" t="s">
        <v>349</v>
      </c>
      <c r="U29" s="5" t="s">
        <v>350</v>
      </c>
      <c r="V29" s="5" t="s">
        <v>345</v>
      </c>
      <c r="W29" s="5" t="s">
        <v>351</v>
      </c>
      <c r="X29" s="5" t="s">
        <v>339</v>
      </c>
      <c r="Y29" s="5" t="s">
        <v>214</v>
      </c>
      <c r="Z29" s="5" t="s">
        <v>205</v>
      </c>
      <c r="AA29" s="5" t="s">
        <v>352</v>
      </c>
      <c r="AB29" s="5"/>
      <c r="AC29" s="5"/>
      <c r="AD29" s="13"/>
      <c r="AE29" s="13"/>
      <c r="AF29" s="5"/>
      <c r="AG29" s="5"/>
      <c r="AH29" s="5" t="s">
        <v>353</v>
      </c>
      <c r="AI29" s="5" t="s">
        <v>354</v>
      </c>
      <c r="AJ29" s="5" t="s">
        <v>355</v>
      </c>
      <c r="AK29" s="5"/>
      <c r="AL29" s="5" t="s">
        <v>339</v>
      </c>
      <c r="AM29" s="5" t="s">
        <v>220</v>
      </c>
      <c r="AN29" s="5" t="s">
        <v>356</v>
      </c>
      <c r="AO29" s="5" t="s">
        <v>351</v>
      </c>
      <c r="AP29" s="5"/>
      <c r="AQ29" s="5"/>
      <c r="AR29" s="13"/>
      <c r="AS29" s="13"/>
      <c r="AT29" s="5" t="s">
        <v>357</v>
      </c>
      <c r="AU29" s="5" t="s">
        <v>358</v>
      </c>
      <c r="AV29" s="5" t="s">
        <v>297</v>
      </c>
      <c r="AW29" s="5" t="s">
        <v>359</v>
      </c>
      <c r="AX29" s="5"/>
      <c r="AY29" s="5"/>
      <c r="AZ29" s="13"/>
      <c r="BA29" s="13"/>
      <c r="BB29" s="5" t="s">
        <v>360</v>
      </c>
      <c r="BC29" s="5"/>
      <c r="BD29" s="10"/>
      <c r="BE29" s="10"/>
      <c r="BF29" s="12"/>
      <c r="BG29" s="12"/>
      <c r="BH29" s="10">
        <v>0.37916666666666671</v>
      </c>
      <c r="BI29" s="10"/>
      <c r="BJ29" s="10">
        <v>0.42638888888888887</v>
      </c>
      <c r="BK29" s="10">
        <v>0.15208333333333332</v>
      </c>
      <c r="BL29" s="10"/>
      <c r="BM29" s="10"/>
      <c r="BN29" t="str">
        <f t="shared" si="0"/>
        <v>R2|MONSERRAT ESQUIVEL|TULTITLAN I</v>
      </c>
    </row>
    <row r="30" spans="1:66" hidden="1">
      <c r="A30" s="8" t="s">
        <v>26</v>
      </c>
      <c r="B30" s="6" t="s">
        <v>41</v>
      </c>
      <c r="C30" s="6" t="s">
        <v>42</v>
      </c>
      <c r="D30" s="5" t="s">
        <v>343</v>
      </c>
      <c r="E30" s="5" t="s">
        <v>348</v>
      </c>
      <c r="F30" s="5" t="s">
        <v>226</v>
      </c>
      <c r="G30" s="5" t="s">
        <v>212</v>
      </c>
      <c r="H30" s="5" t="s">
        <v>246</v>
      </c>
      <c r="I30" s="5" t="s">
        <v>361</v>
      </c>
      <c r="J30" s="23" t="s">
        <v>362</v>
      </c>
      <c r="K30" s="5" t="s">
        <v>352</v>
      </c>
      <c r="L30" s="5" t="s">
        <v>202</v>
      </c>
      <c r="M30" s="5" t="s">
        <v>253</v>
      </c>
      <c r="N30" s="5"/>
      <c r="O30" s="5"/>
      <c r="P30" s="13"/>
      <c r="Q30" s="13"/>
      <c r="R30" s="5"/>
      <c r="S30" s="5"/>
      <c r="T30" s="5" t="s">
        <v>205</v>
      </c>
      <c r="U30" s="5" t="s">
        <v>354</v>
      </c>
      <c r="V30" s="5" t="s">
        <v>332</v>
      </c>
      <c r="W30" s="5" t="s">
        <v>305</v>
      </c>
      <c r="X30" s="5" t="s">
        <v>210</v>
      </c>
      <c r="Y30" s="5" t="s">
        <v>277</v>
      </c>
      <c r="Z30" s="5" t="s">
        <v>204</v>
      </c>
      <c r="AA30" s="5" t="s">
        <v>312</v>
      </c>
      <c r="AB30" s="5" t="s">
        <v>275</v>
      </c>
      <c r="AC30" s="5"/>
      <c r="AD30" s="13"/>
      <c r="AE30" s="13"/>
      <c r="AF30" s="5" t="s">
        <v>363</v>
      </c>
      <c r="AG30" s="5" t="s">
        <v>298</v>
      </c>
      <c r="AH30" s="5" t="s">
        <v>302</v>
      </c>
      <c r="AI30" s="5" t="s">
        <v>364</v>
      </c>
      <c r="AJ30" s="5" t="s">
        <v>204</v>
      </c>
      <c r="AK30" s="5" t="s">
        <v>365</v>
      </c>
      <c r="AL30" s="5" t="s">
        <v>219</v>
      </c>
      <c r="AM30" s="5" t="s">
        <v>222</v>
      </c>
      <c r="AN30" s="5" t="s">
        <v>238</v>
      </c>
      <c r="AO30" s="5" t="s">
        <v>203</v>
      </c>
      <c r="AP30" s="5"/>
      <c r="AQ30" s="5"/>
      <c r="AR30" s="13"/>
      <c r="AS30" s="13"/>
      <c r="AT30" s="5" t="s">
        <v>279</v>
      </c>
      <c r="AU30" s="5" t="s">
        <v>366</v>
      </c>
      <c r="AV30" s="5" t="s">
        <v>237</v>
      </c>
      <c r="AW30" s="5" t="s">
        <v>367</v>
      </c>
      <c r="AX30" s="5"/>
      <c r="AY30" s="5"/>
      <c r="AZ30" s="13"/>
      <c r="BA30" s="13"/>
      <c r="BB30" s="5" t="s">
        <v>330</v>
      </c>
      <c r="BC30" s="5"/>
      <c r="BD30" s="10"/>
      <c r="BE30" s="10"/>
      <c r="BF30" s="12"/>
      <c r="BG30" s="12"/>
      <c r="BH30" s="10">
        <v>0.36041666666666672</v>
      </c>
      <c r="BI30" s="10">
        <v>0.1673611111111111</v>
      </c>
      <c r="BJ30" s="10">
        <v>0.37986111111111109</v>
      </c>
      <c r="BK30" s="10">
        <v>0.18055555555555555</v>
      </c>
      <c r="BL30" s="10"/>
      <c r="BM30" s="10"/>
      <c r="BN30" t="str">
        <f t="shared" si="0"/>
        <v>R2|RAFAEL PONCE|TULTITLAN II</v>
      </c>
    </row>
    <row r="31" spans="1:66" hidden="1">
      <c r="A31" s="8" t="s">
        <v>43</v>
      </c>
      <c r="B31" s="6" t="s">
        <v>44</v>
      </c>
      <c r="C31" s="6" t="s">
        <v>45</v>
      </c>
      <c r="D31" s="5" t="s">
        <v>341</v>
      </c>
      <c r="E31" s="5"/>
      <c r="F31" s="5" t="s">
        <v>275</v>
      </c>
      <c r="G31" s="5" t="s">
        <v>262</v>
      </c>
      <c r="H31" s="5" t="s">
        <v>226</v>
      </c>
      <c r="I31" s="5" t="s">
        <v>209</v>
      </c>
      <c r="J31" s="23" t="s">
        <v>205</v>
      </c>
      <c r="K31" s="5" t="s">
        <v>352</v>
      </c>
      <c r="L31" s="5" t="s">
        <v>246</v>
      </c>
      <c r="M31" s="5" t="s">
        <v>311</v>
      </c>
      <c r="N31" s="5" t="s">
        <v>368</v>
      </c>
      <c r="O31" s="5"/>
      <c r="P31" s="13"/>
      <c r="Q31" s="13"/>
      <c r="R31" s="5" t="s">
        <v>369</v>
      </c>
      <c r="S31" s="5" t="s">
        <v>370</v>
      </c>
      <c r="T31" s="5" t="s">
        <v>216</v>
      </c>
      <c r="U31" s="5" t="s">
        <v>257</v>
      </c>
      <c r="V31" s="5" t="s">
        <v>343</v>
      </c>
      <c r="W31" s="5" t="s">
        <v>371</v>
      </c>
      <c r="X31" s="5" t="s">
        <v>228</v>
      </c>
      <c r="Y31" s="5" t="s">
        <v>372</v>
      </c>
      <c r="Z31" s="5" t="s">
        <v>248</v>
      </c>
      <c r="AA31" s="5" t="s">
        <v>209</v>
      </c>
      <c r="AB31" s="5" t="s">
        <v>373</v>
      </c>
      <c r="AC31" s="5"/>
      <c r="AD31" s="13"/>
      <c r="AE31" s="13"/>
      <c r="AF31" s="5" t="s">
        <v>232</v>
      </c>
      <c r="AG31" s="5" t="s">
        <v>374</v>
      </c>
      <c r="AH31" s="5" t="s">
        <v>216</v>
      </c>
      <c r="AI31" s="5" t="s">
        <v>375</v>
      </c>
      <c r="AJ31" s="5" t="s">
        <v>292</v>
      </c>
      <c r="AK31" s="5" t="s">
        <v>217</v>
      </c>
      <c r="AL31" s="5" t="s">
        <v>285</v>
      </c>
      <c r="AM31" s="5" t="s">
        <v>355</v>
      </c>
      <c r="AN31" s="5" t="s">
        <v>376</v>
      </c>
      <c r="AO31" s="5" t="s">
        <v>209</v>
      </c>
      <c r="AP31" s="5" t="s">
        <v>341</v>
      </c>
      <c r="AQ31" s="5"/>
      <c r="AR31" s="13"/>
      <c r="AS31" s="13"/>
      <c r="AT31" s="5" t="s">
        <v>377</v>
      </c>
      <c r="AU31" s="5" t="s">
        <v>378</v>
      </c>
      <c r="AV31" s="5" t="s">
        <v>231</v>
      </c>
      <c r="AW31" s="5" t="s">
        <v>379</v>
      </c>
      <c r="AX31" s="5" t="s">
        <v>380</v>
      </c>
      <c r="AY31" s="5" t="s">
        <v>381</v>
      </c>
      <c r="AZ31" s="13"/>
      <c r="BA31" s="13"/>
      <c r="BB31" s="5" t="s">
        <v>373</v>
      </c>
      <c r="BC31" s="5" t="s">
        <v>382</v>
      </c>
      <c r="BD31" s="10">
        <v>0.37638888888888888</v>
      </c>
      <c r="BE31" s="10">
        <v>0.52638888888888891</v>
      </c>
      <c r="BF31" s="12"/>
      <c r="BG31" s="12"/>
      <c r="BH31" s="10">
        <v>0.36527777777777781</v>
      </c>
      <c r="BI31" s="10">
        <v>0.12638888888888888</v>
      </c>
      <c r="BJ31" s="10">
        <v>0.34861111111111109</v>
      </c>
      <c r="BK31" s="10">
        <v>0.14444444444444443</v>
      </c>
      <c r="BL31" s="10"/>
      <c r="BM31" s="10">
        <v>7.2222222222222215E-2</v>
      </c>
      <c r="BN31" t="str">
        <f t="shared" si="0"/>
        <v>R3|CARLOS A. CARRILLO|TULTI PARK II</v>
      </c>
    </row>
    <row r="32" spans="1:66" hidden="1">
      <c r="A32" s="8" t="s">
        <v>43</v>
      </c>
      <c r="B32" s="6" t="s">
        <v>46</v>
      </c>
      <c r="C32" s="6" t="s">
        <v>47</v>
      </c>
      <c r="D32" s="5" t="s">
        <v>279</v>
      </c>
      <c r="E32" s="5" t="s">
        <v>371</v>
      </c>
      <c r="F32" s="5"/>
      <c r="G32" s="5"/>
      <c r="H32" s="5" t="s">
        <v>231</v>
      </c>
      <c r="I32" s="5" t="s">
        <v>298</v>
      </c>
      <c r="J32" s="23" t="s">
        <v>268</v>
      </c>
      <c r="K32" s="5" t="s">
        <v>319</v>
      </c>
      <c r="L32" s="5" t="s">
        <v>373</v>
      </c>
      <c r="M32" s="5" t="s">
        <v>257</v>
      </c>
      <c r="N32" s="5"/>
      <c r="O32" s="5"/>
      <c r="P32" s="13"/>
      <c r="Q32" s="13"/>
      <c r="R32" s="5" t="s">
        <v>228</v>
      </c>
      <c r="S32" s="5" t="s">
        <v>383</v>
      </c>
      <c r="T32" s="5" t="s">
        <v>252</v>
      </c>
      <c r="U32" s="5" t="s">
        <v>351</v>
      </c>
      <c r="V32" s="5" t="s">
        <v>244</v>
      </c>
      <c r="W32" s="5" t="s">
        <v>277</v>
      </c>
      <c r="X32" s="5" t="s">
        <v>202</v>
      </c>
      <c r="Y32" s="5" t="s">
        <v>383</v>
      </c>
      <c r="Z32" s="5" t="s">
        <v>228</v>
      </c>
      <c r="AA32" s="5" t="s">
        <v>258</v>
      </c>
      <c r="AB32" s="5"/>
      <c r="AC32" s="5"/>
      <c r="AD32" s="13"/>
      <c r="AE32" s="13"/>
      <c r="AF32" s="5" t="s">
        <v>377</v>
      </c>
      <c r="AG32" s="5" t="s">
        <v>384</v>
      </c>
      <c r="AH32" s="5" t="s">
        <v>216</v>
      </c>
      <c r="AI32" s="5" t="s">
        <v>249</v>
      </c>
      <c r="AJ32" s="5" t="s">
        <v>263</v>
      </c>
      <c r="AK32" s="5" t="s">
        <v>383</v>
      </c>
      <c r="AL32" s="5" t="s">
        <v>339</v>
      </c>
      <c r="AM32" s="5" t="s">
        <v>352</v>
      </c>
      <c r="AN32" s="5" t="s">
        <v>275</v>
      </c>
      <c r="AO32" s="5" t="s">
        <v>303</v>
      </c>
      <c r="AP32" s="5"/>
      <c r="AQ32" s="5"/>
      <c r="AR32" s="13"/>
      <c r="AS32" s="13"/>
      <c r="AT32" s="5" t="s">
        <v>250</v>
      </c>
      <c r="AU32" s="5" t="s">
        <v>379</v>
      </c>
      <c r="AV32" s="5" t="s">
        <v>343</v>
      </c>
      <c r="AW32" s="5" t="s">
        <v>382</v>
      </c>
      <c r="AX32" s="5" t="s">
        <v>385</v>
      </c>
      <c r="AY32" s="5"/>
      <c r="AZ32" s="13"/>
      <c r="BA32" s="13"/>
      <c r="BB32" s="5" t="s">
        <v>275</v>
      </c>
      <c r="BC32" s="5" t="s">
        <v>310</v>
      </c>
      <c r="BD32" s="10"/>
      <c r="BE32" s="10"/>
      <c r="BF32" s="12"/>
      <c r="BG32" s="12"/>
      <c r="BH32" s="10"/>
      <c r="BI32" s="10"/>
      <c r="BJ32" s="10"/>
      <c r="BK32" s="10"/>
      <c r="BL32" s="10"/>
      <c r="BM32" s="10"/>
      <c r="BN32" t="str">
        <f t="shared" si="0"/>
        <v>R3|IVAN GONZALEZ|TULTI PARK III</v>
      </c>
    </row>
    <row r="33" spans="1:66" hidden="1">
      <c r="A33" s="8" t="s">
        <v>43</v>
      </c>
      <c r="B33" s="6" t="s">
        <v>48</v>
      </c>
      <c r="C33" s="6" t="s">
        <v>49</v>
      </c>
      <c r="D33" s="5" t="s">
        <v>307</v>
      </c>
      <c r="E33" s="5" t="s">
        <v>351</v>
      </c>
      <c r="F33" s="5" t="s">
        <v>248</v>
      </c>
      <c r="G33" s="5" t="s">
        <v>203</v>
      </c>
      <c r="H33" s="5" t="s">
        <v>238</v>
      </c>
      <c r="I33" s="5" t="s">
        <v>233</v>
      </c>
      <c r="J33" s="23" t="s">
        <v>316</v>
      </c>
      <c r="K33" s="5"/>
      <c r="L33" s="5" t="s">
        <v>386</v>
      </c>
      <c r="M33" s="5" t="s">
        <v>387</v>
      </c>
      <c r="N33" s="5" t="s">
        <v>238</v>
      </c>
      <c r="O33" s="5"/>
      <c r="P33" s="13"/>
      <c r="Q33" s="13"/>
      <c r="R33" s="5" t="s">
        <v>246</v>
      </c>
      <c r="S33" s="5" t="s">
        <v>316</v>
      </c>
      <c r="T33" s="5" t="s">
        <v>228</v>
      </c>
      <c r="U33" s="5" t="s">
        <v>316</v>
      </c>
      <c r="V33" s="5" t="s">
        <v>240</v>
      </c>
      <c r="W33" s="5" t="s">
        <v>388</v>
      </c>
      <c r="X33" s="5" t="s">
        <v>235</v>
      </c>
      <c r="Y33" s="5" t="s">
        <v>230</v>
      </c>
      <c r="Z33" s="5" t="s">
        <v>228</v>
      </c>
      <c r="AA33" s="5" t="s">
        <v>389</v>
      </c>
      <c r="AB33" s="5"/>
      <c r="AC33" s="5"/>
      <c r="AD33" s="13"/>
      <c r="AE33" s="13"/>
      <c r="AF33" s="5" t="s">
        <v>205</v>
      </c>
      <c r="AG33" s="5"/>
      <c r="AH33" s="5" t="s">
        <v>204</v>
      </c>
      <c r="AI33" s="5" t="s">
        <v>352</v>
      </c>
      <c r="AJ33" s="5"/>
      <c r="AK33" s="5"/>
      <c r="AL33" s="5" t="s">
        <v>312</v>
      </c>
      <c r="AM33" s="5"/>
      <c r="AN33" s="5" t="s">
        <v>219</v>
      </c>
      <c r="AO33" s="5"/>
      <c r="AP33" s="5"/>
      <c r="AQ33" s="5"/>
      <c r="AR33" s="13"/>
      <c r="AS33" s="13"/>
      <c r="AT33" s="5" t="s">
        <v>219</v>
      </c>
      <c r="AU33" s="5"/>
      <c r="AV33" s="5" t="s">
        <v>390</v>
      </c>
      <c r="AW33" s="5"/>
      <c r="AX33" s="5"/>
      <c r="AY33" s="5"/>
      <c r="AZ33" s="13"/>
      <c r="BA33" s="13"/>
      <c r="BB33" s="5"/>
      <c r="BC33" s="5"/>
      <c r="BD33" s="10"/>
      <c r="BE33" s="10"/>
      <c r="BF33" s="12"/>
      <c r="BG33" s="12"/>
      <c r="BH33" s="10">
        <v>0.36458333333333331</v>
      </c>
      <c r="BI33" s="10">
        <v>0.15208333333333332</v>
      </c>
      <c r="BJ33" s="10">
        <v>0.38124999999999998</v>
      </c>
      <c r="BK33" s="10">
        <v>0.14861111111111111</v>
      </c>
      <c r="BL33" s="10">
        <v>0.45347222222222222</v>
      </c>
      <c r="BM33" s="10"/>
      <c r="BN33" t="str">
        <f t="shared" si="0"/>
        <v>R3|ANDREA F. MIRANDA|TULTI PARK IV</v>
      </c>
    </row>
    <row r="34" spans="1:66" hidden="1">
      <c r="A34" s="8" t="s">
        <v>43</v>
      </c>
      <c r="B34" s="6" t="s">
        <v>48</v>
      </c>
      <c r="C34" s="6" t="s">
        <v>50</v>
      </c>
      <c r="D34" s="5"/>
      <c r="E34" s="5"/>
      <c r="F34" s="5"/>
      <c r="G34" s="5"/>
      <c r="H34" s="5"/>
      <c r="I34" s="5"/>
      <c r="J34" s="23"/>
      <c r="K34" s="5"/>
      <c r="L34" s="5"/>
      <c r="M34" s="5"/>
      <c r="N34" s="5"/>
      <c r="O34" s="5"/>
      <c r="P34" s="13"/>
      <c r="Q34" s="13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13"/>
      <c r="AE34" s="13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13"/>
      <c r="AS34" s="13"/>
      <c r="AT34" s="5"/>
      <c r="AU34" s="5"/>
      <c r="AV34" s="5"/>
      <c r="AW34" s="5"/>
      <c r="AX34" s="5"/>
      <c r="AY34" s="5"/>
      <c r="AZ34" s="13"/>
      <c r="BA34" s="13"/>
      <c r="BB34" s="5"/>
      <c r="BC34" s="5"/>
      <c r="BD34" s="10"/>
      <c r="BE34" s="10"/>
      <c r="BF34" s="12"/>
      <c r="BG34" s="12"/>
      <c r="BH34" s="10"/>
      <c r="BI34" s="10"/>
      <c r="BJ34" s="10"/>
      <c r="BK34" s="10"/>
      <c r="BL34" s="10"/>
      <c r="BM34" s="10"/>
      <c r="BN34" t="str">
        <f t="shared" si="0"/>
        <v>R3|ANDREA F. MIRANDA|COACALCO</v>
      </c>
    </row>
    <row r="35" spans="1:66" hidden="1">
      <c r="A35" s="8" t="s">
        <v>43</v>
      </c>
      <c r="B35" s="6" t="s">
        <v>51</v>
      </c>
      <c r="C35" s="6" t="s">
        <v>52</v>
      </c>
      <c r="D35" s="5" t="s">
        <v>356</v>
      </c>
      <c r="E35" s="5" t="s">
        <v>274</v>
      </c>
      <c r="F35" s="5" t="s">
        <v>302</v>
      </c>
      <c r="G35" s="5" t="s">
        <v>256</v>
      </c>
      <c r="H35" s="5" t="s">
        <v>205</v>
      </c>
      <c r="I35" s="5" t="s">
        <v>301</v>
      </c>
      <c r="J35" s="23" t="s">
        <v>275</v>
      </c>
      <c r="K35" s="5" t="s">
        <v>220</v>
      </c>
      <c r="L35" s="5" t="s">
        <v>334</v>
      </c>
      <c r="M35" s="5" t="s">
        <v>391</v>
      </c>
      <c r="N35" s="5"/>
      <c r="O35" s="5"/>
      <c r="P35" s="13"/>
      <c r="Q35" s="13"/>
      <c r="R35" s="5" t="s">
        <v>275</v>
      </c>
      <c r="S35" s="5" t="s">
        <v>315</v>
      </c>
      <c r="T35" s="5" t="s">
        <v>235</v>
      </c>
      <c r="U35" s="5" t="s">
        <v>313</v>
      </c>
      <c r="V35" s="5" t="s">
        <v>238</v>
      </c>
      <c r="W35" s="5" t="s">
        <v>223</v>
      </c>
      <c r="X35" s="5" t="s">
        <v>205</v>
      </c>
      <c r="Y35" s="5" t="s">
        <v>388</v>
      </c>
      <c r="Z35" s="5" t="s">
        <v>240</v>
      </c>
      <c r="AA35" s="5" t="s">
        <v>317</v>
      </c>
      <c r="AB35" s="5" t="s">
        <v>283</v>
      </c>
      <c r="AC35" s="5"/>
      <c r="AD35" s="13"/>
      <c r="AE35" s="13"/>
      <c r="AF35" s="5" t="s">
        <v>244</v>
      </c>
      <c r="AG35" s="5" t="s">
        <v>392</v>
      </c>
      <c r="AH35" s="5" t="s">
        <v>292</v>
      </c>
      <c r="AI35" s="5" t="s">
        <v>260</v>
      </c>
      <c r="AJ35" s="5" t="s">
        <v>204</v>
      </c>
      <c r="AK35" s="5" t="s">
        <v>277</v>
      </c>
      <c r="AL35" s="5" t="s">
        <v>210</v>
      </c>
      <c r="AM35" s="5" t="s">
        <v>364</v>
      </c>
      <c r="AN35" s="5" t="s">
        <v>246</v>
      </c>
      <c r="AO35" s="5" t="s">
        <v>364</v>
      </c>
      <c r="AP35" s="5" t="s">
        <v>393</v>
      </c>
      <c r="AQ35" s="5"/>
      <c r="AR35" s="13"/>
      <c r="AS35" s="13"/>
      <c r="AT35" s="5" t="s">
        <v>248</v>
      </c>
      <c r="AU35" s="5" t="s">
        <v>394</v>
      </c>
      <c r="AV35" s="5" t="s">
        <v>395</v>
      </c>
      <c r="AW35" s="5" t="s">
        <v>290</v>
      </c>
      <c r="AX35" s="5" t="s">
        <v>396</v>
      </c>
      <c r="AY35" s="5"/>
      <c r="AZ35" s="13"/>
      <c r="BA35" s="13"/>
      <c r="BB35" s="5" t="s">
        <v>251</v>
      </c>
      <c r="BC35" s="5" t="s">
        <v>397</v>
      </c>
      <c r="BD35" s="10">
        <v>0.42638888888888887</v>
      </c>
      <c r="BE35" s="10"/>
      <c r="BF35" s="12"/>
      <c r="BG35" s="12"/>
      <c r="BH35" s="10">
        <v>0.36944444444444452</v>
      </c>
      <c r="BI35" s="10"/>
      <c r="BJ35" s="10">
        <v>0.35833333333333334</v>
      </c>
      <c r="BK35" s="10"/>
      <c r="BL35" s="10"/>
      <c r="BM35" s="10"/>
      <c r="BN35" t="str">
        <f t="shared" si="0"/>
        <v>R3|MARCO A. CERVANTES|MEXIQUENSE</v>
      </c>
    </row>
    <row r="36" spans="1:66" hidden="1">
      <c r="A36" s="8" t="s">
        <v>43</v>
      </c>
      <c r="B36" s="6" t="s">
        <v>54</v>
      </c>
      <c r="C36" s="6" t="s">
        <v>55</v>
      </c>
      <c r="D36" s="5" t="s">
        <v>268</v>
      </c>
      <c r="E36" s="5" t="s">
        <v>398</v>
      </c>
      <c r="F36" s="5" t="s">
        <v>252</v>
      </c>
      <c r="G36" s="5" t="s">
        <v>399</v>
      </c>
      <c r="H36" s="5" t="s">
        <v>400</v>
      </c>
      <c r="I36" s="5" t="s">
        <v>257</v>
      </c>
      <c r="J36" s="23" t="s">
        <v>292</v>
      </c>
      <c r="K36" s="5" t="s">
        <v>267</v>
      </c>
      <c r="L36" s="5" t="s">
        <v>393</v>
      </c>
      <c r="M36" s="5" t="s">
        <v>350</v>
      </c>
      <c r="N36" s="5"/>
      <c r="O36" s="5"/>
      <c r="P36" s="13"/>
      <c r="Q36" s="13"/>
      <c r="R36" s="5" t="s">
        <v>224</v>
      </c>
      <c r="S36" s="5" t="s">
        <v>387</v>
      </c>
      <c r="T36" s="5" t="s">
        <v>393</v>
      </c>
      <c r="U36" s="5" t="s">
        <v>259</v>
      </c>
      <c r="V36" s="5" t="s">
        <v>210</v>
      </c>
      <c r="W36" s="5" t="s">
        <v>214</v>
      </c>
      <c r="X36" s="5" t="s">
        <v>228</v>
      </c>
      <c r="Y36" s="5" t="s">
        <v>372</v>
      </c>
      <c r="Z36" s="5" t="s">
        <v>224</v>
      </c>
      <c r="AA36" s="5" t="s">
        <v>312</v>
      </c>
      <c r="AB36" s="5"/>
      <c r="AC36" s="5"/>
      <c r="AD36" s="13"/>
      <c r="AE36" s="13"/>
      <c r="AF36" s="5" t="s">
        <v>334</v>
      </c>
      <c r="AG36" s="5" t="s">
        <v>321</v>
      </c>
      <c r="AH36" s="5" t="s">
        <v>228</v>
      </c>
      <c r="AI36" s="5" t="s">
        <v>401</v>
      </c>
      <c r="AJ36" s="5" t="s">
        <v>275</v>
      </c>
      <c r="AK36" s="5" t="s">
        <v>230</v>
      </c>
      <c r="AL36" s="5" t="s">
        <v>273</v>
      </c>
      <c r="AM36" s="5" t="s">
        <v>402</v>
      </c>
      <c r="AN36" s="5" t="s">
        <v>244</v>
      </c>
      <c r="AO36" s="5" t="s">
        <v>372</v>
      </c>
      <c r="AP36" s="5"/>
      <c r="AQ36" s="5"/>
      <c r="AR36" s="13"/>
      <c r="AS36" s="13"/>
      <c r="AT36" s="5" t="s">
        <v>403</v>
      </c>
      <c r="AU36" s="5"/>
      <c r="AV36" s="5" t="s">
        <v>404</v>
      </c>
      <c r="AW36" s="5"/>
      <c r="AX36" s="5"/>
      <c r="AY36" s="5"/>
      <c r="AZ36" s="13"/>
      <c r="BA36" s="13"/>
      <c r="BB36" s="5" t="s">
        <v>405</v>
      </c>
      <c r="BC36" s="5"/>
      <c r="BD36" s="10"/>
      <c r="BE36" s="10"/>
      <c r="BF36" s="12"/>
      <c r="BG36" s="12"/>
      <c r="BH36" s="10"/>
      <c r="BI36" s="10"/>
      <c r="BJ36" s="10"/>
      <c r="BK36" s="10"/>
      <c r="BL36" s="10"/>
      <c r="BM36" s="10"/>
      <c r="BN36" t="str">
        <f t="shared" ref="BN36:BN67" si="1">A36&amp;"|"&amp;B36&amp;"|"&amp;C36</f>
        <v>R3|PAOLA S. ANSELMO|TULTE PARK</v>
      </c>
    </row>
    <row r="37" spans="1:66" hidden="1">
      <c r="A37" s="8" t="s">
        <v>56</v>
      </c>
      <c r="B37" s="6" t="s">
        <v>57</v>
      </c>
      <c r="C37" s="6" t="s">
        <v>58</v>
      </c>
      <c r="D37" s="5"/>
      <c r="E37" s="5"/>
      <c r="F37" s="5"/>
      <c r="G37" s="5"/>
      <c r="H37" s="5"/>
      <c r="I37" s="5"/>
      <c r="J37" s="23"/>
      <c r="K37" s="5"/>
      <c r="L37" s="5"/>
      <c r="M37" s="5"/>
      <c r="N37" s="5"/>
      <c r="O37" s="5"/>
      <c r="P37" s="13"/>
      <c r="Q37" s="13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13"/>
      <c r="AE37" s="13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13"/>
      <c r="AS37" s="13"/>
      <c r="AT37" s="5"/>
      <c r="AU37" s="5"/>
      <c r="AV37" s="5"/>
      <c r="AW37" s="5"/>
      <c r="AX37" s="5"/>
      <c r="AY37" s="5"/>
      <c r="AZ37" s="13"/>
      <c r="BA37" s="13"/>
      <c r="BB37" s="5"/>
      <c r="BC37" s="5"/>
      <c r="BD37" s="10"/>
      <c r="BE37" s="10"/>
      <c r="BF37" s="12"/>
      <c r="BG37" s="12"/>
      <c r="BH37" s="10"/>
      <c r="BI37" s="10"/>
      <c r="BJ37" s="10"/>
      <c r="BK37" s="10"/>
      <c r="BL37" s="10"/>
      <c r="BM37" s="10"/>
      <c r="BN37" t="str">
        <f t="shared" si="1"/>
        <v>R4|JESUS BECERRA|LAGO I</v>
      </c>
    </row>
    <row r="38" spans="1:66" hidden="1">
      <c r="A38" s="8" t="s">
        <v>56</v>
      </c>
      <c r="B38" s="6" t="s">
        <v>57</v>
      </c>
      <c r="C38" s="6" t="s">
        <v>59</v>
      </c>
      <c r="D38" s="5" t="s">
        <v>302</v>
      </c>
      <c r="E38" s="5" t="s">
        <v>387</v>
      </c>
      <c r="F38" s="5" t="s">
        <v>232</v>
      </c>
      <c r="G38" s="5" t="s">
        <v>301</v>
      </c>
      <c r="H38" s="5" t="s">
        <v>216</v>
      </c>
      <c r="I38" s="5" t="s">
        <v>384</v>
      </c>
      <c r="J38" s="23" t="s">
        <v>240</v>
      </c>
      <c r="K38" s="5" t="s">
        <v>261</v>
      </c>
      <c r="L38" s="5" t="s">
        <v>406</v>
      </c>
      <c r="M38" s="5" t="s">
        <v>352</v>
      </c>
      <c r="N38" s="5"/>
      <c r="O38" s="5"/>
      <c r="P38" s="13"/>
      <c r="Q38" s="13"/>
      <c r="R38" s="5" t="s">
        <v>377</v>
      </c>
      <c r="S38" s="5" t="s">
        <v>383</v>
      </c>
      <c r="T38" s="5" t="s">
        <v>352</v>
      </c>
      <c r="U38" s="5"/>
      <c r="V38" s="5" t="s">
        <v>339</v>
      </c>
      <c r="W38" s="5" t="s">
        <v>298</v>
      </c>
      <c r="X38" s="5" t="s">
        <v>202</v>
      </c>
      <c r="Y38" s="5" t="s">
        <v>391</v>
      </c>
      <c r="Z38" s="5" t="s">
        <v>238</v>
      </c>
      <c r="AA38" s="5" t="s">
        <v>407</v>
      </c>
      <c r="AB38" s="5" t="s">
        <v>334</v>
      </c>
      <c r="AC38" s="5"/>
      <c r="AD38" s="13"/>
      <c r="AE38" s="13"/>
      <c r="AF38" s="5" t="s">
        <v>276</v>
      </c>
      <c r="AG38" s="5" t="s">
        <v>333</v>
      </c>
      <c r="AH38" s="5" t="s">
        <v>347</v>
      </c>
      <c r="AI38" s="5" t="s">
        <v>398</v>
      </c>
      <c r="AJ38" s="5" t="s">
        <v>221</v>
      </c>
      <c r="AK38" s="5"/>
      <c r="AL38" s="5" t="s">
        <v>335</v>
      </c>
      <c r="AM38" s="5" t="s">
        <v>352</v>
      </c>
      <c r="AN38" s="5" t="s">
        <v>228</v>
      </c>
      <c r="AO38" s="5" t="s">
        <v>303</v>
      </c>
      <c r="AP38" s="5" t="s">
        <v>339</v>
      </c>
      <c r="AQ38" s="5"/>
      <c r="AR38" s="13"/>
      <c r="AS38" s="13"/>
      <c r="AT38" s="5" t="s">
        <v>299</v>
      </c>
      <c r="AU38" s="5" t="s">
        <v>408</v>
      </c>
      <c r="AV38" s="5" t="s">
        <v>255</v>
      </c>
      <c r="AW38" s="5" t="s">
        <v>409</v>
      </c>
      <c r="AX38" s="5"/>
      <c r="AY38" s="5"/>
      <c r="AZ38" s="13"/>
      <c r="BA38" s="13"/>
      <c r="BB38" s="5" t="s">
        <v>226</v>
      </c>
      <c r="BC38" s="5" t="s">
        <v>410</v>
      </c>
      <c r="BD38" s="10">
        <v>0.36458333333333331</v>
      </c>
      <c r="BE38" s="10">
        <v>0.50416666666666665</v>
      </c>
      <c r="BF38" s="12"/>
      <c r="BG38" s="12"/>
      <c r="BH38" s="10">
        <v>0.37083333333333329</v>
      </c>
      <c r="BI38" s="10">
        <v>0.14444444444444443</v>
      </c>
      <c r="BJ38" s="10">
        <v>0.375</v>
      </c>
      <c r="BK38" s="10">
        <v>0.15069444444444444</v>
      </c>
      <c r="BL38" s="10"/>
      <c r="BM38" s="10"/>
      <c r="BN38" t="str">
        <f t="shared" si="1"/>
        <v>R4|JESUS BECERRA|LAGO II</v>
      </c>
    </row>
    <row r="39" spans="1:66" hidden="1">
      <c r="A39" s="8" t="s">
        <v>56</v>
      </c>
      <c r="B39" s="6" t="s">
        <v>60</v>
      </c>
      <c r="C39" s="6" t="s">
        <v>61</v>
      </c>
      <c r="D39" s="5"/>
      <c r="E39" s="5"/>
      <c r="F39" s="5" t="s">
        <v>307</v>
      </c>
      <c r="G39" s="5" t="s">
        <v>233</v>
      </c>
      <c r="H39" s="5" t="s">
        <v>343</v>
      </c>
      <c r="I39" s="5" t="s">
        <v>333</v>
      </c>
      <c r="J39" s="23" t="s">
        <v>202</v>
      </c>
      <c r="K39" s="5" t="s">
        <v>258</v>
      </c>
      <c r="L39" s="5"/>
      <c r="M39" s="5"/>
      <c r="N39" s="5"/>
      <c r="O39" s="5"/>
      <c r="P39" s="13"/>
      <c r="Q39" s="13"/>
      <c r="R39" s="5" t="s">
        <v>411</v>
      </c>
      <c r="S39" s="5" t="s">
        <v>312</v>
      </c>
      <c r="T39" s="5" t="s">
        <v>202</v>
      </c>
      <c r="U39" s="5" t="s">
        <v>355</v>
      </c>
      <c r="V39" s="5"/>
      <c r="W39" s="5"/>
      <c r="X39" s="5" t="s">
        <v>204</v>
      </c>
      <c r="Y39" s="5" t="s">
        <v>298</v>
      </c>
      <c r="Z39" s="5"/>
      <c r="AA39" s="5"/>
      <c r="AB39" s="5"/>
      <c r="AC39" s="5"/>
      <c r="AD39" s="13"/>
      <c r="AE39" s="13"/>
      <c r="AF39" s="5" t="s">
        <v>246</v>
      </c>
      <c r="AG39" s="5" t="s">
        <v>249</v>
      </c>
      <c r="AH39" s="5" t="s">
        <v>235</v>
      </c>
      <c r="AI39" s="5" t="s">
        <v>249</v>
      </c>
      <c r="AJ39" s="5"/>
      <c r="AK39" s="5"/>
      <c r="AL39" s="5" t="s">
        <v>250</v>
      </c>
      <c r="AM39" s="5" t="s">
        <v>230</v>
      </c>
      <c r="AN39" s="5" t="s">
        <v>204</v>
      </c>
      <c r="AO39" s="5" t="s">
        <v>261</v>
      </c>
      <c r="AP39" s="5"/>
      <c r="AQ39" s="5"/>
      <c r="AR39" s="13"/>
      <c r="AS39" s="13"/>
      <c r="AT39" s="5" t="s">
        <v>279</v>
      </c>
      <c r="AU39" s="5" t="s">
        <v>412</v>
      </c>
      <c r="AV39" s="5" t="s">
        <v>358</v>
      </c>
      <c r="AW39" s="5"/>
      <c r="AX39" s="5"/>
      <c r="AY39" s="5"/>
      <c r="AZ39" s="13"/>
      <c r="BA39" s="13"/>
      <c r="BB39" s="5"/>
      <c r="BC39" s="5"/>
      <c r="BD39" s="10"/>
      <c r="BE39" s="10"/>
      <c r="BF39" s="12"/>
      <c r="BG39" s="12"/>
      <c r="BH39" s="10"/>
      <c r="BI39" s="10"/>
      <c r="BJ39" s="10">
        <v>0.3576388888888889</v>
      </c>
      <c r="BK39" s="10">
        <v>0.18819444444444444</v>
      </c>
      <c r="BL39" s="10"/>
      <c r="BM39" s="10"/>
      <c r="BN39" t="str">
        <f t="shared" si="1"/>
        <v>R4|EDGAR S. MARQUEZ|LAGO III</v>
      </c>
    </row>
    <row r="40" spans="1:66" hidden="1">
      <c r="A40" s="8" t="s">
        <v>56</v>
      </c>
      <c r="B40" s="6" t="s">
        <v>60</v>
      </c>
      <c r="C40" s="6" t="s">
        <v>62</v>
      </c>
      <c r="D40" s="5" t="s">
        <v>413</v>
      </c>
      <c r="E40" s="5" t="s">
        <v>258</v>
      </c>
      <c r="F40" s="5"/>
      <c r="G40" s="5"/>
      <c r="H40" s="5"/>
      <c r="I40" s="5"/>
      <c r="J40" s="23"/>
      <c r="K40" s="5"/>
      <c r="L40" s="5" t="s">
        <v>373</v>
      </c>
      <c r="M40" s="5" t="s">
        <v>352</v>
      </c>
      <c r="N40" s="5"/>
      <c r="O40" s="5"/>
      <c r="P40" s="13"/>
      <c r="Q40" s="13"/>
      <c r="R40" s="5"/>
      <c r="S40" s="5"/>
      <c r="T40" s="5"/>
      <c r="U40" s="5"/>
      <c r="V40" s="5" t="s">
        <v>248</v>
      </c>
      <c r="W40" s="5" t="s">
        <v>387</v>
      </c>
      <c r="X40" s="5"/>
      <c r="Y40" s="5"/>
      <c r="Z40" s="5" t="s">
        <v>204</v>
      </c>
      <c r="AA40" s="5" t="s">
        <v>261</v>
      </c>
      <c r="AB40" s="5" t="s">
        <v>224</v>
      </c>
      <c r="AC40" s="5"/>
      <c r="AD40" s="13"/>
      <c r="AE40" s="13"/>
      <c r="AF40" s="5"/>
      <c r="AG40" s="5"/>
      <c r="AH40" s="5"/>
      <c r="AI40" s="5"/>
      <c r="AJ40" s="5" t="s">
        <v>252</v>
      </c>
      <c r="AK40" s="5" t="s">
        <v>375</v>
      </c>
      <c r="AL40" s="5"/>
      <c r="AM40" s="5"/>
      <c r="AN40" s="5" t="s">
        <v>305</v>
      </c>
      <c r="AO40" s="5"/>
      <c r="AP40" s="5"/>
      <c r="AQ40" s="5"/>
      <c r="AR40" s="13"/>
      <c r="AS40" s="13"/>
      <c r="AT40" s="5" t="s">
        <v>208</v>
      </c>
      <c r="AU40" s="5"/>
      <c r="AV40" s="5" t="s">
        <v>248</v>
      </c>
      <c r="AW40" s="5"/>
      <c r="AX40" s="5"/>
      <c r="AY40" s="5"/>
      <c r="AZ40" s="13"/>
      <c r="BA40" s="13"/>
      <c r="BB40" s="5" t="s">
        <v>210</v>
      </c>
      <c r="BC40" s="5" t="s">
        <v>414</v>
      </c>
      <c r="BD40" s="10"/>
      <c r="BE40" s="10"/>
      <c r="BF40" s="12"/>
      <c r="BG40" s="12"/>
      <c r="BH40" s="10">
        <v>0.3611111111111111</v>
      </c>
      <c r="BI40" s="10">
        <v>0.15</v>
      </c>
      <c r="BJ40" s="10"/>
      <c r="BK40" s="10"/>
      <c r="BL40" s="10"/>
      <c r="BM40" s="10"/>
      <c r="BN40" t="str">
        <f t="shared" si="1"/>
        <v>R4|EDGAR S. MARQUEZ|FUNO CENTER</v>
      </c>
    </row>
    <row r="41" spans="1:66" hidden="1">
      <c r="A41" s="8" t="s">
        <v>56</v>
      </c>
      <c r="B41" s="6" t="s">
        <v>63</v>
      </c>
      <c r="C41" s="6" t="s">
        <v>64</v>
      </c>
      <c r="D41" s="5" t="s">
        <v>377</v>
      </c>
      <c r="E41" s="5" t="s">
        <v>222</v>
      </c>
      <c r="F41" s="5"/>
      <c r="G41" s="5"/>
      <c r="H41" s="5" t="s">
        <v>343</v>
      </c>
      <c r="I41" s="5" t="s">
        <v>415</v>
      </c>
      <c r="J41" s="23" t="s">
        <v>312</v>
      </c>
      <c r="K41" s="5"/>
      <c r="L41" s="5"/>
      <c r="M41" s="5"/>
      <c r="N41" s="5"/>
      <c r="O41" s="5"/>
      <c r="P41" s="13"/>
      <c r="Q41" s="13"/>
      <c r="R41" s="5" t="s">
        <v>255</v>
      </c>
      <c r="S41" s="5" t="s">
        <v>305</v>
      </c>
      <c r="T41" s="5" t="s">
        <v>207</v>
      </c>
      <c r="U41" s="5"/>
      <c r="V41" s="5" t="s">
        <v>383</v>
      </c>
      <c r="W41" s="5"/>
      <c r="X41" s="5"/>
      <c r="Y41" s="5"/>
      <c r="Z41" s="5" t="s">
        <v>376</v>
      </c>
      <c r="AA41" s="5" t="s">
        <v>416</v>
      </c>
      <c r="AB41" s="5"/>
      <c r="AC41" s="5"/>
      <c r="AD41" s="13"/>
      <c r="AE41" s="13"/>
      <c r="AF41" s="5" t="s">
        <v>417</v>
      </c>
      <c r="AG41" s="5"/>
      <c r="AH41" s="5"/>
      <c r="AI41" s="5"/>
      <c r="AJ41" s="5" t="s">
        <v>297</v>
      </c>
      <c r="AK41" s="5" t="s">
        <v>418</v>
      </c>
      <c r="AL41" s="5"/>
      <c r="AM41" s="5"/>
      <c r="AN41" s="5" t="s">
        <v>419</v>
      </c>
      <c r="AO41" s="5" t="s">
        <v>420</v>
      </c>
      <c r="AP41" s="5"/>
      <c r="AQ41" s="5"/>
      <c r="AR41" s="13"/>
      <c r="AS41" s="13"/>
      <c r="AT41" s="5" t="s">
        <v>306</v>
      </c>
      <c r="AU41" s="5" t="s">
        <v>421</v>
      </c>
      <c r="AV41" s="5" t="s">
        <v>422</v>
      </c>
      <c r="AW41" s="5" t="s">
        <v>423</v>
      </c>
      <c r="AX41" s="5"/>
      <c r="AY41" s="5"/>
      <c r="AZ41" s="13"/>
      <c r="BA41" s="13"/>
      <c r="BB41" s="5" t="s">
        <v>424</v>
      </c>
      <c r="BC41" s="5"/>
      <c r="BD41" s="10"/>
      <c r="BE41" s="10"/>
      <c r="BF41" s="12"/>
      <c r="BG41" s="12"/>
      <c r="BH41" s="10">
        <v>0.40972222222222221</v>
      </c>
      <c r="BI41" s="10"/>
      <c r="BJ41" s="10">
        <v>0.38055555555555554</v>
      </c>
      <c r="BK41" s="10">
        <v>0.15902777777777777</v>
      </c>
      <c r="BL41" s="10"/>
      <c r="BM41" s="10"/>
      <c r="BN41" t="str">
        <f t="shared" si="1"/>
        <v>R4|ANTONIO MARTINEZ|SMO I</v>
      </c>
    </row>
    <row r="42" spans="1:66" hidden="1">
      <c r="A42" s="8" t="s">
        <v>56</v>
      </c>
      <c r="B42" s="6" t="s">
        <v>63</v>
      </c>
      <c r="C42" s="6" t="s">
        <v>65</v>
      </c>
      <c r="D42" s="5" t="s">
        <v>377</v>
      </c>
      <c r="E42" s="5" t="s">
        <v>222</v>
      </c>
      <c r="F42" s="5" t="s">
        <v>343</v>
      </c>
      <c r="G42" s="5" t="s">
        <v>425</v>
      </c>
      <c r="H42" s="5" t="s">
        <v>343</v>
      </c>
      <c r="I42" s="5"/>
      <c r="J42" s="23" t="s">
        <v>307</v>
      </c>
      <c r="K42" s="5"/>
      <c r="L42" s="5" t="s">
        <v>426</v>
      </c>
      <c r="M42" s="5"/>
      <c r="N42" s="5"/>
      <c r="O42" s="5"/>
      <c r="P42" s="13"/>
      <c r="Q42" s="13"/>
      <c r="R42" s="5" t="s">
        <v>255</v>
      </c>
      <c r="S42" s="5"/>
      <c r="T42" s="5" t="s">
        <v>427</v>
      </c>
      <c r="U42" s="5"/>
      <c r="V42" s="5" t="s">
        <v>216</v>
      </c>
      <c r="W42" s="5"/>
      <c r="X42" s="5"/>
      <c r="Y42" s="5"/>
      <c r="Z42" s="5"/>
      <c r="AA42" s="5"/>
      <c r="AB42" s="5"/>
      <c r="AC42" s="5"/>
      <c r="AD42" s="13"/>
      <c r="AE42" s="13"/>
      <c r="AF42" s="5" t="s">
        <v>417</v>
      </c>
      <c r="AG42" s="5"/>
      <c r="AH42" s="5" t="s">
        <v>428</v>
      </c>
      <c r="AI42" s="5" t="s">
        <v>429</v>
      </c>
      <c r="AJ42" s="5"/>
      <c r="AK42" s="5"/>
      <c r="AL42" s="5" t="s">
        <v>413</v>
      </c>
      <c r="AM42" s="5" t="s">
        <v>430</v>
      </c>
      <c r="AN42" s="5" t="s">
        <v>419</v>
      </c>
      <c r="AO42" s="5"/>
      <c r="AP42" s="5"/>
      <c r="AQ42" s="5"/>
      <c r="AR42" s="13"/>
      <c r="AS42" s="13"/>
      <c r="AT42" s="5"/>
      <c r="AU42" s="5"/>
      <c r="AV42" s="5"/>
      <c r="AW42" s="5"/>
      <c r="AX42" s="5"/>
      <c r="AY42" s="5"/>
      <c r="AZ42" s="13"/>
      <c r="BA42" s="13"/>
      <c r="BB42" s="5"/>
      <c r="BC42" s="5"/>
      <c r="BD42" s="10"/>
      <c r="BE42" s="10"/>
      <c r="BF42" s="12"/>
      <c r="BG42" s="12"/>
      <c r="BH42" s="10"/>
      <c r="BI42" s="10">
        <v>0.19027777777777777</v>
      </c>
      <c r="BJ42" s="10">
        <v>0.41319444444444442</v>
      </c>
      <c r="BK42" s="10"/>
      <c r="BL42" s="10"/>
      <c r="BM42" s="10"/>
      <c r="BN42" t="str">
        <f t="shared" si="1"/>
        <v>R4|ANTONIO MARTINEZ|SMO II</v>
      </c>
    </row>
    <row r="43" spans="1:66" hidden="1">
      <c r="A43" s="8" t="s">
        <v>56</v>
      </c>
      <c r="B43" s="6" t="s">
        <v>66</v>
      </c>
      <c r="C43" s="6" t="s">
        <v>67</v>
      </c>
      <c r="D43" s="5"/>
      <c r="E43" s="5"/>
      <c r="F43" s="5"/>
      <c r="G43" s="5"/>
      <c r="H43" s="5"/>
      <c r="I43" s="5"/>
      <c r="J43" s="23"/>
      <c r="K43" s="5"/>
      <c r="L43" s="5"/>
      <c r="M43" s="5"/>
      <c r="N43" s="5"/>
      <c r="O43" s="5"/>
      <c r="P43" s="13"/>
      <c r="Q43" s="13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13"/>
      <c r="AE43" s="13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13"/>
      <c r="AS43" s="13"/>
      <c r="AT43" s="5" t="s">
        <v>235</v>
      </c>
      <c r="AU43" s="5" t="s">
        <v>265</v>
      </c>
      <c r="AV43" s="5" t="s">
        <v>224</v>
      </c>
      <c r="AW43" s="5" t="s">
        <v>381</v>
      </c>
      <c r="AX43" s="5"/>
      <c r="AY43" s="5"/>
      <c r="AZ43" s="13"/>
      <c r="BA43" s="13"/>
      <c r="BB43" s="5" t="s">
        <v>216</v>
      </c>
      <c r="BC43" s="5" t="s">
        <v>431</v>
      </c>
      <c r="BD43" s="10"/>
      <c r="BE43" s="10"/>
      <c r="BF43" s="12"/>
      <c r="BG43" s="12"/>
      <c r="BH43" s="10">
        <v>0.35486111111111113</v>
      </c>
      <c r="BI43" s="10">
        <v>0.14305555555555555</v>
      </c>
      <c r="BJ43" s="10">
        <v>0.35069444444444442</v>
      </c>
      <c r="BK43" s="10">
        <v>0.15069444444444444</v>
      </c>
      <c r="BL43" s="10"/>
      <c r="BM43" s="10"/>
      <c r="BN43" t="str">
        <f t="shared" si="1"/>
        <v>R4|GERARDO ALONSO|SMO III</v>
      </c>
    </row>
    <row r="44" spans="1:66" hidden="1">
      <c r="A44" s="8" t="s">
        <v>56</v>
      </c>
      <c r="B44" s="6" t="s">
        <v>68</v>
      </c>
      <c r="C44" s="6" t="s">
        <v>69</v>
      </c>
      <c r="D44" s="5"/>
      <c r="E44" s="5"/>
      <c r="F44" s="5"/>
      <c r="G44" s="5"/>
      <c r="H44" s="5"/>
      <c r="I44" s="5"/>
      <c r="J44" s="23"/>
      <c r="K44" s="5"/>
      <c r="L44" s="5"/>
      <c r="M44" s="5"/>
      <c r="N44" s="5"/>
      <c r="O44" s="5"/>
      <c r="P44" s="13"/>
      <c r="Q44" s="13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13"/>
      <c r="AE44" s="13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13"/>
      <c r="AS44" s="13"/>
      <c r="AT44" s="5"/>
      <c r="AU44" s="5"/>
      <c r="AV44" s="5"/>
      <c r="AW44" s="5"/>
      <c r="AX44" s="5"/>
      <c r="AY44" s="5"/>
      <c r="AZ44" s="13"/>
      <c r="BA44" s="13"/>
      <c r="BB44" s="5"/>
      <c r="BC44" s="5"/>
      <c r="BD44" s="10"/>
      <c r="BE44" s="10"/>
      <c r="BF44" s="12"/>
      <c r="BG44" s="12"/>
      <c r="BH44" s="10">
        <v>0.34861111111111109</v>
      </c>
      <c r="BI44" s="10"/>
      <c r="BJ44" s="10"/>
      <c r="BK44" s="10"/>
      <c r="BL44" s="10"/>
      <c r="BM44" s="10"/>
      <c r="BN44" t="str">
        <f t="shared" si="1"/>
        <v>R4|JULIO CESAR NERI|TLANE PARK IV/ BARRIENTOS II</v>
      </c>
    </row>
    <row r="45" spans="1:66" hidden="1">
      <c r="A45" s="8" t="s">
        <v>56</v>
      </c>
      <c r="B45" s="6" t="s">
        <v>70</v>
      </c>
      <c r="C45" s="6" t="s">
        <v>71</v>
      </c>
      <c r="D45" s="5" t="s">
        <v>336</v>
      </c>
      <c r="E45" s="5" t="s">
        <v>262</v>
      </c>
      <c r="F45" s="5" t="s">
        <v>208</v>
      </c>
      <c r="G45" s="5" t="s">
        <v>260</v>
      </c>
      <c r="H45" s="5" t="s">
        <v>216</v>
      </c>
      <c r="I45" s="5" t="s">
        <v>277</v>
      </c>
      <c r="J45" s="23" t="s">
        <v>211</v>
      </c>
      <c r="K45" s="5" t="s">
        <v>352</v>
      </c>
      <c r="L45" s="5" t="s">
        <v>263</v>
      </c>
      <c r="M45" s="5" t="s">
        <v>301</v>
      </c>
      <c r="N45" s="5" t="s">
        <v>250</v>
      </c>
      <c r="O45" s="5"/>
      <c r="P45" s="13"/>
      <c r="Q45" s="13"/>
      <c r="R45" s="5" t="s">
        <v>268</v>
      </c>
      <c r="S45" s="5" t="s">
        <v>277</v>
      </c>
      <c r="T45" s="5" t="s">
        <v>208</v>
      </c>
      <c r="U45" s="5" t="s">
        <v>354</v>
      </c>
      <c r="V45" s="5" t="s">
        <v>216</v>
      </c>
      <c r="W45" s="5" t="s">
        <v>432</v>
      </c>
      <c r="X45" s="5" t="s">
        <v>235</v>
      </c>
      <c r="Y45" s="5" t="s">
        <v>433</v>
      </c>
      <c r="Z45" s="5" t="s">
        <v>238</v>
      </c>
      <c r="AA45" s="5" t="s">
        <v>209</v>
      </c>
      <c r="AB45" s="5"/>
      <c r="AC45" s="5"/>
      <c r="AD45" s="13"/>
      <c r="AE45" s="13"/>
      <c r="AF45" s="5" t="s">
        <v>252</v>
      </c>
      <c r="AG45" s="5" t="s">
        <v>434</v>
      </c>
      <c r="AH45" s="5" t="s">
        <v>219</v>
      </c>
      <c r="AI45" s="5" t="s">
        <v>435</v>
      </c>
      <c r="AJ45" s="5" t="s">
        <v>204</v>
      </c>
      <c r="AK45" s="5" t="s">
        <v>319</v>
      </c>
      <c r="AL45" s="5" t="s">
        <v>235</v>
      </c>
      <c r="AM45" s="5" t="s">
        <v>354</v>
      </c>
      <c r="AN45" s="5" t="s">
        <v>292</v>
      </c>
      <c r="AO45" s="5" t="s">
        <v>429</v>
      </c>
      <c r="AP45" s="5" t="s">
        <v>252</v>
      </c>
      <c r="AQ45" s="5"/>
      <c r="AR45" s="13"/>
      <c r="AS45" s="13"/>
      <c r="AT45" s="5" t="s">
        <v>224</v>
      </c>
      <c r="AU45" s="5"/>
      <c r="AV45" s="5"/>
      <c r="AW45" s="5"/>
      <c r="AX45" s="5"/>
      <c r="AY45" s="5"/>
      <c r="AZ45" s="13"/>
      <c r="BA45" s="13"/>
      <c r="BB45" s="5" t="s">
        <v>228</v>
      </c>
      <c r="BC45" s="5" t="s">
        <v>310</v>
      </c>
      <c r="BD45" s="10"/>
      <c r="BE45" s="10"/>
      <c r="BF45" s="12"/>
      <c r="BG45" s="12"/>
      <c r="BH45" s="10"/>
      <c r="BI45" s="10"/>
      <c r="BJ45" s="10">
        <v>0.36875000000000002</v>
      </c>
      <c r="BK45" s="10"/>
      <c r="BL45" s="10"/>
      <c r="BM45" s="10"/>
      <c r="BN45" t="str">
        <f t="shared" si="1"/>
        <v>R4|JOSUE GUADARRAMA|ATIZAPAN PARK</v>
      </c>
    </row>
    <row r="46" spans="1:66">
      <c r="A46" s="8" t="s">
        <v>72</v>
      </c>
      <c r="B46" s="6" t="s">
        <v>73</v>
      </c>
      <c r="C46" s="6" t="s">
        <v>74</v>
      </c>
      <c r="D46" s="5" t="s">
        <v>436</v>
      </c>
      <c r="E46" s="5" t="s">
        <v>239</v>
      </c>
      <c r="F46" s="5" t="s">
        <v>341</v>
      </c>
      <c r="G46" s="5" t="s">
        <v>437</v>
      </c>
      <c r="H46" s="5" t="s">
        <v>438</v>
      </c>
      <c r="I46" s="5" t="s">
        <v>301</v>
      </c>
      <c r="J46" s="23" t="s">
        <v>332</v>
      </c>
      <c r="K46" s="5" t="s">
        <v>383</v>
      </c>
      <c r="L46" s="5" t="s">
        <v>279</v>
      </c>
      <c r="M46" s="5" t="s">
        <v>213</v>
      </c>
      <c r="N46" s="5" t="s">
        <v>439</v>
      </c>
      <c r="O46" s="5"/>
      <c r="P46" s="13"/>
      <c r="Q46" s="13"/>
      <c r="R46" s="5" t="s">
        <v>440</v>
      </c>
      <c r="S46" s="5" t="s">
        <v>239</v>
      </c>
      <c r="T46" s="5" t="s">
        <v>357</v>
      </c>
      <c r="U46" s="5" t="s">
        <v>398</v>
      </c>
      <c r="V46" s="5" t="s">
        <v>441</v>
      </c>
      <c r="W46" s="5" t="s">
        <v>442</v>
      </c>
      <c r="X46" s="5" t="s">
        <v>232</v>
      </c>
      <c r="Y46" s="5" t="s">
        <v>443</v>
      </c>
      <c r="Z46" s="5" t="s">
        <v>319</v>
      </c>
      <c r="AA46" s="5"/>
      <c r="AB46" s="5" t="s">
        <v>444</v>
      </c>
      <c r="AC46" s="5"/>
      <c r="AD46" s="13"/>
      <c r="AE46" s="13"/>
      <c r="AF46" s="5" t="s">
        <v>445</v>
      </c>
      <c r="AG46" s="5"/>
      <c r="AH46" s="5" t="s">
        <v>231</v>
      </c>
      <c r="AI46" s="5" t="s">
        <v>225</v>
      </c>
      <c r="AJ46" s="5" t="s">
        <v>446</v>
      </c>
      <c r="AK46" s="5" t="s">
        <v>447</v>
      </c>
      <c r="AL46" s="5" t="s">
        <v>330</v>
      </c>
      <c r="AM46" s="5" t="s">
        <v>365</v>
      </c>
      <c r="AN46" s="5" t="s">
        <v>448</v>
      </c>
      <c r="AO46" s="5" t="s">
        <v>321</v>
      </c>
      <c r="AP46" s="5"/>
      <c r="AQ46" s="5"/>
      <c r="AR46" s="13"/>
      <c r="AS46" s="13"/>
      <c r="AT46" s="5" t="s">
        <v>449</v>
      </c>
      <c r="AU46" s="5" t="s">
        <v>337</v>
      </c>
      <c r="AV46" s="5"/>
      <c r="AW46" s="5"/>
      <c r="AX46" s="5" t="s">
        <v>450</v>
      </c>
      <c r="AY46" s="5" t="s">
        <v>451</v>
      </c>
      <c r="AZ46" s="13"/>
      <c r="BA46" s="13"/>
      <c r="BB46" s="5" t="s">
        <v>452</v>
      </c>
      <c r="BC46" s="5"/>
      <c r="BD46" s="10"/>
      <c r="BE46" s="10"/>
      <c r="BF46" s="12"/>
      <c r="BG46" s="12"/>
      <c r="BH46" s="10"/>
      <c r="BI46" s="10"/>
      <c r="BJ46" s="10">
        <v>0.41458333333333336</v>
      </c>
      <c r="BK46" s="10">
        <v>0.14097222222222222</v>
      </c>
      <c r="BL46" s="10">
        <v>0.38333333333333336</v>
      </c>
      <c r="BM46" s="10"/>
      <c r="BN46" t="str">
        <f t="shared" si="1"/>
        <v>R5|JUAN C. HERNANDEZ|TEPOZOTLAN PARK</v>
      </c>
    </row>
    <row r="47" spans="1:66">
      <c r="A47" s="8" t="s">
        <v>72</v>
      </c>
      <c r="B47" s="6" t="s">
        <v>73</v>
      </c>
      <c r="C47" s="6" t="s">
        <v>75</v>
      </c>
      <c r="D47" s="5"/>
      <c r="E47" s="5"/>
      <c r="F47" s="5"/>
      <c r="G47" s="5"/>
      <c r="H47" s="5"/>
      <c r="I47" s="5"/>
      <c r="J47" s="23"/>
      <c r="K47" s="5"/>
      <c r="L47" s="5"/>
      <c r="M47" s="5"/>
      <c r="N47" s="5"/>
      <c r="O47" s="5"/>
      <c r="P47" s="13"/>
      <c r="Q47" s="13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13"/>
      <c r="AE47" s="13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13"/>
      <c r="AS47" s="13"/>
      <c r="AT47" s="5"/>
      <c r="AU47" s="5"/>
      <c r="AV47" s="5"/>
      <c r="AW47" s="5"/>
      <c r="AX47" s="5"/>
      <c r="AY47" s="5"/>
      <c r="AZ47" s="13"/>
      <c r="BA47" s="13"/>
      <c r="BB47" s="5"/>
      <c r="BC47" s="5"/>
      <c r="BD47" s="10"/>
      <c r="BE47" s="10"/>
      <c r="BF47" s="12"/>
      <c r="BG47" s="12"/>
      <c r="BH47" s="10"/>
      <c r="BI47" s="10"/>
      <c r="BJ47" s="10"/>
      <c r="BK47" s="10"/>
      <c r="BL47" s="10"/>
      <c r="BM47" s="10"/>
      <c r="BN47" t="str">
        <f t="shared" si="1"/>
        <v>R5|JUAN C. HERNANDEZ|TEPOZOTLAN (CONVENTO).</v>
      </c>
    </row>
    <row r="48" spans="1:66">
      <c r="A48" s="8" t="s">
        <v>72</v>
      </c>
      <c r="B48" s="6" t="s">
        <v>76</v>
      </c>
      <c r="C48" s="6" t="s">
        <v>77</v>
      </c>
      <c r="D48" s="5" t="s">
        <v>332</v>
      </c>
      <c r="E48" s="5" t="s">
        <v>282</v>
      </c>
      <c r="F48" s="5" t="s">
        <v>238</v>
      </c>
      <c r="G48" s="5" t="s">
        <v>214</v>
      </c>
      <c r="H48" s="5" t="s">
        <v>244</v>
      </c>
      <c r="I48" s="5" t="s">
        <v>220</v>
      </c>
      <c r="J48" s="23" t="s">
        <v>219</v>
      </c>
      <c r="K48" s="5" t="s">
        <v>214</v>
      </c>
      <c r="L48" s="5" t="s">
        <v>204</v>
      </c>
      <c r="M48" s="5" t="s">
        <v>453</v>
      </c>
      <c r="N48" s="5"/>
      <c r="O48" s="5"/>
      <c r="P48" s="13"/>
      <c r="Q48" s="13"/>
      <c r="R48" s="5" t="s">
        <v>246</v>
      </c>
      <c r="S48" s="5" t="s">
        <v>220</v>
      </c>
      <c r="T48" s="5" t="s">
        <v>221</v>
      </c>
      <c r="U48" s="5" t="s">
        <v>257</v>
      </c>
      <c r="V48" s="5" t="s">
        <v>224</v>
      </c>
      <c r="W48" s="5" t="s">
        <v>350</v>
      </c>
      <c r="X48" s="5" t="s">
        <v>208</v>
      </c>
      <c r="Y48" s="5" t="s">
        <v>284</v>
      </c>
      <c r="Z48" s="5" t="s">
        <v>252</v>
      </c>
      <c r="AA48" s="5" t="s">
        <v>222</v>
      </c>
      <c r="AB48" s="5" t="s">
        <v>205</v>
      </c>
      <c r="AC48" s="5"/>
      <c r="AD48" s="13"/>
      <c r="AE48" s="13"/>
      <c r="AF48" s="5" t="s">
        <v>219</v>
      </c>
      <c r="AG48" s="5" t="s">
        <v>217</v>
      </c>
      <c r="AH48" s="5"/>
      <c r="AI48" s="5"/>
      <c r="AJ48" s="5" t="s">
        <v>299</v>
      </c>
      <c r="AK48" s="5" t="s">
        <v>454</v>
      </c>
      <c r="AL48" s="5"/>
      <c r="AM48" s="5"/>
      <c r="AN48" s="5" t="s">
        <v>349</v>
      </c>
      <c r="AO48" s="5"/>
      <c r="AP48" s="5" t="s">
        <v>455</v>
      </c>
      <c r="AQ48" s="5"/>
      <c r="AR48" s="13"/>
      <c r="AS48" s="13"/>
      <c r="AT48" s="5" t="s">
        <v>456</v>
      </c>
      <c r="AU48" s="5"/>
      <c r="AV48" s="5" t="s">
        <v>457</v>
      </c>
      <c r="AW48" s="5" t="s">
        <v>458</v>
      </c>
      <c r="AX48" s="5" t="s">
        <v>459</v>
      </c>
      <c r="AY48" s="5"/>
      <c r="AZ48" s="13"/>
      <c r="BA48" s="13"/>
      <c r="BB48" s="5" t="s">
        <v>460</v>
      </c>
      <c r="BC48" s="5" t="s">
        <v>461</v>
      </c>
      <c r="BD48" s="10">
        <v>0.41388888888888892</v>
      </c>
      <c r="BE48" s="10"/>
      <c r="BF48" s="12"/>
      <c r="BG48" s="12"/>
      <c r="BH48" s="10">
        <v>0.3527777777777778</v>
      </c>
      <c r="BI48" s="10">
        <v>0.16805555555555557</v>
      </c>
      <c r="BJ48" s="10">
        <v>0.35208333333333336</v>
      </c>
      <c r="BK48" s="10">
        <v>0.16527777777777777</v>
      </c>
      <c r="BL48" s="10">
        <v>0.35486111111111113</v>
      </c>
      <c r="BM48" s="10"/>
      <c r="BN48" t="str">
        <f t="shared" si="1"/>
        <v>R5|DIEGO GARCIA|CUAUTI PARK II</v>
      </c>
    </row>
    <row r="49" spans="1:66">
      <c r="A49" s="8" t="s">
        <v>72</v>
      </c>
      <c r="B49" s="6" t="s">
        <v>76</v>
      </c>
      <c r="C49" s="6" t="s">
        <v>78</v>
      </c>
      <c r="D49" s="5"/>
      <c r="E49" s="5"/>
      <c r="F49" s="5"/>
      <c r="G49" s="5"/>
      <c r="H49" s="5"/>
      <c r="I49" s="5"/>
      <c r="J49" s="23"/>
      <c r="K49" s="5"/>
      <c r="L49" s="5"/>
      <c r="M49" s="5"/>
      <c r="N49" s="5"/>
      <c r="O49" s="5"/>
      <c r="P49" s="13"/>
      <c r="Q49" s="13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13"/>
      <c r="AE49" s="13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13"/>
      <c r="AS49" s="13"/>
      <c r="AT49" s="5"/>
      <c r="AU49" s="5"/>
      <c r="AV49" s="5"/>
      <c r="AW49" s="5"/>
      <c r="AX49" s="5"/>
      <c r="AY49" s="5"/>
      <c r="AZ49" s="13"/>
      <c r="BA49" s="13"/>
      <c r="BB49" s="5"/>
      <c r="BC49" s="5"/>
      <c r="BD49" s="10"/>
      <c r="BE49" s="10"/>
      <c r="BF49" s="12"/>
      <c r="BG49" s="12"/>
      <c r="BH49" s="10"/>
      <c r="BI49" s="10"/>
      <c r="BJ49" s="10"/>
      <c r="BK49" s="10"/>
      <c r="BL49" s="10"/>
      <c r="BM49" s="10"/>
      <c r="BN49" t="str">
        <f t="shared" si="1"/>
        <v>R5|DIEGO GARCIA|CUAUTI PARK III</v>
      </c>
    </row>
    <row r="50" spans="1:66">
      <c r="A50" s="8" t="s">
        <v>72</v>
      </c>
      <c r="B50" s="6" t="s">
        <v>76</v>
      </c>
      <c r="C50" s="6" t="s">
        <v>79</v>
      </c>
      <c r="D50" s="5"/>
      <c r="E50" s="5"/>
      <c r="F50" s="5"/>
      <c r="G50" s="5"/>
      <c r="H50" s="5"/>
      <c r="I50" s="5"/>
      <c r="J50" s="23"/>
      <c r="K50" s="5"/>
      <c r="L50" s="5"/>
      <c r="M50" s="5"/>
      <c r="N50" s="5"/>
      <c r="O50" s="5"/>
      <c r="P50" s="13"/>
      <c r="Q50" s="13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13"/>
      <c r="AE50" s="13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13"/>
      <c r="AS50" s="13"/>
      <c r="AT50" s="5"/>
      <c r="AU50" s="5"/>
      <c r="AV50" s="5"/>
      <c r="AW50" s="5"/>
      <c r="AX50" s="5"/>
      <c r="AY50" s="5"/>
      <c r="AZ50" s="13"/>
      <c r="BA50" s="13"/>
      <c r="BB50" s="5"/>
      <c r="BC50" s="5"/>
      <c r="BD50" s="10"/>
      <c r="BE50" s="10"/>
      <c r="BF50" s="12"/>
      <c r="BG50" s="12"/>
      <c r="BH50" s="10"/>
      <c r="BI50" s="10"/>
      <c r="BJ50" s="10"/>
      <c r="BK50" s="10"/>
      <c r="BL50" s="10"/>
      <c r="BM50" s="10"/>
      <c r="BN50" t="str">
        <f t="shared" si="1"/>
        <v>R5|DIEGO GARCIA|PUENTE GRANDE I</v>
      </c>
    </row>
    <row r="51" spans="1:66">
      <c r="A51" s="8" t="s">
        <v>72</v>
      </c>
      <c r="B51" s="6" t="s">
        <v>76</v>
      </c>
      <c r="C51" s="6" t="s">
        <v>80</v>
      </c>
      <c r="D51" s="5"/>
      <c r="E51" s="5"/>
      <c r="F51" s="5"/>
      <c r="G51" s="5"/>
      <c r="H51" s="5"/>
      <c r="I51" s="5"/>
      <c r="J51" s="23"/>
      <c r="K51" s="5"/>
      <c r="L51" s="5"/>
      <c r="M51" s="5"/>
      <c r="N51" s="5"/>
      <c r="O51" s="5"/>
      <c r="P51" s="13"/>
      <c r="Q51" s="13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13"/>
      <c r="AE51" s="13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13"/>
      <c r="AS51" s="13"/>
      <c r="AT51" s="5"/>
      <c r="AU51" s="5"/>
      <c r="AV51" s="5"/>
      <c r="AW51" s="5"/>
      <c r="AX51" s="5"/>
      <c r="AY51" s="5"/>
      <c r="AZ51" s="13"/>
      <c r="BA51" s="13"/>
      <c r="BB51" s="5"/>
      <c r="BC51" s="5"/>
      <c r="BD51" s="10"/>
      <c r="BE51" s="10"/>
      <c r="BF51" s="12"/>
      <c r="BG51" s="12"/>
      <c r="BH51" s="10"/>
      <c r="BI51" s="10"/>
      <c r="BJ51" s="10"/>
      <c r="BK51" s="10"/>
      <c r="BL51" s="10"/>
      <c r="BM51" s="10"/>
      <c r="BN51" t="str">
        <f t="shared" si="1"/>
        <v>R5|DIEGO GARCIA|PUENTE GRANDE II</v>
      </c>
    </row>
    <row r="52" spans="1:66">
      <c r="A52" s="8" t="s">
        <v>72</v>
      </c>
      <c r="B52" s="6" t="s">
        <v>76</v>
      </c>
      <c r="C52" s="6" t="s">
        <v>81</v>
      </c>
      <c r="D52" s="5"/>
      <c r="E52" s="5"/>
      <c r="F52" s="5"/>
      <c r="G52" s="5"/>
      <c r="H52" s="5"/>
      <c r="I52" s="5"/>
      <c r="J52" s="23"/>
      <c r="K52" s="5"/>
      <c r="L52" s="5"/>
      <c r="M52" s="5"/>
      <c r="N52" s="5"/>
      <c r="O52" s="5"/>
      <c r="P52" s="13"/>
      <c r="Q52" s="13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13"/>
      <c r="AE52" s="13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13"/>
      <c r="AS52" s="13"/>
      <c r="AT52" s="5"/>
      <c r="AU52" s="5"/>
      <c r="AV52" s="5"/>
      <c r="AW52" s="5"/>
      <c r="AX52" s="5"/>
      <c r="AY52" s="5"/>
      <c r="AZ52" s="13"/>
      <c r="BA52" s="13"/>
      <c r="BB52" s="5"/>
      <c r="BC52" s="5"/>
      <c r="BD52" s="10"/>
      <c r="BE52" s="10"/>
      <c r="BF52" s="12"/>
      <c r="BG52" s="12"/>
      <c r="BH52" s="10"/>
      <c r="BI52" s="10"/>
      <c r="BJ52" s="10"/>
      <c r="BK52" s="10"/>
      <c r="BL52" s="10"/>
      <c r="BM52" s="10"/>
      <c r="BN52" t="str">
        <f t="shared" si="1"/>
        <v>R5|DIEGO GARCIA|TAJUELOS II</v>
      </c>
    </row>
    <row r="53" spans="1:66">
      <c r="A53" s="8" t="s">
        <v>72</v>
      </c>
      <c r="B53" s="6" t="s">
        <v>82</v>
      </c>
      <c r="C53" s="6" t="s">
        <v>83</v>
      </c>
      <c r="D53" s="5"/>
      <c r="E53" s="5"/>
      <c r="F53" s="5"/>
      <c r="G53" s="5"/>
      <c r="H53" s="5" t="s">
        <v>316</v>
      </c>
      <c r="I53" s="5"/>
      <c r="J53" s="23"/>
      <c r="K53" s="5"/>
      <c r="L53" s="5" t="s">
        <v>436</v>
      </c>
      <c r="M53" s="5"/>
      <c r="N53" s="5"/>
      <c r="O53" s="5"/>
      <c r="P53" s="13"/>
      <c r="Q53" s="13"/>
      <c r="R53" s="5"/>
      <c r="S53" s="5"/>
      <c r="T53" s="5"/>
      <c r="U53" s="5"/>
      <c r="V53" s="5"/>
      <c r="W53" s="5"/>
      <c r="X53" s="5" t="s">
        <v>462</v>
      </c>
      <c r="Y53" s="5"/>
      <c r="Z53" s="5"/>
      <c r="AA53" s="5"/>
      <c r="AB53" s="5"/>
      <c r="AC53" s="5"/>
      <c r="AD53" s="13"/>
      <c r="AE53" s="13"/>
      <c r="AF53" s="5"/>
      <c r="AG53" s="5"/>
      <c r="AH53" s="5" t="s">
        <v>330</v>
      </c>
      <c r="AI53" s="5"/>
      <c r="AJ53" s="5" t="s">
        <v>347</v>
      </c>
      <c r="AK53" s="5"/>
      <c r="AL53" s="5"/>
      <c r="AM53" s="5"/>
      <c r="AN53" s="5"/>
      <c r="AO53" s="5"/>
      <c r="AP53" s="5"/>
      <c r="AQ53" s="5"/>
      <c r="AR53" s="13"/>
      <c r="AS53" s="13"/>
      <c r="AT53" s="5"/>
      <c r="AU53" s="5"/>
      <c r="AV53" s="5"/>
      <c r="AW53" s="5"/>
      <c r="AX53" s="5" t="s">
        <v>463</v>
      </c>
      <c r="AY53" s="5"/>
      <c r="AZ53" s="13"/>
      <c r="BA53" s="13"/>
      <c r="BB53" s="5"/>
      <c r="BC53" s="5"/>
      <c r="BD53" s="10"/>
      <c r="BE53" s="10"/>
      <c r="BF53" s="12"/>
      <c r="BG53" s="12"/>
      <c r="BH53" s="10"/>
      <c r="BI53" s="10"/>
      <c r="BJ53" s="10">
        <v>0.3923611111111111</v>
      </c>
      <c r="BK53" s="10"/>
      <c r="BL53" s="10"/>
      <c r="BM53" s="10"/>
      <c r="BN53" t="str">
        <f t="shared" si="1"/>
        <v>R5|GUSTAVO R. VARGAS|SAN JOSE</v>
      </c>
    </row>
    <row r="54" spans="1:66">
      <c r="A54" s="8" t="s">
        <v>72</v>
      </c>
      <c r="B54" s="6" t="s">
        <v>82</v>
      </c>
      <c r="C54" s="6" t="s">
        <v>84</v>
      </c>
      <c r="D54" s="5"/>
      <c r="E54" s="5"/>
      <c r="F54" s="5" t="s">
        <v>216</v>
      </c>
      <c r="G54" s="5" t="s">
        <v>206</v>
      </c>
      <c r="H54" s="5" t="s">
        <v>464</v>
      </c>
      <c r="I54" s="5"/>
      <c r="J54" s="23"/>
      <c r="K54" s="5"/>
      <c r="L54" s="5"/>
      <c r="M54" s="5"/>
      <c r="N54" s="5"/>
      <c r="O54" s="5"/>
      <c r="P54" s="13"/>
      <c r="Q54" s="13"/>
      <c r="R54" s="5" t="s">
        <v>427</v>
      </c>
      <c r="S54" s="5" t="s">
        <v>465</v>
      </c>
      <c r="T54" s="5" t="s">
        <v>395</v>
      </c>
      <c r="U54" s="5" t="s">
        <v>340</v>
      </c>
      <c r="V54" s="5" t="s">
        <v>404</v>
      </c>
      <c r="W54" s="5"/>
      <c r="X54" s="5" t="s">
        <v>294</v>
      </c>
      <c r="Y54" s="5"/>
      <c r="Z54" s="5"/>
      <c r="AA54" s="5"/>
      <c r="AB54" s="5" t="s">
        <v>466</v>
      </c>
      <c r="AC54" s="5"/>
      <c r="AD54" s="13"/>
      <c r="AE54" s="13"/>
      <c r="AF54" s="5" t="s">
        <v>467</v>
      </c>
      <c r="AG54" s="5"/>
      <c r="AH54" s="5" t="s">
        <v>340</v>
      </c>
      <c r="AI54" s="5"/>
      <c r="AJ54" s="5" t="s">
        <v>468</v>
      </c>
      <c r="AK54" s="5" t="s">
        <v>469</v>
      </c>
      <c r="AL54" s="5"/>
      <c r="AM54" s="5"/>
      <c r="AN54" s="5"/>
      <c r="AO54" s="5"/>
      <c r="AP54" s="5"/>
      <c r="AQ54" s="5"/>
      <c r="AR54" s="13"/>
      <c r="AS54" s="13"/>
      <c r="AT54" s="5"/>
      <c r="AU54" s="5"/>
      <c r="AV54" s="5"/>
      <c r="AW54" s="5"/>
      <c r="AX54" s="5"/>
      <c r="AY54" s="5"/>
      <c r="AZ54" s="13"/>
      <c r="BA54" s="13"/>
      <c r="BB54" s="5"/>
      <c r="BC54" s="5"/>
      <c r="BD54" s="10"/>
      <c r="BE54" s="10"/>
      <c r="BF54" s="12"/>
      <c r="BG54" s="12"/>
      <c r="BH54" s="10">
        <v>0.38541666666666669</v>
      </c>
      <c r="BI54" s="10">
        <v>0.18194444444444444</v>
      </c>
      <c r="BJ54" s="10">
        <v>0.42499999999999999</v>
      </c>
      <c r="BK54" s="10">
        <v>0.15</v>
      </c>
      <c r="BL54" s="10">
        <v>0.37430555555555556</v>
      </c>
      <c r="BM54" s="10">
        <v>0.14652777777777778</v>
      </c>
      <c r="BN54" t="str">
        <f t="shared" si="1"/>
        <v>R5|GUSTAVO R. VARGAS|TEPOZ PARK II</v>
      </c>
    </row>
    <row r="55" spans="1:66">
      <c r="A55" s="8" t="s">
        <v>72</v>
      </c>
      <c r="B55" s="6" t="s">
        <v>85</v>
      </c>
      <c r="C55" s="6" t="s">
        <v>86</v>
      </c>
      <c r="D55" s="5" t="s">
        <v>407</v>
      </c>
      <c r="E55" s="5"/>
      <c r="F55" s="5" t="s">
        <v>346</v>
      </c>
      <c r="G55" s="5"/>
      <c r="H55" s="5" t="s">
        <v>316</v>
      </c>
      <c r="I55" s="5"/>
      <c r="J55" s="23"/>
      <c r="K55" s="5"/>
      <c r="L55" s="5"/>
      <c r="M55" s="5"/>
      <c r="N55" s="5"/>
      <c r="O55" s="5"/>
      <c r="P55" s="13"/>
      <c r="Q55" s="13"/>
      <c r="R55" s="5"/>
      <c r="S55" s="5"/>
      <c r="T55" s="5" t="s">
        <v>295</v>
      </c>
      <c r="U55" s="5" t="s">
        <v>354</v>
      </c>
      <c r="V55" s="5"/>
      <c r="W55" s="5"/>
      <c r="X55" s="5"/>
      <c r="Y55" s="5"/>
      <c r="Z55" s="5" t="s">
        <v>470</v>
      </c>
      <c r="AA55" s="5" t="s">
        <v>256</v>
      </c>
      <c r="AB55" s="5"/>
      <c r="AC55" s="5"/>
      <c r="AD55" s="13"/>
      <c r="AE55" s="13"/>
      <c r="AF55" s="5" t="s">
        <v>233</v>
      </c>
      <c r="AG55" s="5"/>
      <c r="AH55" s="5" t="s">
        <v>470</v>
      </c>
      <c r="AI55" s="5"/>
      <c r="AJ55" s="5" t="s">
        <v>249</v>
      </c>
      <c r="AK55" s="5"/>
      <c r="AL55" s="5" t="s">
        <v>277</v>
      </c>
      <c r="AM55" s="5"/>
      <c r="AN55" s="5" t="s">
        <v>212</v>
      </c>
      <c r="AO55" s="5"/>
      <c r="AP55" s="5" t="s">
        <v>302</v>
      </c>
      <c r="AQ55" s="5"/>
      <c r="AR55" s="13"/>
      <c r="AS55" s="13"/>
      <c r="AT55" s="5" t="s">
        <v>251</v>
      </c>
      <c r="AU55" s="5" t="s">
        <v>409</v>
      </c>
      <c r="AV55" s="5" t="s">
        <v>353</v>
      </c>
      <c r="AW55" s="5" t="s">
        <v>471</v>
      </c>
      <c r="AX55" s="5" t="s">
        <v>472</v>
      </c>
      <c r="AY55" s="5"/>
      <c r="AZ55" s="13"/>
      <c r="BA55" s="13"/>
      <c r="BB55" s="5"/>
      <c r="BC55" s="5"/>
      <c r="BD55" s="10"/>
      <c r="BE55" s="10"/>
      <c r="BF55" s="12"/>
      <c r="BG55" s="12"/>
      <c r="BH55" s="10"/>
      <c r="BI55" s="10"/>
      <c r="BJ55" s="10"/>
      <c r="BK55" s="10"/>
      <c r="BL55" s="10"/>
      <c r="BM55" s="10"/>
      <c r="BN55" t="str">
        <f t="shared" si="1"/>
        <v>R5|ALLAN A. GONZALEZ|TEPOZ PARK III</v>
      </c>
    </row>
    <row r="56" spans="1:66">
      <c r="A56" s="8" t="s">
        <v>72</v>
      </c>
      <c r="B56" s="6" t="s">
        <v>85</v>
      </c>
      <c r="C56" s="6" t="s">
        <v>87</v>
      </c>
      <c r="D56" s="5"/>
      <c r="E56" s="5"/>
      <c r="F56" s="5" t="s">
        <v>214</v>
      </c>
      <c r="G56" s="5"/>
      <c r="H56" s="5" t="s">
        <v>302</v>
      </c>
      <c r="I56" s="5"/>
      <c r="J56" s="23"/>
      <c r="K56" s="5"/>
      <c r="L56" s="5"/>
      <c r="M56" s="5"/>
      <c r="N56" s="5"/>
      <c r="O56" s="5"/>
      <c r="P56" s="13"/>
      <c r="Q56" s="13"/>
      <c r="R56" s="5" t="s">
        <v>473</v>
      </c>
      <c r="S56" s="5" t="s">
        <v>223</v>
      </c>
      <c r="T56" s="5"/>
      <c r="U56" s="5"/>
      <c r="V56" s="5" t="s">
        <v>307</v>
      </c>
      <c r="W56" s="5" t="s">
        <v>387</v>
      </c>
      <c r="X56" s="5" t="s">
        <v>377</v>
      </c>
      <c r="Y56" s="5"/>
      <c r="Z56" s="5" t="s">
        <v>234</v>
      </c>
      <c r="AA56" s="5"/>
      <c r="AB56" s="5"/>
      <c r="AC56" s="5"/>
      <c r="AD56" s="13"/>
      <c r="AE56" s="13"/>
      <c r="AF56" s="5"/>
      <c r="AG56" s="5"/>
      <c r="AH56" s="5"/>
      <c r="AI56" s="5"/>
      <c r="AJ56" s="5" t="s">
        <v>306</v>
      </c>
      <c r="AK56" s="5"/>
      <c r="AL56" s="5"/>
      <c r="AM56" s="5"/>
      <c r="AN56" s="5"/>
      <c r="AO56" s="5"/>
      <c r="AP56" s="5"/>
      <c r="AQ56" s="5"/>
      <c r="AR56" s="13"/>
      <c r="AS56" s="13"/>
      <c r="AT56" s="5"/>
      <c r="AU56" s="5"/>
      <c r="AV56" s="5" t="s">
        <v>474</v>
      </c>
      <c r="AW56" s="5" t="s">
        <v>229</v>
      </c>
      <c r="AX56" s="5"/>
      <c r="AY56" s="5"/>
      <c r="AZ56" s="13"/>
      <c r="BA56" s="13"/>
      <c r="BB56" s="5"/>
      <c r="BC56" s="5"/>
      <c r="BD56" s="10">
        <v>0.41805555555555562</v>
      </c>
      <c r="BE56" s="10"/>
      <c r="BF56" s="12"/>
      <c r="BG56" s="12"/>
      <c r="BH56" s="10">
        <v>0.38263888888888892</v>
      </c>
      <c r="BI56" s="10">
        <v>0.15277777777777779</v>
      </c>
      <c r="BJ56" s="10">
        <v>0.3840277777777778</v>
      </c>
      <c r="BK56" s="10">
        <v>0.16805555555555557</v>
      </c>
      <c r="BL56" s="10">
        <v>0.4284722222222222</v>
      </c>
      <c r="BM56" s="10"/>
      <c r="BN56" t="str">
        <f t="shared" si="1"/>
        <v>R5|ALLAN A. GONZALEZ|TEPOZ PARK IV</v>
      </c>
    </row>
    <row r="57" spans="1:66">
      <c r="A57" s="8" t="s">
        <v>72</v>
      </c>
      <c r="B57" s="6" t="s">
        <v>85</v>
      </c>
      <c r="C57" s="6" t="s">
        <v>88</v>
      </c>
      <c r="D57" s="5" t="s">
        <v>419</v>
      </c>
      <c r="E57" s="5"/>
      <c r="F57" s="5"/>
      <c r="G57" s="5"/>
      <c r="H57" s="5" t="s">
        <v>334</v>
      </c>
      <c r="I57" s="5"/>
      <c r="J57" s="23"/>
      <c r="K57" s="5"/>
      <c r="L57" s="5"/>
      <c r="M57" s="5"/>
      <c r="N57" s="5"/>
      <c r="O57" s="5"/>
      <c r="P57" s="13"/>
      <c r="Q57" s="13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13"/>
      <c r="AE57" s="13"/>
      <c r="AF57" s="5" t="s">
        <v>218</v>
      </c>
      <c r="AG57" s="5"/>
      <c r="AH57" s="5"/>
      <c r="AI57" s="5"/>
      <c r="AJ57" s="5"/>
      <c r="AK57" s="5"/>
      <c r="AL57" s="5" t="s">
        <v>475</v>
      </c>
      <c r="AM57" s="5"/>
      <c r="AN57" s="5"/>
      <c r="AO57" s="5"/>
      <c r="AP57" s="5"/>
      <c r="AQ57" s="5"/>
      <c r="AR57" s="13"/>
      <c r="AS57" s="13"/>
      <c r="AT57" s="5"/>
      <c r="AU57" s="5"/>
      <c r="AV57" s="5"/>
      <c r="AW57" s="5"/>
      <c r="AX57" s="5"/>
      <c r="AY57" s="5"/>
      <c r="AZ57" s="13"/>
      <c r="BA57" s="13"/>
      <c r="BB57" s="5" t="s">
        <v>476</v>
      </c>
      <c r="BC57" s="5" t="s">
        <v>408</v>
      </c>
      <c r="BD57" s="10"/>
      <c r="BE57" s="10"/>
      <c r="BF57" s="12"/>
      <c r="BG57" s="12"/>
      <c r="BH57" s="10"/>
      <c r="BI57" s="10"/>
      <c r="BJ57" s="10"/>
      <c r="BK57" s="10"/>
      <c r="BL57" s="10"/>
      <c r="BM57" s="10"/>
      <c r="BN57" t="str">
        <f t="shared" si="1"/>
        <v>R5|ALLAN A. GONZALEZ|TEPOZ PARK V</v>
      </c>
    </row>
    <row r="58" spans="1:66">
      <c r="A58" s="8" t="s">
        <v>72</v>
      </c>
      <c r="B58" s="6" t="s">
        <v>89</v>
      </c>
      <c r="C58" s="6" t="s">
        <v>90</v>
      </c>
      <c r="D58" s="5" t="s">
        <v>477</v>
      </c>
      <c r="E58" s="5" t="s">
        <v>282</v>
      </c>
      <c r="F58" s="5" t="s">
        <v>478</v>
      </c>
      <c r="G58" s="5" t="s">
        <v>351</v>
      </c>
      <c r="H58" s="5" t="s">
        <v>279</v>
      </c>
      <c r="I58" s="5" t="s">
        <v>479</v>
      </c>
      <c r="J58" s="23" t="s">
        <v>477</v>
      </c>
      <c r="K58" s="5" t="s">
        <v>314</v>
      </c>
      <c r="L58" s="5" t="s">
        <v>330</v>
      </c>
      <c r="M58" s="5" t="s">
        <v>256</v>
      </c>
      <c r="N58" s="5"/>
      <c r="O58" s="5"/>
      <c r="P58" s="13"/>
      <c r="Q58" s="13"/>
      <c r="R58" s="5" t="s">
        <v>363</v>
      </c>
      <c r="S58" s="5" t="s">
        <v>479</v>
      </c>
      <c r="T58" s="5" t="s">
        <v>347</v>
      </c>
      <c r="U58" s="5" t="s">
        <v>429</v>
      </c>
      <c r="V58" s="5" t="s">
        <v>344</v>
      </c>
      <c r="W58" s="5"/>
      <c r="X58" s="5" t="s">
        <v>343</v>
      </c>
      <c r="Y58" s="5" t="s">
        <v>209</v>
      </c>
      <c r="Z58" s="5" t="s">
        <v>406</v>
      </c>
      <c r="AA58" s="5" t="s">
        <v>225</v>
      </c>
      <c r="AB58" s="5" t="s">
        <v>419</v>
      </c>
      <c r="AC58" s="5"/>
      <c r="AD58" s="13"/>
      <c r="AE58" s="13"/>
      <c r="AF58" s="5" t="s">
        <v>406</v>
      </c>
      <c r="AG58" s="5" t="s">
        <v>383</v>
      </c>
      <c r="AH58" s="5" t="s">
        <v>356</v>
      </c>
      <c r="AI58" s="5" t="s">
        <v>333</v>
      </c>
      <c r="AJ58" s="5" t="s">
        <v>249</v>
      </c>
      <c r="AK58" s="5"/>
      <c r="AL58" s="5" t="s">
        <v>369</v>
      </c>
      <c r="AM58" s="5" t="s">
        <v>264</v>
      </c>
      <c r="AN58" s="5" t="s">
        <v>216</v>
      </c>
      <c r="AO58" s="5" t="s">
        <v>257</v>
      </c>
      <c r="AP58" s="5"/>
      <c r="AQ58" s="5"/>
      <c r="AR58" s="13"/>
      <c r="AS58" s="13"/>
      <c r="AT58" s="5" t="s">
        <v>477</v>
      </c>
      <c r="AU58" s="5" t="s">
        <v>480</v>
      </c>
      <c r="AV58" s="5" t="s">
        <v>470</v>
      </c>
      <c r="AW58" s="5" t="s">
        <v>481</v>
      </c>
      <c r="AX58" s="5" t="s">
        <v>482</v>
      </c>
      <c r="AY58" s="5" t="s">
        <v>483</v>
      </c>
      <c r="AZ58" s="13"/>
      <c r="BA58" s="13"/>
      <c r="BB58" s="5" t="s">
        <v>464</v>
      </c>
      <c r="BC58" s="5" t="s">
        <v>484</v>
      </c>
      <c r="BD58" s="10">
        <v>0.39166666666666672</v>
      </c>
      <c r="BE58" s="10"/>
      <c r="BF58" s="12"/>
      <c r="BG58" s="12"/>
      <c r="BH58" s="10">
        <v>0.39583333333333331</v>
      </c>
      <c r="BI58" s="10">
        <v>0.15277777777777779</v>
      </c>
      <c r="BJ58" s="10">
        <v>0.38124999999999998</v>
      </c>
      <c r="BK58" s="10">
        <v>0.14166666666666666</v>
      </c>
      <c r="BL58" s="10">
        <v>0.42430555555555555</v>
      </c>
      <c r="BM58" s="10"/>
      <c r="BN58" t="str">
        <f t="shared" si="1"/>
        <v>R5|PABLO REYES|TEOLO PARK</v>
      </c>
    </row>
    <row r="59" spans="1:66">
      <c r="A59" s="8" t="s">
        <v>72</v>
      </c>
      <c r="B59" s="6" t="s">
        <v>91</v>
      </c>
      <c r="C59" s="6" t="s">
        <v>92</v>
      </c>
      <c r="D59" s="5" t="s">
        <v>427</v>
      </c>
      <c r="E59" s="5" t="s">
        <v>212</v>
      </c>
      <c r="F59" s="5" t="s">
        <v>339</v>
      </c>
      <c r="G59" s="5" t="s">
        <v>217</v>
      </c>
      <c r="H59" s="5" t="s">
        <v>419</v>
      </c>
      <c r="I59" s="5" t="s">
        <v>233</v>
      </c>
      <c r="J59" s="23" t="s">
        <v>279</v>
      </c>
      <c r="K59" s="5" t="s">
        <v>261</v>
      </c>
      <c r="L59" s="5" t="s">
        <v>395</v>
      </c>
      <c r="M59" s="5" t="s">
        <v>225</v>
      </c>
      <c r="N59" s="5" t="s">
        <v>304</v>
      </c>
      <c r="O59" s="5"/>
      <c r="P59" s="13"/>
      <c r="Q59" s="13"/>
      <c r="R59" s="5" t="s">
        <v>279</v>
      </c>
      <c r="S59" s="5" t="s">
        <v>350</v>
      </c>
      <c r="T59" s="5" t="s">
        <v>395</v>
      </c>
      <c r="U59" s="5"/>
      <c r="V59" s="5" t="s">
        <v>344</v>
      </c>
      <c r="W59" s="5" t="s">
        <v>214</v>
      </c>
      <c r="X59" s="5" t="s">
        <v>268</v>
      </c>
      <c r="Y59" s="5" t="s">
        <v>434</v>
      </c>
      <c r="Z59" s="5" t="s">
        <v>228</v>
      </c>
      <c r="AA59" s="5" t="s">
        <v>234</v>
      </c>
      <c r="AB59" s="5" t="s">
        <v>485</v>
      </c>
      <c r="AC59" s="5"/>
      <c r="AD59" s="13"/>
      <c r="AE59" s="13"/>
      <c r="AF59" s="5" t="s">
        <v>485</v>
      </c>
      <c r="AG59" s="5" t="s">
        <v>486</v>
      </c>
      <c r="AH59" s="5" t="s">
        <v>476</v>
      </c>
      <c r="AI59" s="5" t="s">
        <v>259</v>
      </c>
      <c r="AJ59" s="5" t="s">
        <v>487</v>
      </c>
      <c r="AK59" s="5" t="s">
        <v>465</v>
      </c>
      <c r="AL59" s="5" t="s">
        <v>488</v>
      </c>
      <c r="AM59" s="5" t="s">
        <v>249</v>
      </c>
      <c r="AN59" s="5" t="s">
        <v>406</v>
      </c>
      <c r="AO59" s="5" t="s">
        <v>282</v>
      </c>
      <c r="AP59" s="5" t="s">
        <v>489</v>
      </c>
      <c r="AQ59" s="5"/>
      <c r="AR59" s="13"/>
      <c r="AS59" s="13"/>
      <c r="AT59" s="5" t="s">
        <v>490</v>
      </c>
      <c r="AU59" s="5"/>
      <c r="AV59" s="5" t="s">
        <v>491</v>
      </c>
      <c r="AW59" s="5"/>
      <c r="AX59" s="5" t="s">
        <v>492</v>
      </c>
      <c r="AY59" s="5"/>
      <c r="AZ59" s="13"/>
      <c r="BA59" s="13"/>
      <c r="BB59" s="5" t="s">
        <v>492</v>
      </c>
      <c r="BC59" s="5" t="s">
        <v>493</v>
      </c>
      <c r="BD59" s="10">
        <v>0.50208333333333333</v>
      </c>
      <c r="BE59" s="10">
        <v>0.50208333333333333</v>
      </c>
      <c r="BF59" s="12"/>
      <c r="BG59" s="12"/>
      <c r="BH59" s="10"/>
      <c r="BI59" s="10"/>
      <c r="BJ59" s="10"/>
      <c r="BK59" s="10"/>
      <c r="BL59" s="10"/>
      <c r="BM59" s="10"/>
      <c r="BN59" t="str">
        <f t="shared" si="1"/>
        <v>R5|ANAHI CALLEJAS|TEPEJI PARK</v>
      </c>
    </row>
    <row r="60" spans="1:66">
      <c r="A60" s="8" t="s">
        <v>72</v>
      </c>
      <c r="B60" s="6" t="s">
        <v>91</v>
      </c>
      <c r="C60" s="6" t="s">
        <v>93</v>
      </c>
      <c r="D60" s="5"/>
      <c r="E60" s="5"/>
      <c r="F60" s="5"/>
      <c r="G60" s="5"/>
      <c r="H60" s="5"/>
      <c r="I60" s="5"/>
      <c r="J60" s="23"/>
      <c r="K60" s="5"/>
      <c r="L60" s="5"/>
      <c r="M60" s="5"/>
      <c r="N60" s="5"/>
      <c r="O60" s="5"/>
      <c r="P60" s="13"/>
      <c r="Q60" s="13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13"/>
      <c r="AE60" s="13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13"/>
      <c r="AS60" s="13"/>
      <c r="AT60" s="5"/>
      <c r="AU60" s="5"/>
      <c r="AV60" s="5"/>
      <c r="AW60" s="5"/>
      <c r="AX60" s="5"/>
      <c r="AY60" s="5"/>
      <c r="AZ60" s="13"/>
      <c r="BA60" s="13"/>
      <c r="BB60" s="5"/>
      <c r="BC60" s="5"/>
      <c r="BD60" s="10"/>
      <c r="BE60" s="10"/>
      <c r="BF60" s="12"/>
      <c r="BG60" s="12"/>
      <c r="BH60" s="10"/>
      <c r="BI60" s="10"/>
      <c r="BJ60" s="10"/>
      <c r="BK60" s="10"/>
      <c r="BL60" s="10"/>
      <c r="BM60" s="10"/>
      <c r="BN60" t="str">
        <f t="shared" si="1"/>
        <v>R5|ANAHI CALLEJAS|PARQUE INDUSTRIAL TEPEJI.</v>
      </c>
    </row>
    <row r="61" spans="1:66" hidden="1">
      <c r="A61" s="8" t="s">
        <v>94</v>
      </c>
      <c r="B61" s="6" t="s">
        <v>95</v>
      </c>
      <c r="C61" s="6" t="s">
        <v>96</v>
      </c>
      <c r="D61" s="5" t="s">
        <v>300</v>
      </c>
      <c r="E61" s="5" t="s">
        <v>351</v>
      </c>
      <c r="F61" s="5" t="s">
        <v>235</v>
      </c>
      <c r="G61" s="5" t="s">
        <v>259</v>
      </c>
      <c r="H61" s="5" t="s">
        <v>219</v>
      </c>
      <c r="I61" s="5" t="s">
        <v>352</v>
      </c>
      <c r="J61" s="23" t="s">
        <v>219</v>
      </c>
      <c r="K61" s="5" t="s">
        <v>261</v>
      </c>
      <c r="L61" s="5" t="s">
        <v>246</v>
      </c>
      <c r="M61" s="5"/>
      <c r="N61" s="5" t="s">
        <v>494</v>
      </c>
      <c r="O61" s="5"/>
      <c r="P61" s="13"/>
      <c r="Q61" s="13"/>
      <c r="R61" s="5" t="s">
        <v>221</v>
      </c>
      <c r="S61" s="5" t="s">
        <v>465</v>
      </c>
      <c r="T61" s="5" t="s">
        <v>216</v>
      </c>
      <c r="U61" s="5" t="s">
        <v>243</v>
      </c>
      <c r="V61" s="5" t="s">
        <v>343</v>
      </c>
      <c r="W61" s="5" t="s">
        <v>298</v>
      </c>
      <c r="X61" s="5" t="s">
        <v>221</v>
      </c>
      <c r="Y61" s="5" t="s">
        <v>435</v>
      </c>
      <c r="Z61" s="5" t="s">
        <v>373</v>
      </c>
      <c r="AA61" s="5" t="s">
        <v>234</v>
      </c>
      <c r="AB61" s="5" t="s">
        <v>419</v>
      </c>
      <c r="AC61" s="5"/>
      <c r="AD61" s="13"/>
      <c r="AE61" s="13"/>
      <c r="AF61" s="5" t="s">
        <v>341</v>
      </c>
      <c r="AG61" s="5" t="s">
        <v>264</v>
      </c>
      <c r="AH61" s="5" t="s">
        <v>231</v>
      </c>
      <c r="AI61" s="5" t="s">
        <v>352</v>
      </c>
      <c r="AJ61" s="5" t="s">
        <v>373</v>
      </c>
      <c r="AK61" s="5" t="s">
        <v>495</v>
      </c>
      <c r="AL61" s="5" t="s">
        <v>427</v>
      </c>
      <c r="AM61" s="5" t="s">
        <v>392</v>
      </c>
      <c r="AN61" s="5" t="s">
        <v>237</v>
      </c>
      <c r="AO61" s="5" t="s">
        <v>319</v>
      </c>
      <c r="AP61" s="5" t="s">
        <v>419</v>
      </c>
      <c r="AQ61" s="5" t="s">
        <v>496</v>
      </c>
      <c r="AR61" s="13"/>
      <c r="AS61" s="13"/>
      <c r="AT61" s="5" t="s">
        <v>335</v>
      </c>
      <c r="AU61" s="5" t="s">
        <v>497</v>
      </c>
      <c r="AV61" s="5" t="s">
        <v>237</v>
      </c>
      <c r="AW61" s="5" t="s">
        <v>498</v>
      </c>
      <c r="AX61" s="5" t="s">
        <v>499</v>
      </c>
      <c r="AY61" s="5"/>
      <c r="AZ61" s="13"/>
      <c r="BA61" s="13"/>
      <c r="BB61" s="5"/>
      <c r="BC61" s="5"/>
      <c r="BD61" s="10"/>
      <c r="BE61" s="10"/>
      <c r="BF61" s="12"/>
      <c r="BG61" s="12"/>
      <c r="BH61" s="10">
        <v>0.37916666666666671</v>
      </c>
      <c r="BI61" s="10">
        <v>0.13333333333333333</v>
      </c>
      <c r="BJ61" s="10"/>
      <c r="BK61" s="10"/>
      <c r="BL61" s="10"/>
      <c r="BM61" s="10"/>
      <c r="BN61" t="str">
        <f t="shared" si="1"/>
        <v>T-EMEX|JOSE LUIS GARCIA|T-MEX PARK</v>
      </c>
    </row>
    <row r="62" spans="1:66" hidden="1">
      <c r="A62" s="8" t="s">
        <v>97</v>
      </c>
      <c r="B62" s="6" t="s">
        <v>98</v>
      </c>
      <c r="C62" s="6" t="s">
        <v>99</v>
      </c>
      <c r="D62" s="5" t="s">
        <v>500</v>
      </c>
      <c r="E62" s="5"/>
      <c r="F62" s="5" t="s">
        <v>221</v>
      </c>
      <c r="G62" s="5" t="s">
        <v>479</v>
      </c>
      <c r="H62" s="5" t="s">
        <v>386</v>
      </c>
      <c r="I62" s="5" t="s">
        <v>317</v>
      </c>
      <c r="J62" s="23" t="s">
        <v>246</v>
      </c>
      <c r="K62" s="5" t="s">
        <v>372</v>
      </c>
      <c r="L62" s="5" t="s">
        <v>248</v>
      </c>
      <c r="M62" s="5" t="s">
        <v>249</v>
      </c>
      <c r="N62" s="5" t="s">
        <v>501</v>
      </c>
      <c r="O62" s="5"/>
      <c r="P62" s="13"/>
      <c r="Q62" s="13"/>
      <c r="R62" s="5" t="s">
        <v>304</v>
      </c>
      <c r="S62" s="5" t="s">
        <v>298</v>
      </c>
      <c r="T62" s="5" t="s">
        <v>240</v>
      </c>
      <c r="U62" s="5" t="s">
        <v>316</v>
      </c>
      <c r="V62" s="5" t="s">
        <v>232</v>
      </c>
      <c r="W62" s="5"/>
      <c r="X62" s="5" t="s">
        <v>393</v>
      </c>
      <c r="Y62" s="5"/>
      <c r="Z62" s="5" t="s">
        <v>377</v>
      </c>
      <c r="AA62" s="5" t="s">
        <v>398</v>
      </c>
      <c r="AB62" s="5"/>
      <c r="AC62" s="5"/>
      <c r="AD62" s="13"/>
      <c r="AE62" s="13"/>
      <c r="AF62" s="5" t="s">
        <v>306</v>
      </c>
      <c r="AG62" s="5" t="s">
        <v>203</v>
      </c>
      <c r="AH62" s="5" t="s">
        <v>339</v>
      </c>
      <c r="AI62" s="5" t="s">
        <v>389</v>
      </c>
      <c r="AJ62" s="5" t="s">
        <v>295</v>
      </c>
      <c r="AK62" s="5" t="s">
        <v>502</v>
      </c>
      <c r="AL62" s="5" t="s">
        <v>500</v>
      </c>
      <c r="AM62" s="5" t="s">
        <v>213</v>
      </c>
      <c r="AN62" s="5" t="s">
        <v>419</v>
      </c>
      <c r="AO62" s="5"/>
      <c r="AP62" s="5" t="s">
        <v>503</v>
      </c>
      <c r="AQ62" s="5"/>
      <c r="AR62" s="13"/>
      <c r="AS62" s="13"/>
      <c r="AT62" s="5" t="s">
        <v>297</v>
      </c>
      <c r="AU62" s="5" t="s">
        <v>504</v>
      </c>
      <c r="AV62" s="5" t="s">
        <v>307</v>
      </c>
      <c r="AW62" s="5" t="s">
        <v>505</v>
      </c>
      <c r="AX62" s="5"/>
      <c r="AY62" s="5"/>
      <c r="AZ62" s="13"/>
      <c r="BA62" s="13"/>
      <c r="BB62" s="5" t="s">
        <v>475</v>
      </c>
      <c r="BC62" s="5" t="s">
        <v>506</v>
      </c>
      <c r="BD62" s="10"/>
      <c r="BE62" s="10"/>
      <c r="BF62" s="12"/>
      <c r="BG62" s="12"/>
      <c r="BH62" s="10">
        <v>0.37638888888888888</v>
      </c>
      <c r="BI62" s="10">
        <v>0.12847222222222221</v>
      </c>
      <c r="BJ62" s="10">
        <v>0.38124999999999998</v>
      </c>
      <c r="BK62" s="10">
        <v>0.15902777777777777</v>
      </c>
      <c r="BL62" s="10"/>
      <c r="BM62" s="10"/>
      <c r="BN62" t="str">
        <f t="shared" si="1"/>
        <v>R6|ANA BRITO|QUERETARO PARK III</v>
      </c>
    </row>
    <row r="63" spans="1:66" hidden="1">
      <c r="A63" s="8" t="s">
        <v>97</v>
      </c>
      <c r="B63" s="6" t="s">
        <v>100</v>
      </c>
      <c r="C63" s="6" t="s">
        <v>101</v>
      </c>
      <c r="D63" s="5" t="s">
        <v>377</v>
      </c>
      <c r="E63" s="5" t="s">
        <v>282</v>
      </c>
      <c r="F63" s="5" t="s">
        <v>292</v>
      </c>
      <c r="G63" s="5" t="s">
        <v>383</v>
      </c>
      <c r="H63" s="5" t="s">
        <v>204</v>
      </c>
      <c r="I63" s="5"/>
      <c r="J63" s="23" t="s">
        <v>228</v>
      </c>
      <c r="K63" s="5" t="s">
        <v>267</v>
      </c>
      <c r="L63" s="5" t="s">
        <v>218</v>
      </c>
      <c r="M63" s="5"/>
      <c r="N63" s="5"/>
      <c r="O63" s="5"/>
      <c r="P63" s="13"/>
      <c r="Q63" s="13"/>
      <c r="R63" s="5" t="s">
        <v>204</v>
      </c>
      <c r="S63" s="5" t="s">
        <v>257</v>
      </c>
      <c r="T63" s="5" t="s">
        <v>231</v>
      </c>
      <c r="U63" s="5" t="s">
        <v>416</v>
      </c>
      <c r="V63" s="5" t="s">
        <v>204</v>
      </c>
      <c r="W63" s="5"/>
      <c r="X63" s="5"/>
      <c r="Y63" s="5"/>
      <c r="Z63" s="5" t="s">
        <v>507</v>
      </c>
      <c r="AA63" s="5"/>
      <c r="AB63" s="5" t="s">
        <v>406</v>
      </c>
      <c r="AC63" s="5"/>
      <c r="AD63" s="13"/>
      <c r="AE63" s="13"/>
      <c r="AF63" s="5" t="s">
        <v>226</v>
      </c>
      <c r="AG63" s="5"/>
      <c r="AH63" s="5" t="s">
        <v>292</v>
      </c>
      <c r="AI63" s="5"/>
      <c r="AJ63" s="5" t="s">
        <v>231</v>
      </c>
      <c r="AK63" s="5" t="s">
        <v>508</v>
      </c>
      <c r="AL63" s="5" t="s">
        <v>339</v>
      </c>
      <c r="AM63" s="5"/>
      <c r="AN63" s="5" t="s">
        <v>279</v>
      </c>
      <c r="AO63" s="5"/>
      <c r="AP63" s="5"/>
      <c r="AQ63" s="5"/>
      <c r="AR63" s="13"/>
      <c r="AS63" s="13"/>
      <c r="AT63" s="5" t="s">
        <v>488</v>
      </c>
      <c r="AU63" s="5" t="s">
        <v>509</v>
      </c>
      <c r="AV63" s="5" t="s">
        <v>328</v>
      </c>
      <c r="AW63" s="5" t="s">
        <v>510</v>
      </c>
      <c r="AX63" s="5"/>
      <c r="AY63" s="5"/>
      <c r="AZ63" s="13"/>
      <c r="BA63" s="13"/>
      <c r="BB63" s="5" t="s">
        <v>295</v>
      </c>
      <c r="BC63" s="5" t="s">
        <v>511</v>
      </c>
      <c r="BD63" s="10"/>
      <c r="BE63" s="10"/>
      <c r="BF63" s="12"/>
      <c r="BG63" s="12"/>
      <c r="BH63" s="10">
        <v>0.40416666666666667</v>
      </c>
      <c r="BI63" s="10"/>
      <c r="BJ63" s="10"/>
      <c r="BK63" s="10"/>
      <c r="BL63" s="10"/>
      <c r="BM63" s="10"/>
      <c r="BN63" t="str">
        <f t="shared" si="1"/>
        <v>R6|ERIKA TREJO|QUERETARO PARK IV</v>
      </c>
    </row>
    <row r="64" spans="1:66" hidden="1">
      <c r="A64" s="8" t="s">
        <v>97</v>
      </c>
      <c r="B64" s="6" t="s">
        <v>102</v>
      </c>
      <c r="C64" s="6" t="s">
        <v>103</v>
      </c>
      <c r="D64" s="5" t="s">
        <v>299</v>
      </c>
      <c r="E64" s="5"/>
      <c r="F64" s="5"/>
      <c r="G64" s="5"/>
      <c r="H64" s="5" t="s">
        <v>205</v>
      </c>
      <c r="I64" s="5" t="s">
        <v>351</v>
      </c>
      <c r="J64" s="23"/>
      <c r="K64" s="5"/>
      <c r="L64" s="5" t="s">
        <v>339</v>
      </c>
      <c r="M64" s="5"/>
      <c r="N64" s="5"/>
      <c r="O64" s="5"/>
      <c r="P64" s="13"/>
      <c r="Q64" s="13"/>
      <c r="R64" s="5"/>
      <c r="S64" s="5"/>
      <c r="T64" s="5" t="s">
        <v>224</v>
      </c>
      <c r="U64" s="5" t="s">
        <v>257</v>
      </c>
      <c r="V64" s="5" t="s">
        <v>307</v>
      </c>
      <c r="W64" s="5"/>
      <c r="X64" s="5" t="s">
        <v>304</v>
      </c>
      <c r="Y64" s="5"/>
      <c r="Z64" s="5"/>
      <c r="AA64" s="5"/>
      <c r="AB64" s="5" t="s">
        <v>344</v>
      </c>
      <c r="AC64" s="5"/>
      <c r="AD64" s="13"/>
      <c r="AE64" s="13"/>
      <c r="AF64" s="5"/>
      <c r="AG64" s="5"/>
      <c r="AH64" s="5" t="s">
        <v>300</v>
      </c>
      <c r="AI64" s="5"/>
      <c r="AJ64" s="5"/>
      <c r="AK64" s="5"/>
      <c r="AL64" s="5" t="s">
        <v>237</v>
      </c>
      <c r="AM64" s="5" t="s">
        <v>316</v>
      </c>
      <c r="AN64" s="5"/>
      <c r="AO64" s="5"/>
      <c r="AP64" s="5"/>
      <c r="AQ64" s="5"/>
      <c r="AR64" s="13"/>
      <c r="AS64" s="13"/>
      <c r="AT64" s="5"/>
      <c r="AU64" s="5"/>
      <c r="AV64" s="5" t="s">
        <v>449</v>
      </c>
      <c r="AW64" s="5" t="s">
        <v>229</v>
      </c>
      <c r="AX64" s="5"/>
      <c r="AY64" s="5"/>
      <c r="AZ64" s="13"/>
      <c r="BA64" s="13"/>
      <c r="BB64" s="5"/>
      <c r="BC64" s="5"/>
      <c r="BD64" s="10"/>
      <c r="BE64" s="10"/>
      <c r="BF64" s="12"/>
      <c r="BG64" s="12"/>
      <c r="BH64" s="10">
        <v>0.36041666666666672</v>
      </c>
      <c r="BI64" s="10">
        <v>0.15486111111111112</v>
      </c>
      <c r="BJ64" s="10">
        <v>0.40416666666666667</v>
      </c>
      <c r="BK64" s="10">
        <v>0.16388888888888889</v>
      </c>
      <c r="BL64" s="10"/>
      <c r="BM64" s="10"/>
      <c r="BN64" t="str">
        <f t="shared" si="1"/>
        <v>R6|MARIANO D. LORENZO|QUERETARO PARK V</v>
      </c>
    </row>
    <row r="65" spans="1:66" hidden="1">
      <c r="A65" s="8" t="s">
        <v>97</v>
      </c>
      <c r="B65" s="6" t="s">
        <v>102</v>
      </c>
      <c r="C65" s="6" t="s">
        <v>104</v>
      </c>
      <c r="D65" s="5" t="s">
        <v>377</v>
      </c>
      <c r="E65" s="5"/>
      <c r="F65" s="5" t="s">
        <v>211</v>
      </c>
      <c r="G65" s="5" t="s">
        <v>212</v>
      </c>
      <c r="H65" s="5"/>
      <c r="I65" s="5"/>
      <c r="J65" s="23" t="s">
        <v>419</v>
      </c>
      <c r="K65" s="5" t="s">
        <v>298</v>
      </c>
      <c r="L65" s="5" t="s">
        <v>312</v>
      </c>
      <c r="M65" s="5"/>
      <c r="N65" s="5"/>
      <c r="O65" s="5"/>
      <c r="P65" s="13"/>
      <c r="Q65" s="13"/>
      <c r="R65" s="5" t="s">
        <v>255</v>
      </c>
      <c r="S65" s="5" t="s">
        <v>348</v>
      </c>
      <c r="T65" s="5"/>
      <c r="U65" s="5"/>
      <c r="V65" s="5"/>
      <c r="W65" s="5"/>
      <c r="X65" s="5"/>
      <c r="Y65" s="5"/>
      <c r="Z65" s="5" t="s">
        <v>335</v>
      </c>
      <c r="AA65" s="5" t="s">
        <v>234</v>
      </c>
      <c r="AB65" s="5" t="s">
        <v>492</v>
      </c>
      <c r="AC65" s="5"/>
      <c r="AD65" s="13"/>
      <c r="AE65" s="13"/>
      <c r="AF65" s="5" t="s">
        <v>232</v>
      </c>
      <c r="AG65" s="5" t="s">
        <v>225</v>
      </c>
      <c r="AH65" s="5"/>
      <c r="AI65" s="5"/>
      <c r="AJ65" s="5" t="s">
        <v>211</v>
      </c>
      <c r="AK65" s="5" t="s">
        <v>247</v>
      </c>
      <c r="AL65" s="5"/>
      <c r="AM65" s="5"/>
      <c r="AN65" s="5"/>
      <c r="AO65" s="5"/>
      <c r="AP65" s="5"/>
      <c r="AQ65" s="5"/>
      <c r="AR65" s="13"/>
      <c r="AS65" s="13"/>
      <c r="AT65" s="5" t="s">
        <v>492</v>
      </c>
      <c r="AU65" s="5"/>
      <c r="AV65" s="5"/>
      <c r="AW65" s="5"/>
      <c r="AX65" s="5"/>
      <c r="AY65" s="5"/>
      <c r="AZ65" s="13"/>
      <c r="BA65" s="13"/>
      <c r="BB65" s="5" t="s">
        <v>335</v>
      </c>
      <c r="BC65" s="5" t="s">
        <v>512</v>
      </c>
      <c r="BD65" s="10"/>
      <c r="BE65" s="10"/>
      <c r="BF65" s="12"/>
      <c r="BG65" s="12"/>
      <c r="BH65" s="10"/>
      <c r="BI65" s="10"/>
      <c r="BJ65" s="10">
        <v>0.38472222222222224</v>
      </c>
      <c r="BK65" s="10"/>
      <c r="BL65" s="10"/>
      <c r="BM65" s="10"/>
      <c r="BN65" t="str">
        <f t="shared" si="1"/>
        <v>R6|MARIANO D. LORENZO|QUERETARO PARK VI</v>
      </c>
    </row>
    <row r="66" spans="1:66" hidden="1">
      <c r="A66" s="8" t="s">
        <v>97</v>
      </c>
      <c r="B66" s="6" t="s">
        <v>105</v>
      </c>
      <c r="C66" s="6" t="s">
        <v>106</v>
      </c>
      <c r="D66" s="5" t="s">
        <v>429</v>
      </c>
      <c r="E66" s="5"/>
      <c r="F66" s="5" t="s">
        <v>211</v>
      </c>
      <c r="G66" s="5" t="s">
        <v>213</v>
      </c>
      <c r="H66" s="5" t="s">
        <v>202</v>
      </c>
      <c r="I66" s="5" t="s">
        <v>213</v>
      </c>
      <c r="J66" s="23" t="s">
        <v>386</v>
      </c>
      <c r="K66" s="5" t="s">
        <v>254</v>
      </c>
      <c r="L66" s="5" t="s">
        <v>224</v>
      </c>
      <c r="M66" s="5" t="s">
        <v>282</v>
      </c>
      <c r="N66" s="5" t="s">
        <v>275</v>
      </c>
      <c r="O66" s="5"/>
      <c r="P66" s="13"/>
      <c r="Q66" s="13"/>
      <c r="R66" s="5" t="s">
        <v>218</v>
      </c>
      <c r="S66" s="5" t="s">
        <v>284</v>
      </c>
      <c r="T66" s="5" t="s">
        <v>335</v>
      </c>
      <c r="U66" s="5" t="s">
        <v>513</v>
      </c>
      <c r="V66" s="5" t="s">
        <v>211</v>
      </c>
      <c r="W66" s="5" t="s">
        <v>465</v>
      </c>
      <c r="X66" s="5" t="s">
        <v>356</v>
      </c>
      <c r="Y66" s="5"/>
      <c r="Z66" s="5" t="s">
        <v>500</v>
      </c>
      <c r="AA66" s="5" t="s">
        <v>213</v>
      </c>
      <c r="AB66" s="5"/>
      <c r="AC66" s="5"/>
      <c r="AD66" s="13"/>
      <c r="AE66" s="13"/>
      <c r="AF66" s="5" t="s">
        <v>300</v>
      </c>
      <c r="AG66" s="5" t="s">
        <v>259</v>
      </c>
      <c r="AH66" s="5" t="s">
        <v>248</v>
      </c>
      <c r="AI66" s="5" t="s">
        <v>514</v>
      </c>
      <c r="AJ66" s="5" t="s">
        <v>515</v>
      </c>
      <c r="AK66" s="5"/>
      <c r="AL66" s="5" t="s">
        <v>344</v>
      </c>
      <c r="AM66" s="5" t="s">
        <v>442</v>
      </c>
      <c r="AN66" s="5" t="s">
        <v>462</v>
      </c>
      <c r="AO66" s="5"/>
      <c r="AP66" s="5" t="s">
        <v>248</v>
      </c>
      <c r="AQ66" s="5"/>
      <c r="AR66" s="13"/>
      <c r="AS66" s="13"/>
      <c r="AT66" s="5" t="s">
        <v>500</v>
      </c>
      <c r="AU66" s="5" t="s">
        <v>516</v>
      </c>
      <c r="AV66" s="5" t="s">
        <v>517</v>
      </c>
      <c r="AW66" s="5" t="s">
        <v>518</v>
      </c>
      <c r="AX66" s="5"/>
      <c r="AY66" s="5"/>
      <c r="AZ66" s="13"/>
      <c r="BA66" s="13"/>
      <c r="BB66" s="5" t="s">
        <v>255</v>
      </c>
      <c r="BC66" s="5" t="s">
        <v>519</v>
      </c>
      <c r="BD66" s="10"/>
      <c r="BE66" s="10"/>
      <c r="BF66" s="12"/>
      <c r="BG66" s="12"/>
      <c r="BH66" s="10">
        <v>0.38333333333333341</v>
      </c>
      <c r="BI66" s="10">
        <v>0.19513888888888889</v>
      </c>
      <c r="BJ66" s="10">
        <v>0.3611111111111111</v>
      </c>
      <c r="BK66" s="10">
        <v>0.16388888888888889</v>
      </c>
      <c r="BL66" s="10"/>
      <c r="BM66" s="10"/>
      <c r="BN66" t="str">
        <f t="shared" si="1"/>
        <v>R6|RODRIGO CERVANTES LUGO|QUERETARO PARK VII</v>
      </c>
    </row>
    <row r="67" spans="1:66" hidden="1">
      <c r="A67" s="8" t="s">
        <v>97</v>
      </c>
      <c r="B67" s="6" t="s">
        <v>105</v>
      </c>
      <c r="C67" s="6" t="s">
        <v>107</v>
      </c>
      <c r="D67" s="5"/>
      <c r="E67" s="5"/>
      <c r="F67" s="5"/>
      <c r="G67" s="5"/>
      <c r="H67" s="5"/>
      <c r="I67" s="5"/>
      <c r="J67" s="23"/>
      <c r="K67" s="5"/>
      <c r="L67" s="5"/>
      <c r="M67" s="5"/>
      <c r="N67" s="5"/>
      <c r="O67" s="5"/>
      <c r="P67" s="13"/>
      <c r="Q67" s="13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13"/>
      <c r="AE67" s="13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13"/>
      <c r="AS67" s="13"/>
      <c r="AT67" s="5"/>
      <c r="AU67" s="5"/>
      <c r="AV67" s="5"/>
      <c r="AW67" s="5"/>
      <c r="AX67" s="5"/>
      <c r="AY67" s="5"/>
      <c r="AZ67" s="13"/>
      <c r="BA67" s="13"/>
      <c r="BB67" s="5"/>
      <c r="BC67" s="5"/>
      <c r="BD67" s="10"/>
      <c r="BE67" s="10"/>
      <c r="BF67" s="12"/>
      <c r="BG67" s="12"/>
      <c r="BH67" s="10"/>
      <c r="BI67" s="10"/>
      <c r="BJ67" s="10"/>
      <c r="BK67" s="10"/>
      <c r="BL67" s="10"/>
      <c r="BM67" s="10"/>
      <c r="BN67" t="str">
        <f t="shared" si="1"/>
        <v>R6|RODRIGO CERVANTES LUGO|EL MARQUÉS</v>
      </c>
    </row>
    <row r="68" spans="1:66" hidden="1">
      <c r="A68" s="8" t="s">
        <v>108</v>
      </c>
      <c r="B68" s="6" t="s">
        <v>109</v>
      </c>
      <c r="C68" s="6" t="s">
        <v>110</v>
      </c>
      <c r="D68" s="5" t="s">
        <v>377</v>
      </c>
      <c r="E68" s="5" t="s">
        <v>249</v>
      </c>
      <c r="F68" s="5" t="s">
        <v>224</v>
      </c>
      <c r="G68" s="5" t="s">
        <v>249</v>
      </c>
      <c r="H68" s="5" t="s">
        <v>339</v>
      </c>
      <c r="I68" s="5" t="s">
        <v>260</v>
      </c>
      <c r="J68" s="23" t="s">
        <v>205</v>
      </c>
      <c r="K68" s="5" t="s">
        <v>520</v>
      </c>
      <c r="L68" s="5" t="s">
        <v>224</v>
      </c>
      <c r="M68" s="5" t="s">
        <v>387</v>
      </c>
      <c r="N68" s="5"/>
      <c r="O68" s="5"/>
      <c r="P68" s="13"/>
      <c r="Q68" s="13"/>
      <c r="R68" s="5" t="s">
        <v>501</v>
      </c>
      <c r="S68" s="5" t="s">
        <v>233</v>
      </c>
      <c r="T68" s="5" t="s">
        <v>226</v>
      </c>
      <c r="U68" s="5" t="s">
        <v>429</v>
      </c>
      <c r="V68" s="5" t="s">
        <v>211</v>
      </c>
      <c r="W68" s="5" t="s">
        <v>318</v>
      </c>
      <c r="X68" s="5" t="s">
        <v>339</v>
      </c>
      <c r="Y68" s="5" t="s">
        <v>213</v>
      </c>
      <c r="Z68" s="5" t="s">
        <v>238</v>
      </c>
      <c r="AA68" s="5" t="s">
        <v>521</v>
      </c>
      <c r="AB68" s="5" t="s">
        <v>501</v>
      </c>
      <c r="AC68" s="5"/>
      <c r="AD68" s="13"/>
      <c r="AE68" s="13"/>
      <c r="AF68" s="5"/>
      <c r="AG68" s="5"/>
      <c r="AH68" s="5" t="s">
        <v>522</v>
      </c>
      <c r="AI68" s="5" t="s">
        <v>399</v>
      </c>
      <c r="AJ68" s="5" t="s">
        <v>523</v>
      </c>
      <c r="AK68" s="5"/>
      <c r="AL68" s="5" t="s">
        <v>455</v>
      </c>
      <c r="AM68" s="5"/>
      <c r="AN68" s="5" t="s">
        <v>426</v>
      </c>
      <c r="AO68" s="5"/>
      <c r="AP68" s="5"/>
      <c r="AQ68" s="5"/>
      <c r="AR68" s="13"/>
      <c r="AS68" s="13"/>
      <c r="AT68" s="5" t="s">
        <v>306</v>
      </c>
      <c r="AU68" s="5" t="s">
        <v>394</v>
      </c>
      <c r="AV68" s="5" t="s">
        <v>524</v>
      </c>
      <c r="AW68" s="5"/>
      <c r="AX68" s="5"/>
      <c r="AY68" s="5"/>
      <c r="AZ68" s="13"/>
      <c r="BA68" s="13"/>
      <c r="BB68" s="5"/>
      <c r="BC68" s="5"/>
      <c r="BD68" s="10"/>
      <c r="BE68" s="10"/>
      <c r="BF68" s="12"/>
      <c r="BG68" s="12"/>
      <c r="BH68" s="10"/>
      <c r="BI68" s="10"/>
      <c r="BJ68" s="10"/>
      <c r="BK68" s="10"/>
      <c r="BL68" s="10"/>
      <c r="BM68" s="10"/>
      <c r="BN68" t="str">
        <f t="shared" ref="BN68:BN90" si="2">A68&amp;"|"&amp;B68&amp;"|"&amp;C68</f>
        <v>R7|EMANUEL MARISCAL|LERMA PARK</v>
      </c>
    </row>
    <row r="69" spans="1:66" hidden="1">
      <c r="A69" s="8" t="s">
        <v>108</v>
      </c>
      <c r="B69" s="6" t="s">
        <v>109</v>
      </c>
      <c r="C69" s="6" t="s">
        <v>111</v>
      </c>
      <c r="D69" s="5"/>
      <c r="E69" s="5"/>
      <c r="F69" s="5"/>
      <c r="G69" s="5"/>
      <c r="H69" s="5"/>
      <c r="I69" s="5"/>
      <c r="J69" s="23"/>
      <c r="K69" s="5"/>
      <c r="L69" s="5"/>
      <c r="M69" s="5"/>
      <c r="N69" s="5"/>
      <c r="O69" s="5"/>
      <c r="P69" s="13"/>
      <c r="Q69" s="13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13"/>
      <c r="AE69" s="13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13"/>
      <c r="AS69" s="13"/>
      <c r="AT69" s="5"/>
      <c r="AU69" s="5"/>
      <c r="AV69" s="5"/>
      <c r="AW69" s="5"/>
      <c r="AX69" s="5"/>
      <c r="AY69" s="5"/>
      <c r="AZ69" s="13"/>
      <c r="BA69" s="13"/>
      <c r="BB69" s="5"/>
      <c r="BC69" s="5"/>
      <c r="BD69" s="10"/>
      <c r="BE69" s="10"/>
      <c r="BF69" s="12"/>
      <c r="BG69" s="12"/>
      <c r="BH69" s="10"/>
      <c r="BI69" s="10"/>
      <c r="BJ69" s="10"/>
      <c r="BK69" s="10"/>
      <c r="BL69" s="10"/>
      <c r="BM69" s="10"/>
      <c r="BN69" t="str">
        <f t="shared" si="2"/>
        <v>R7|EMANUEL MARISCAL|ESCATO</v>
      </c>
    </row>
    <row r="70" spans="1:66" hidden="1">
      <c r="A70" s="8" t="s">
        <v>108</v>
      </c>
      <c r="B70" s="6" t="s">
        <v>112</v>
      </c>
      <c r="C70" s="6" t="s">
        <v>113</v>
      </c>
      <c r="D70" s="5" t="s">
        <v>347</v>
      </c>
      <c r="E70" s="5"/>
      <c r="F70" s="5" t="s">
        <v>292</v>
      </c>
      <c r="G70" s="5" t="s">
        <v>515</v>
      </c>
      <c r="H70" s="5" t="s">
        <v>231</v>
      </c>
      <c r="I70" s="5" t="s">
        <v>254</v>
      </c>
      <c r="J70" s="23" t="s">
        <v>525</v>
      </c>
      <c r="K70" s="5" t="s">
        <v>526</v>
      </c>
      <c r="L70" s="5" t="s">
        <v>307</v>
      </c>
      <c r="M70" s="5" t="s">
        <v>384</v>
      </c>
      <c r="N70" s="5"/>
      <c r="O70" s="5"/>
      <c r="P70" s="13"/>
      <c r="Q70" s="13"/>
      <c r="R70" s="5" t="s">
        <v>204</v>
      </c>
      <c r="S70" s="5"/>
      <c r="T70" s="5" t="s">
        <v>395</v>
      </c>
      <c r="U70" s="5" t="s">
        <v>225</v>
      </c>
      <c r="V70" s="5" t="s">
        <v>343</v>
      </c>
      <c r="W70" s="5" t="s">
        <v>417</v>
      </c>
      <c r="X70" s="5" t="s">
        <v>210</v>
      </c>
      <c r="Y70" s="5" t="s">
        <v>315</v>
      </c>
      <c r="Z70" s="5" t="s">
        <v>311</v>
      </c>
      <c r="AA70" s="5"/>
      <c r="AB70" s="5"/>
      <c r="AC70" s="5"/>
      <c r="AD70" s="13"/>
      <c r="AE70" s="13"/>
      <c r="AF70" s="5"/>
      <c r="AG70" s="5"/>
      <c r="AH70" s="5" t="s">
        <v>353</v>
      </c>
      <c r="AI70" s="5" t="s">
        <v>527</v>
      </c>
      <c r="AJ70" s="5" t="s">
        <v>332</v>
      </c>
      <c r="AK70" s="5" t="s">
        <v>528</v>
      </c>
      <c r="AL70" s="5" t="s">
        <v>297</v>
      </c>
      <c r="AM70" s="5" t="s">
        <v>312</v>
      </c>
      <c r="AN70" s="5" t="s">
        <v>529</v>
      </c>
      <c r="AO70" s="5"/>
      <c r="AP70" s="5"/>
      <c r="AQ70" s="5"/>
      <c r="AR70" s="13"/>
      <c r="AS70" s="13"/>
      <c r="AT70" s="5" t="s">
        <v>353</v>
      </c>
      <c r="AU70" s="5" t="s">
        <v>394</v>
      </c>
      <c r="AV70" s="5"/>
      <c r="AW70" s="5"/>
      <c r="AX70" s="5"/>
      <c r="AY70" s="5"/>
      <c r="AZ70" s="13"/>
      <c r="BA70" s="13"/>
      <c r="BB70" s="5"/>
      <c r="BC70" s="5"/>
      <c r="BD70" s="10"/>
      <c r="BE70" s="10"/>
      <c r="BF70" s="12"/>
      <c r="BG70" s="12"/>
      <c r="BH70" s="10"/>
      <c r="BI70" s="10"/>
      <c r="BJ70" s="10"/>
      <c r="BK70" s="10"/>
      <c r="BL70" s="10"/>
      <c r="BM70" s="10"/>
      <c r="BN70" t="str">
        <f t="shared" si="2"/>
        <v>R7|CHRISTAN E. MARQUEZ|DOÑA ROSA</v>
      </c>
    </row>
    <row r="71" spans="1:66" hidden="1">
      <c r="A71" s="8" t="s">
        <v>108</v>
      </c>
      <c r="B71" s="6" t="s">
        <v>112</v>
      </c>
      <c r="C71" s="6" t="s">
        <v>114</v>
      </c>
      <c r="D71" s="5"/>
      <c r="E71" s="5"/>
      <c r="F71" s="5"/>
      <c r="G71" s="5"/>
      <c r="H71" s="5"/>
      <c r="I71" s="5"/>
      <c r="J71" s="23" t="s">
        <v>204</v>
      </c>
      <c r="K71" s="5"/>
      <c r="L71" s="5"/>
      <c r="M71" s="5"/>
      <c r="N71" s="5"/>
      <c r="O71" s="5"/>
      <c r="P71" s="13"/>
      <c r="Q71" s="13"/>
      <c r="R71" s="5"/>
      <c r="S71" s="5"/>
      <c r="T71" s="5" t="s">
        <v>204</v>
      </c>
      <c r="U71" s="5"/>
      <c r="V71" s="5" t="s">
        <v>530</v>
      </c>
      <c r="W71" s="5"/>
      <c r="X71" s="5" t="s">
        <v>339</v>
      </c>
      <c r="Y71" s="5" t="s">
        <v>384</v>
      </c>
      <c r="Z71" s="5" t="s">
        <v>216</v>
      </c>
      <c r="AA71" s="5"/>
      <c r="AB71" s="5"/>
      <c r="AC71" s="5"/>
      <c r="AD71" s="13"/>
      <c r="AE71" s="13"/>
      <c r="AF71" s="5" t="s">
        <v>231</v>
      </c>
      <c r="AG71" s="5" t="s">
        <v>531</v>
      </c>
      <c r="AH71" s="5"/>
      <c r="AI71" s="5"/>
      <c r="AJ71" s="5" t="s">
        <v>343</v>
      </c>
      <c r="AK71" s="5"/>
      <c r="AL71" s="5"/>
      <c r="AM71" s="5"/>
      <c r="AN71" s="5" t="s">
        <v>211</v>
      </c>
      <c r="AO71" s="5"/>
      <c r="AP71" s="5"/>
      <c r="AQ71" s="5"/>
      <c r="AR71" s="13"/>
      <c r="AS71" s="13"/>
      <c r="AT71" s="5" t="s">
        <v>306</v>
      </c>
      <c r="AU71" s="5" t="s">
        <v>394</v>
      </c>
      <c r="AV71" s="5" t="s">
        <v>297</v>
      </c>
      <c r="AW71" s="5"/>
      <c r="AX71" s="5"/>
      <c r="AY71" s="5"/>
      <c r="AZ71" s="13"/>
      <c r="BA71" s="13"/>
      <c r="BB71" s="5"/>
      <c r="BC71" s="5"/>
      <c r="BD71" s="10"/>
      <c r="BE71" s="10"/>
      <c r="BF71" s="12"/>
      <c r="BG71" s="12"/>
      <c r="BH71" s="10"/>
      <c r="BI71" s="10"/>
      <c r="BJ71" s="10"/>
      <c r="BK71" s="10"/>
      <c r="BL71" s="10"/>
      <c r="BM71" s="10"/>
      <c r="BN71" t="str">
        <f t="shared" si="2"/>
        <v>R7|CHRISTAN E. MARQUEZ|LERMA PARK II</v>
      </c>
    </row>
    <row r="72" spans="1:66" hidden="1">
      <c r="A72" s="8" t="s">
        <v>108</v>
      </c>
      <c r="B72" s="6" t="s">
        <v>115</v>
      </c>
      <c r="C72" s="6" t="s">
        <v>116</v>
      </c>
      <c r="D72" s="5" t="s">
        <v>427</v>
      </c>
      <c r="E72" s="5" t="s">
        <v>514</v>
      </c>
      <c r="F72" s="5" t="s">
        <v>235</v>
      </c>
      <c r="G72" s="5" t="s">
        <v>383</v>
      </c>
      <c r="H72" s="5" t="s">
        <v>204</v>
      </c>
      <c r="I72" s="5" t="s">
        <v>317</v>
      </c>
      <c r="J72" s="23" t="s">
        <v>205</v>
      </c>
      <c r="K72" s="5" t="s">
        <v>313</v>
      </c>
      <c r="L72" s="5" t="s">
        <v>414</v>
      </c>
      <c r="M72" s="5"/>
      <c r="N72" s="5"/>
      <c r="O72" s="5"/>
      <c r="P72" s="13"/>
      <c r="Q72" s="13"/>
      <c r="R72" s="5" t="s">
        <v>224</v>
      </c>
      <c r="S72" s="5" t="s">
        <v>354</v>
      </c>
      <c r="T72" s="5" t="s">
        <v>221</v>
      </c>
      <c r="U72" s="5" t="s">
        <v>355</v>
      </c>
      <c r="V72" s="5"/>
      <c r="W72" s="5"/>
      <c r="X72" s="5" t="s">
        <v>224</v>
      </c>
      <c r="Y72" s="5" t="s">
        <v>249</v>
      </c>
      <c r="Z72" s="5" t="s">
        <v>250</v>
      </c>
      <c r="AA72" s="5" t="s">
        <v>495</v>
      </c>
      <c r="AB72" s="5"/>
      <c r="AC72" s="5"/>
      <c r="AD72" s="13"/>
      <c r="AE72" s="13"/>
      <c r="AF72" s="5" t="s">
        <v>216</v>
      </c>
      <c r="AG72" s="5" t="s">
        <v>355</v>
      </c>
      <c r="AH72" s="5" t="s">
        <v>216</v>
      </c>
      <c r="AI72" s="5" t="s">
        <v>388</v>
      </c>
      <c r="AJ72" s="5" t="s">
        <v>231</v>
      </c>
      <c r="AK72" s="5" t="s">
        <v>495</v>
      </c>
      <c r="AL72" s="5" t="s">
        <v>305</v>
      </c>
      <c r="AM72" s="5"/>
      <c r="AN72" s="5" t="s">
        <v>343</v>
      </c>
      <c r="AO72" s="5" t="s">
        <v>402</v>
      </c>
      <c r="AP72" s="5"/>
      <c r="AQ72" s="5"/>
      <c r="AR72" s="13"/>
      <c r="AS72" s="13"/>
      <c r="AT72" s="5" t="s">
        <v>324</v>
      </c>
      <c r="AU72" s="5" t="s">
        <v>358</v>
      </c>
      <c r="AV72" s="5" t="s">
        <v>246</v>
      </c>
      <c r="AW72" s="5" t="s">
        <v>394</v>
      </c>
      <c r="AX72" s="5"/>
      <c r="AY72" s="5"/>
      <c r="AZ72" s="13"/>
      <c r="BA72" s="13"/>
      <c r="BB72" s="5" t="s">
        <v>216</v>
      </c>
      <c r="BC72" s="5"/>
      <c r="BD72" s="10"/>
      <c r="BE72" s="10"/>
      <c r="BF72" s="12"/>
      <c r="BG72" s="12"/>
      <c r="BH72" s="10">
        <v>0.37222222222222218</v>
      </c>
      <c r="BI72" s="10">
        <v>0.12847222222222221</v>
      </c>
      <c r="BJ72" s="10">
        <v>0.3840277777777778</v>
      </c>
      <c r="BK72" s="10">
        <v>0.15208333333333332</v>
      </c>
      <c r="BL72" s="10"/>
      <c r="BM72" s="10"/>
      <c r="BN72" t="str">
        <f t="shared" si="2"/>
        <v>R7|OMAR HIDALGO|POLARIS</v>
      </c>
    </row>
    <row r="73" spans="1:66" hidden="1">
      <c r="A73" s="8" t="s">
        <v>108</v>
      </c>
      <c r="B73" s="6" t="s">
        <v>117</v>
      </c>
      <c r="C73" s="6" t="s">
        <v>118</v>
      </c>
      <c r="D73" s="5" t="s">
        <v>330</v>
      </c>
      <c r="E73" s="5" t="s">
        <v>230</v>
      </c>
      <c r="F73" s="5" t="s">
        <v>228</v>
      </c>
      <c r="G73" s="5" t="s">
        <v>314</v>
      </c>
      <c r="H73" s="5" t="s">
        <v>252</v>
      </c>
      <c r="I73" s="5" t="s">
        <v>479</v>
      </c>
      <c r="J73" s="23" t="s">
        <v>208</v>
      </c>
      <c r="K73" s="5" t="s">
        <v>312</v>
      </c>
      <c r="L73" s="5" t="s">
        <v>248</v>
      </c>
      <c r="M73" s="5" t="s">
        <v>298</v>
      </c>
      <c r="N73" s="5" t="s">
        <v>501</v>
      </c>
      <c r="O73" s="5"/>
      <c r="P73" s="13"/>
      <c r="Q73" s="13"/>
      <c r="R73" s="5" t="s">
        <v>347</v>
      </c>
      <c r="S73" s="5" t="s">
        <v>284</v>
      </c>
      <c r="T73" s="5" t="s">
        <v>252</v>
      </c>
      <c r="U73" s="5" t="s">
        <v>249</v>
      </c>
      <c r="V73" s="5" t="s">
        <v>346</v>
      </c>
      <c r="W73" s="5" t="s">
        <v>365</v>
      </c>
      <c r="X73" s="5" t="s">
        <v>221</v>
      </c>
      <c r="Y73" s="5" t="s">
        <v>528</v>
      </c>
      <c r="Z73" s="5" t="s">
        <v>235</v>
      </c>
      <c r="AA73" s="5" t="s">
        <v>387</v>
      </c>
      <c r="AB73" s="5"/>
      <c r="AC73" s="5"/>
      <c r="AD73" s="13"/>
      <c r="AE73" s="13"/>
      <c r="AF73" s="5" t="s">
        <v>220</v>
      </c>
      <c r="AG73" s="5"/>
      <c r="AH73" s="5" t="s">
        <v>221</v>
      </c>
      <c r="AI73" s="5" t="s">
        <v>253</v>
      </c>
      <c r="AJ73" s="5" t="s">
        <v>487</v>
      </c>
      <c r="AK73" s="5" t="s">
        <v>267</v>
      </c>
      <c r="AL73" s="5" t="s">
        <v>406</v>
      </c>
      <c r="AM73" s="5" t="s">
        <v>212</v>
      </c>
      <c r="AN73" s="5" t="s">
        <v>268</v>
      </c>
      <c r="AO73" s="5" t="s">
        <v>215</v>
      </c>
      <c r="AP73" s="5"/>
      <c r="AQ73" s="5"/>
      <c r="AR73" s="13"/>
      <c r="AS73" s="13"/>
      <c r="AT73" s="5" t="s">
        <v>238</v>
      </c>
      <c r="AU73" s="5" t="s">
        <v>532</v>
      </c>
      <c r="AV73" s="5" t="s">
        <v>252</v>
      </c>
      <c r="AW73" s="5" t="s">
        <v>533</v>
      </c>
      <c r="AX73" s="5"/>
      <c r="AY73" s="5"/>
      <c r="AZ73" s="13"/>
      <c r="BA73" s="13"/>
      <c r="BB73" s="5"/>
      <c r="BC73" s="5"/>
      <c r="BD73" s="10"/>
      <c r="BE73" s="10"/>
      <c r="BF73" s="12"/>
      <c r="BG73" s="12"/>
      <c r="BH73" s="10">
        <v>0.39374999999999999</v>
      </c>
      <c r="BI73" s="10">
        <v>0.17222222222222222</v>
      </c>
      <c r="BJ73" s="10">
        <v>0.35625000000000001</v>
      </c>
      <c r="BK73" s="10"/>
      <c r="BL73" s="10"/>
      <c r="BM73" s="10"/>
      <c r="BN73" t="str">
        <f t="shared" si="2"/>
        <v>R7|NOE E. MARTINEZ|MARAVILLAS</v>
      </c>
    </row>
    <row r="74" spans="1:66" hidden="1">
      <c r="A74" s="8" t="s">
        <v>108</v>
      </c>
      <c r="B74" s="6" t="s">
        <v>119</v>
      </c>
      <c r="C74" s="6" t="s">
        <v>120</v>
      </c>
      <c r="D74" s="5" t="s">
        <v>373</v>
      </c>
      <c r="E74" s="5" t="s">
        <v>333</v>
      </c>
      <c r="F74" s="5" t="s">
        <v>332</v>
      </c>
      <c r="G74" s="5" t="s">
        <v>262</v>
      </c>
      <c r="H74" s="5" t="s">
        <v>275</v>
      </c>
      <c r="I74" s="5"/>
      <c r="J74" s="23" t="s">
        <v>228</v>
      </c>
      <c r="K74" s="5" t="s">
        <v>479</v>
      </c>
      <c r="L74" s="5" t="s">
        <v>306</v>
      </c>
      <c r="M74" s="5" t="s">
        <v>351</v>
      </c>
      <c r="N74" s="5"/>
      <c r="O74" s="5"/>
      <c r="P74" s="13"/>
      <c r="Q74" s="13"/>
      <c r="R74" s="5" t="s">
        <v>346</v>
      </c>
      <c r="S74" s="5" t="s">
        <v>298</v>
      </c>
      <c r="T74" s="5" t="s">
        <v>268</v>
      </c>
      <c r="U74" s="5" t="s">
        <v>264</v>
      </c>
      <c r="V74" s="5" t="s">
        <v>268</v>
      </c>
      <c r="W74" s="5" t="s">
        <v>352</v>
      </c>
      <c r="X74" s="5" t="s">
        <v>300</v>
      </c>
      <c r="Y74" s="5" t="s">
        <v>315</v>
      </c>
      <c r="Z74" s="5" t="s">
        <v>211</v>
      </c>
      <c r="AA74" s="5" t="s">
        <v>387</v>
      </c>
      <c r="AB74" s="5" t="s">
        <v>353</v>
      </c>
      <c r="AC74" s="5"/>
      <c r="AD74" s="13"/>
      <c r="AE74" s="13"/>
      <c r="AF74" s="5" t="s">
        <v>335</v>
      </c>
      <c r="AG74" s="5" t="s">
        <v>389</v>
      </c>
      <c r="AH74" s="5" t="s">
        <v>475</v>
      </c>
      <c r="AI74" s="5" t="s">
        <v>534</v>
      </c>
      <c r="AJ74" s="5" t="s">
        <v>263</v>
      </c>
      <c r="AK74" s="5" t="s">
        <v>383</v>
      </c>
      <c r="AL74" s="5" t="s">
        <v>302</v>
      </c>
      <c r="AM74" s="5" t="s">
        <v>432</v>
      </c>
      <c r="AN74" s="5" t="s">
        <v>336</v>
      </c>
      <c r="AO74" s="5" t="s">
        <v>217</v>
      </c>
      <c r="AP74" s="5"/>
      <c r="AQ74" s="5"/>
      <c r="AR74" s="13"/>
      <c r="AS74" s="13"/>
      <c r="AT74" s="5" t="s">
        <v>500</v>
      </c>
      <c r="AU74" s="5" t="s">
        <v>504</v>
      </c>
      <c r="AV74" s="5" t="s">
        <v>413</v>
      </c>
      <c r="AW74" s="5" t="s">
        <v>535</v>
      </c>
      <c r="AX74" s="5"/>
      <c r="AY74" s="5"/>
      <c r="AZ74" s="13"/>
      <c r="BA74" s="13"/>
      <c r="BB74" s="5" t="s">
        <v>275</v>
      </c>
      <c r="BC74" s="5" t="s">
        <v>403</v>
      </c>
      <c r="BD74" s="10"/>
      <c r="BE74" s="10"/>
      <c r="BF74" s="12"/>
      <c r="BG74" s="12"/>
      <c r="BH74" s="10">
        <v>0.35416666666666669</v>
      </c>
      <c r="BI74" s="10">
        <v>0.14861111111111111</v>
      </c>
      <c r="BJ74" s="10">
        <v>0.35902777777777778</v>
      </c>
      <c r="BK74" s="10">
        <v>0.1423611111111111</v>
      </c>
      <c r="BL74" s="10"/>
      <c r="BM74" s="10"/>
      <c r="BN74" t="str">
        <f t="shared" si="2"/>
        <v>R7|FERNANDO ROBLES|TOLUCA PARK II (SANTIN)</v>
      </c>
    </row>
    <row r="75" spans="1:66" hidden="1">
      <c r="A75" s="8" t="s">
        <v>108</v>
      </c>
      <c r="B75" s="6" t="s">
        <v>121</v>
      </c>
      <c r="C75" s="6" t="s">
        <v>122</v>
      </c>
      <c r="D75" s="5" t="s">
        <v>405</v>
      </c>
      <c r="E75" s="5" t="s">
        <v>212</v>
      </c>
      <c r="F75" s="5" t="s">
        <v>473</v>
      </c>
      <c r="G75" s="5" t="s">
        <v>398</v>
      </c>
      <c r="H75" s="5" t="s">
        <v>251</v>
      </c>
      <c r="I75" s="5" t="s">
        <v>305</v>
      </c>
      <c r="J75" s="23" t="s">
        <v>204</v>
      </c>
      <c r="K75" s="5" t="s">
        <v>528</v>
      </c>
      <c r="L75" s="5" t="s">
        <v>336</v>
      </c>
      <c r="M75" s="5" t="s">
        <v>333</v>
      </c>
      <c r="N75" s="5" t="s">
        <v>353</v>
      </c>
      <c r="O75" s="5"/>
      <c r="P75" s="13"/>
      <c r="Q75" s="13"/>
      <c r="R75" s="5" t="s">
        <v>255</v>
      </c>
      <c r="S75" s="5" t="s">
        <v>355</v>
      </c>
      <c r="T75" s="5" t="s">
        <v>536</v>
      </c>
      <c r="U75" s="5" t="s">
        <v>277</v>
      </c>
      <c r="V75" s="5" t="s">
        <v>419</v>
      </c>
      <c r="W75" s="5" t="s">
        <v>383</v>
      </c>
      <c r="X75" s="5" t="s">
        <v>537</v>
      </c>
      <c r="Y75" s="5" t="s">
        <v>479</v>
      </c>
      <c r="Z75" s="5" t="s">
        <v>256</v>
      </c>
      <c r="AA75" s="5"/>
      <c r="AB75" s="5"/>
      <c r="AC75" s="5"/>
      <c r="AD75" s="13"/>
      <c r="AE75" s="13"/>
      <c r="AF75" s="5"/>
      <c r="AG75" s="5"/>
      <c r="AH75" s="5" t="s">
        <v>466</v>
      </c>
      <c r="AI75" s="5" t="s">
        <v>374</v>
      </c>
      <c r="AJ75" s="5"/>
      <c r="AK75" s="5"/>
      <c r="AL75" s="5" t="s">
        <v>538</v>
      </c>
      <c r="AM75" s="5" t="s">
        <v>539</v>
      </c>
      <c r="AN75" s="5" t="s">
        <v>405</v>
      </c>
      <c r="AO75" s="5" t="s">
        <v>375</v>
      </c>
      <c r="AP75" s="5"/>
      <c r="AQ75" s="5"/>
      <c r="AR75" s="13"/>
      <c r="AS75" s="13"/>
      <c r="AT75" s="5" t="s">
        <v>540</v>
      </c>
      <c r="AU75" s="5"/>
      <c r="AV75" s="5" t="s">
        <v>541</v>
      </c>
      <c r="AW75" s="5" t="s">
        <v>542</v>
      </c>
      <c r="AX75" s="5"/>
      <c r="AY75" s="5"/>
      <c r="AZ75" s="13"/>
      <c r="BA75" s="13"/>
      <c r="BB75" s="5"/>
      <c r="BC75" s="5"/>
      <c r="BD75" s="10"/>
      <c r="BE75" s="10"/>
      <c r="BF75" s="12"/>
      <c r="BG75" s="12"/>
      <c r="BH75" s="10"/>
      <c r="BI75" s="10">
        <v>0.16666666666666666</v>
      </c>
      <c r="BJ75" s="10"/>
      <c r="BK75" s="10"/>
      <c r="BL75" s="10"/>
      <c r="BM75" s="10"/>
      <c r="BN75" t="str">
        <f t="shared" si="2"/>
        <v>R7|RAUL MARISCAL|TOLUCA PARK III (LA Y)</v>
      </c>
    </row>
    <row r="76" spans="1:66" hidden="1">
      <c r="A76" s="8" t="s">
        <v>123</v>
      </c>
      <c r="B76" s="6" t="s">
        <v>124</v>
      </c>
      <c r="C76" s="6" t="s">
        <v>125</v>
      </c>
      <c r="D76" s="5" t="s">
        <v>202</v>
      </c>
      <c r="E76" s="5" t="s">
        <v>260</v>
      </c>
      <c r="F76" s="5" t="s">
        <v>235</v>
      </c>
      <c r="G76" s="5" t="s">
        <v>319</v>
      </c>
      <c r="H76" s="5" t="s">
        <v>231</v>
      </c>
      <c r="I76" s="5" t="s">
        <v>260</v>
      </c>
      <c r="J76" s="23" t="s">
        <v>288</v>
      </c>
      <c r="K76" s="5" t="s">
        <v>317</v>
      </c>
      <c r="L76" s="5" t="s">
        <v>228</v>
      </c>
      <c r="M76" s="5" t="s">
        <v>528</v>
      </c>
      <c r="N76" s="5" t="s">
        <v>376</v>
      </c>
      <c r="O76" s="5"/>
      <c r="P76" s="13"/>
      <c r="Q76" s="13"/>
      <c r="R76" s="5" t="s">
        <v>226</v>
      </c>
      <c r="S76" s="5" t="s">
        <v>387</v>
      </c>
      <c r="T76" s="5" t="s">
        <v>346</v>
      </c>
      <c r="U76" s="5" t="s">
        <v>389</v>
      </c>
      <c r="V76" s="5" t="s">
        <v>263</v>
      </c>
      <c r="W76" s="5" t="s">
        <v>402</v>
      </c>
      <c r="X76" s="5" t="s">
        <v>305</v>
      </c>
      <c r="Y76" s="5"/>
      <c r="Z76" s="5" t="s">
        <v>246</v>
      </c>
      <c r="AA76" s="5"/>
      <c r="AB76" s="5" t="s">
        <v>543</v>
      </c>
      <c r="AC76" s="5"/>
      <c r="AD76" s="13"/>
      <c r="AE76" s="13"/>
      <c r="AF76" s="5" t="s">
        <v>204</v>
      </c>
      <c r="AG76" s="5" t="s">
        <v>333</v>
      </c>
      <c r="AH76" s="5" t="s">
        <v>216</v>
      </c>
      <c r="AI76" s="5" t="s">
        <v>383</v>
      </c>
      <c r="AJ76" s="5" t="s">
        <v>503</v>
      </c>
      <c r="AK76" s="5"/>
      <c r="AL76" s="5" t="s">
        <v>202</v>
      </c>
      <c r="AM76" s="5" t="s">
        <v>312</v>
      </c>
      <c r="AN76" s="5" t="s">
        <v>252</v>
      </c>
      <c r="AO76" s="5" t="s">
        <v>319</v>
      </c>
      <c r="AP76" s="5" t="s">
        <v>544</v>
      </c>
      <c r="AQ76" s="5"/>
      <c r="AR76" s="13"/>
      <c r="AS76" s="13"/>
      <c r="AT76" s="5" t="s">
        <v>216</v>
      </c>
      <c r="AU76" s="5" t="s">
        <v>545</v>
      </c>
      <c r="AV76" s="5" t="s">
        <v>208</v>
      </c>
      <c r="AW76" s="5" t="s">
        <v>480</v>
      </c>
      <c r="AX76" s="5"/>
      <c r="AY76" s="5"/>
      <c r="AZ76" s="13"/>
      <c r="BA76" s="13"/>
      <c r="BB76" s="5" t="s">
        <v>473</v>
      </c>
      <c r="BC76" s="5" t="s">
        <v>409</v>
      </c>
      <c r="BD76" s="10">
        <v>0.38194444444444442</v>
      </c>
      <c r="BE76" s="10"/>
      <c r="BF76" s="12"/>
      <c r="BG76" s="12"/>
      <c r="BH76" s="10">
        <v>0.38472222222222219</v>
      </c>
      <c r="BI76" s="10">
        <v>0.15833333333333333</v>
      </c>
      <c r="BJ76" s="10">
        <v>0.40138888888888891</v>
      </c>
      <c r="BK76" s="10">
        <v>0.15069444444444444</v>
      </c>
      <c r="BL76" s="10">
        <v>0.44027777777777777</v>
      </c>
      <c r="BM76" s="10"/>
      <c r="BN76" t="str">
        <f t="shared" si="2"/>
        <v>R8|J. MARTIN SALAZAR|TLAQUE PARK</v>
      </c>
    </row>
    <row r="77" spans="1:66" hidden="1">
      <c r="A77" s="8" t="s">
        <v>123</v>
      </c>
      <c r="B77" s="6" t="s">
        <v>126</v>
      </c>
      <c r="C77" s="6" t="s">
        <v>127</v>
      </c>
      <c r="D77" s="5" t="s">
        <v>221</v>
      </c>
      <c r="E77" s="5" t="s">
        <v>212</v>
      </c>
      <c r="F77" s="5" t="s">
        <v>219</v>
      </c>
      <c r="G77" s="5" t="s">
        <v>355</v>
      </c>
      <c r="H77" s="5" t="s">
        <v>244</v>
      </c>
      <c r="I77" s="5" t="s">
        <v>546</v>
      </c>
      <c r="J77" s="23" t="s">
        <v>302</v>
      </c>
      <c r="K77" s="5" t="s">
        <v>530</v>
      </c>
      <c r="L77" s="5" t="s">
        <v>202</v>
      </c>
      <c r="M77" s="5" t="s">
        <v>547</v>
      </c>
      <c r="N77" s="5" t="s">
        <v>345</v>
      </c>
      <c r="O77" s="5"/>
      <c r="P77" s="13"/>
      <c r="Q77" s="13"/>
      <c r="R77" s="5" t="s">
        <v>235</v>
      </c>
      <c r="S77" s="5" t="s">
        <v>389</v>
      </c>
      <c r="T77" s="5" t="s">
        <v>235</v>
      </c>
      <c r="U77" s="5" t="s">
        <v>284</v>
      </c>
      <c r="V77" s="5" t="s">
        <v>224</v>
      </c>
      <c r="W77" s="5" t="s">
        <v>259</v>
      </c>
      <c r="X77" s="5" t="s">
        <v>216</v>
      </c>
      <c r="Y77" s="5" t="s">
        <v>282</v>
      </c>
      <c r="Z77" s="5" t="s">
        <v>252</v>
      </c>
      <c r="AA77" s="5" t="s">
        <v>274</v>
      </c>
      <c r="AB77" s="5" t="s">
        <v>548</v>
      </c>
      <c r="AC77" s="5"/>
      <c r="AD77" s="13"/>
      <c r="AE77" s="13"/>
      <c r="AF77" s="5" t="s">
        <v>216</v>
      </c>
      <c r="AG77" s="5" t="s">
        <v>272</v>
      </c>
      <c r="AH77" s="5" t="s">
        <v>202</v>
      </c>
      <c r="AI77" s="5" t="s">
        <v>415</v>
      </c>
      <c r="AJ77" s="5" t="s">
        <v>202</v>
      </c>
      <c r="AK77" s="5"/>
      <c r="AL77" s="5" t="s">
        <v>501</v>
      </c>
      <c r="AM77" s="5" t="s">
        <v>214</v>
      </c>
      <c r="AN77" s="5" t="s">
        <v>339</v>
      </c>
      <c r="AO77" s="5" t="s">
        <v>331</v>
      </c>
      <c r="AP77" s="5" t="s">
        <v>549</v>
      </c>
      <c r="AQ77" s="5" t="s">
        <v>550</v>
      </c>
      <c r="AR77" s="13"/>
      <c r="AS77" s="13"/>
      <c r="AT77" s="5" t="s">
        <v>544</v>
      </c>
      <c r="AU77" s="5"/>
      <c r="AV77" s="5" t="s">
        <v>211</v>
      </c>
      <c r="AW77" s="5" t="s">
        <v>551</v>
      </c>
      <c r="AX77" s="5" t="s">
        <v>494</v>
      </c>
      <c r="AY77" s="5"/>
      <c r="AZ77" s="13"/>
      <c r="BA77" s="13"/>
      <c r="BB77" s="5" t="s">
        <v>332</v>
      </c>
      <c r="BC77" s="5"/>
      <c r="BD77" s="10"/>
      <c r="BE77" s="10">
        <v>5.0694444444444438E-2</v>
      </c>
      <c r="BF77" s="12"/>
      <c r="BG77" s="12"/>
      <c r="BH77" s="10">
        <v>0.37986111111111109</v>
      </c>
      <c r="BI77" s="10">
        <v>0.16666666666666666</v>
      </c>
      <c r="BJ77" s="10">
        <v>0.41458333333333336</v>
      </c>
      <c r="BK77" s="10">
        <v>0.14444444444444443</v>
      </c>
      <c r="BL77" s="10">
        <v>0.40972222222222221</v>
      </c>
      <c r="BM77" s="10"/>
      <c r="BN77" t="str">
        <f t="shared" si="2"/>
        <v>R8|FRANCISCO O. ROSAS|GUADALAJARA PARK</v>
      </c>
    </row>
    <row r="78" spans="1:66" hidden="1">
      <c r="A78" s="8" t="s">
        <v>123</v>
      </c>
      <c r="B78" s="6" t="s">
        <v>128</v>
      </c>
      <c r="C78" s="6" t="s">
        <v>129</v>
      </c>
      <c r="D78" s="5" t="s">
        <v>552</v>
      </c>
      <c r="E78" s="5"/>
      <c r="F78" s="5" t="s">
        <v>300</v>
      </c>
      <c r="G78" s="5" t="s">
        <v>319</v>
      </c>
      <c r="H78" s="5" t="s">
        <v>295</v>
      </c>
      <c r="I78" s="5" t="s">
        <v>553</v>
      </c>
      <c r="J78" s="23" t="s">
        <v>295</v>
      </c>
      <c r="K78" s="5" t="s">
        <v>534</v>
      </c>
      <c r="L78" s="5" t="s">
        <v>373</v>
      </c>
      <c r="M78" s="5" t="s">
        <v>261</v>
      </c>
      <c r="N78" s="5"/>
      <c r="O78" s="5"/>
      <c r="P78" s="13"/>
      <c r="Q78" s="13"/>
      <c r="R78" s="5" t="s">
        <v>341</v>
      </c>
      <c r="S78" s="5" t="s">
        <v>417</v>
      </c>
      <c r="T78" s="5" t="s">
        <v>346</v>
      </c>
      <c r="U78" s="5" t="s">
        <v>316</v>
      </c>
      <c r="V78" s="5" t="s">
        <v>304</v>
      </c>
      <c r="W78" s="5" t="s">
        <v>259</v>
      </c>
      <c r="X78" s="5" t="s">
        <v>218</v>
      </c>
      <c r="Y78" s="5" t="s">
        <v>222</v>
      </c>
      <c r="Z78" s="5" t="s">
        <v>300</v>
      </c>
      <c r="AA78" s="5" t="s">
        <v>220</v>
      </c>
      <c r="AB78" s="5"/>
      <c r="AC78" s="5"/>
      <c r="AD78" s="13"/>
      <c r="AE78" s="13"/>
      <c r="AF78" s="5" t="s">
        <v>332</v>
      </c>
      <c r="AG78" s="5" t="s">
        <v>215</v>
      </c>
      <c r="AH78" s="5" t="s">
        <v>237</v>
      </c>
      <c r="AI78" s="5" t="s">
        <v>303</v>
      </c>
      <c r="AJ78" s="5" t="s">
        <v>302</v>
      </c>
      <c r="AK78" s="5"/>
      <c r="AL78" s="5" t="s">
        <v>251</v>
      </c>
      <c r="AM78" s="5" t="s">
        <v>225</v>
      </c>
      <c r="AN78" s="5" t="s">
        <v>473</v>
      </c>
      <c r="AO78" s="5" t="s">
        <v>277</v>
      </c>
      <c r="AP78" s="5"/>
      <c r="AQ78" s="5"/>
      <c r="AR78" s="13"/>
      <c r="AS78" s="13"/>
      <c r="AT78" s="5" t="s">
        <v>292</v>
      </c>
      <c r="AU78" s="5" t="s">
        <v>289</v>
      </c>
      <c r="AV78" s="5" t="s">
        <v>335</v>
      </c>
      <c r="AW78" s="5" t="s">
        <v>310</v>
      </c>
      <c r="AX78" s="5"/>
      <c r="AY78" s="5"/>
      <c r="AZ78" s="13"/>
      <c r="BA78" s="13"/>
      <c r="BB78" s="5" t="s">
        <v>475</v>
      </c>
      <c r="BC78" s="5" t="s">
        <v>366</v>
      </c>
      <c r="BD78" s="10"/>
      <c r="BE78" s="10"/>
      <c r="BF78" s="12"/>
      <c r="BG78" s="12"/>
      <c r="BH78" s="10">
        <v>0.37361111111111112</v>
      </c>
      <c r="BI78" s="10">
        <v>0.17291666666666666</v>
      </c>
      <c r="BJ78" s="10">
        <v>0.38333333333333336</v>
      </c>
      <c r="BK78" s="10">
        <v>0.17430555555555555</v>
      </c>
      <c r="BL78" s="10"/>
      <c r="BM78" s="10"/>
      <c r="BN78" t="str">
        <f t="shared" si="2"/>
        <v>R8|GUILLERMO ROCHA|EL SALTO PARK</v>
      </c>
    </row>
    <row r="79" spans="1:66" hidden="1">
      <c r="A79" s="8" t="s">
        <v>123</v>
      </c>
      <c r="B79" s="6" t="s">
        <v>130</v>
      </c>
      <c r="C79" s="6" t="s">
        <v>131</v>
      </c>
      <c r="D79" s="5" t="s">
        <v>202</v>
      </c>
      <c r="E79" s="5" t="s">
        <v>215</v>
      </c>
      <c r="F79" s="5" t="s">
        <v>343</v>
      </c>
      <c r="G79" s="5" t="s">
        <v>217</v>
      </c>
      <c r="H79" s="5" t="s">
        <v>208</v>
      </c>
      <c r="I79" s="5" t="s">
        <v>513</v>
      </c>
      <c r="J79" s="23" t="s">
        <v>343</v>
      </c>
      <c r="K79" s="5" t="s">
        <v>554</v>
      </c>
      <c r="L79" s="5" t="s">
        <v>295</v>
      </c>
      <c r="M79" s="5" t="s">
        <v>417</v>
      </c>
      <c r="N79" s="5"/>
      <c r="O79" s="5"/>
      <c r="P79" s="13"/>
      <c r="Q79" s="13"/>
      <c r="R79" s="5" t="s">
        <v>252</v>
      </c>
      <c r="S79" s="5" t="s">
        <v>429</v>
      </c>
      <c r="T79" s="5" t="s">
        <v>470</v>
      </c>
      <c r="U79" s="5"/>
      <c r="V79" s="5" t="s">
        <v>334</v>
      </c>
      <c r="W79" s="5" t="s">
        <v>514</v>
      </c>
      <c r="X79" s="5" t="s">
        <v>307</v>
      </c>
      <c r="Y79" s="5"/>
      <c r="Z79" s="5" t="s">
        <v>238</v>
      </c>
      <c r="AA79" s="5" t="s">
        <v>555</v>
      </c>
      <c r="AB79" s="5"/>
      <c r="AC79" s="5"/>
      <c r="AD79" s="13"/>
      <c r="AE79" s="13"/>
      <c r="AF79" s="5" t="s">
        <v>224</v>
      </c>
      <c r="AG79" s="5" t="s">
        <v>556</v>
      </c>
      <c r="AH79" s="5" t="s">
        <v>263</v>
      </c>
      <c r="AI79" s="5"/>
      <c r="AJ79" s="5" t="s">
        <v>475</v>
      </c>
      <c r="AK79" s="5"/>
      <c r="AL79" s="5" t="s">
        <v>248</v>
      </c>
      <c r="AM79" s="5" t="s">
        <v>557</v>
      </c>
      <c r="AN79" s="5" t="s">
        <v>214</v>
      </c>
      <c r="AO79" s="5"/>
      <c r="AP79" s="5"/>
      <c r="AQ79" s="5"/>
      <c r="AR79" s="13"/>
      <c r="AS79" s="13"/>
      <c r="AT79" s="5" t="s">
        <v>332</v>
      </c>
      <c r="AU79" s="5" t="s">
        <v>558</v>
      </c>
      <c r="AV79" s="5" t="s">
        <v>208</v>
      </c>
      <c r="AW79" s="5" t="s">
        <v>559</v>
      </c>
      <c r="AX79" s="5"/>
      <c r="AY79" s="5"/>
      <c r="AZ79" s="13"/>
      <c r="BA79" s="13"/>
      <c r="BB79" s="5" t="s">
        <v>237</v>
      </c>
      <c r="BC79" s="5"/>
      <c r="BD79" s="10"/>
      <c r="BE79" s="10"/>
      <c r="BF79" s="12"/>
      <c r="BG79" s="12"/>
      <c r="BH79" s="10">
        <v>0.35347222222222219</v>
      </c>
      <c r="BI79" s="10">
        <v>0.17847222222222223</v>
      </c>
      <c r="BJ79" s="10">
        <v>0.36388888888888887</v>
      </c>
      <c r="BK79" s="10">
        <v>0.16944444444444445</v>
      </c>
      <c r="BL79" s="10"/>
      <c r="BM79" s="10"/>
      <c r="BN79" t="str">
        <f t="shared" si="2"/>
        <v>R8|F. TONATIUH CARDENAS|EL SALTO  PARK III</v>
      </c>
    </row>
    <row r="80" spans="1:66" hidden="1">
      <c r="A80" s="8" t="s">
        <v>123</v>
      </c>
      <c r="B80" s="6" t="s">
        <v>132</v>
      </c>
      <c r="C80" s="6" t="s">
        <v>133</v>
      </c>
      <c r="D80" s="5"/>
      <c r="E80" s="5"/>
      <c r="F80" s="5"/>
      <c r="G80" s="5"/>
      <c r="H80" s="5"/>
      <c r="I80" s="5"/>
      <c r="J80" s="23"/>
      <c r="K80" s="5"/>
      <c r="L80" s="5"/>
      <c r="M80" s="5"/>
      <c r="N80" s="5"/>
      <c r="O80" s="5"/>
      <c r="P80" s="13"/>
      <c r="Q80" s="13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13"/>
      <c r="AE80" s="13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13"/>
      <c r="AS80" s="13"/>
      <c r="AT80" s="5"/>
      <c r="AU80" s="5"/>
      <c r="AV80" s="5"/>
      <c r="AW80" s="5"/>
      <c r="AX80" s="5"/>
      <c r="AY80" s="5"/>
      <c r="AZ80" s="13"/>
      <c r="BA80" s="13"/>
      <c r="BB80" s="5"/>
      <c r="BC80" s="5"/>
      <c r="BD80" s="10">
        <v>0.37361111111111112</v>
      </c>
      <c r="BE80" s="10">
        <v>0.52152777777777781</v>
      </c>
      <c r="BF80" s="12"/>
      <c r="BG80" s="12"/>
      <c r="BH80" s="10">
        <v>0.37916666666666671</v>
      </c>
      <c r="BI80" s="10">
        <v>0.13055555555555556</v>
      </c>
      <c r="BJ80" s="10">
        <v>0.34791666666666665</v>
      </c>
      <c r="BK80" s="10">
        <v>0.16319444444444445</v>
      </c>
      <c r="BL80" s="10">
        <v>0.37430555555555556</v>
      </c>
      <c r="BM80" s="10"/>
      <c r="BN80" t="str">
        <f t="shared" si="2"/>
        <v>R8|BRENDA F. MENDOZA|PARQUE INDUSTRIAL TECNOLÓGICO III (PIT III)</v>
      </c>
    </row>
    <row r="81" spans="1:66" hidden="1">
      <c r="A81" s="8" t="s">
        <v>134</v>
      </c>
      <c r="B81" s="6" t="s">
        <v>135</v>
      </c>
      <c r="C81" s="6" t="s">
        <v>136</v>
      </c>
      <c r="D81" s="5" t="s">
        <v>343</v>
      </c>
      <c r="E81" s="5" t="s">
        <v>383</v>
      </c>
      <c r="F81" s="5" t="s">
        <v>278</v>
      </c>
      <c r="G81" s="5" t="s">
        <v>432</v>
      </c>
      <c r="H81" s="5" t="s">
        <v>205</v>
      </c>
      <c r="I81" s="5" t="s">
        <v>387</v>
      </c>
      <c r="J81" s="23" t="s">
        <v>250</v>
      </c>
      <c r="K81" s="5" t="s">
        <v>311</v>
      </c>
      <c r="L81" s="5" t="s">
        <v>242</v>
      </c>
      <c r="M81" s="5" t="s">
        <v>365</v>
      </c>
      <c r="N81" s="5"/>
      <c r="O81" s="5"/>
      <c r="P81" s="13"/>
      <c r="Q81" s="13"/>
      <c r="R81" s="5" t="s">
        <v>238</v>
      </c>
      <c r="S81" s="5" t="s">
        <v>387</v>
      </c>
      <c r="T81" s="5" t="s">
        <v>376</v>
      </c>
      <c r="U81" s="5" t="s">
        <v>313</v>
      </c>
      <c r="V81" s="5" t="s">
        <v>250</v>
      </c>
      <c r="W81" s="5" t="s">
        <v>321</v>
      </c>
      <c r="X81" s="5" t="s">
        <v>288</v>
      </c>
      <c r="Y81" s="5" t="s">
        <v>303</v>
      </c>
      <c r="Z81" s="5" t="s">
        <v>244</v>
      </c>
      <c r="AA81" s="5" t="s">
        <v>560</v>
      </c>
      <c r="AB81" s="5"/>
      <c r="AC81" s="5"/>
      <c r="AD81" s="13"/>
      <c r="AE81" s="13"/>
      <c r="AF81" s="5" t="s">
        <v>219</v>
      </c>
      <c r="AG81" s="5" t="s">
        <v>318</v>
      </c>
      <c r="AH81" s="5" t="s">
        <v>238</v>
      </c>
      <c r="AI81" s="5" t="s">
        <v>317</v>
      </c>
      <c r="AJ81" s="5" t="s">
        <v>561</v>
      </c>
      <c r="AK81" s="5" t="s">
        <v>315</v>
      </c>
      <c r="AL81" s="5" t="s">
        <v>235</v>
      </c>
      <c r="AM81" s="5" t="s">
        <v>372</v>
      </c>
      <c r="AN81" s="5" t="s">
        <v>440</v>
      </c>
      <c r="AO81" s="5"/>
      <c r="AP81" s="5"/>
      <c r="AQ81" s="5"/>
      <c r="AR81" s="13"/>
      <c r="AS81" s="13"/>
      <c r="AT81" s="5" t="s">
        <v>288</v>
      </c>
      <c r="AU81" s="5" t="s">
        <v>562</v>
      </c>
      <c r="AV81" s="5" t="s">
        <v>224</v>
      </c>
      <c r="AW81" s="5"/>
      <c r="AX81" s="5"/>
      <c r="AY81" s="5"/>
      <c r="AZ81" s="13"/>
      <c r="BA81" s="13"/>
      <c r="BB81" s="5" t="s">
        <v>204</v>
      </c>
      <c r="BC81" s="5" t="s">
        <v>338</v>
      </c>
      <c r="BD81" s="10"/>
      <c r="BE81" s="10"/>
      <c r="BF81" s="12"/>
      <c r="BG81" s="12"/>
      <c r="BH81" s="10">
        <v>0.34097222222222218</v>
      </c>
      <c r="BI81" s="10"/>
      <c r="BJ81" s="10">
        <v>0.34236111111111112</v>
      </c>
      <c r="BK81" s="10"/>
      <c r="BL81" s="10"/>
      <c r="BM81" s="10"/>
      <c r="BN81" t="str">
        <f t="shared" si="2"/>
        <v>R9|RUBEN FLORES|MONTERREY PARK I</v>
      </c>
    </row>
    <row r="82" spans="1:66" hidden="1">
      <c r="A82" s="8" t="s">
        <v>134</v>
      </c>
      <c r="B82" s="6" t="s">
        <v>135</v>
      </c>
      <c r="C82" s="6" t="s">
        <v>137</v>
      </c>
      <c r="D82" s="5" t="s">
        <v>343</v>
      </c>
      <c r="E82" s="5" t="s">
        <v>383</v>
      </c>
      <c r="F82" s="5" t="s">
        <v>278</v>
      </c>
      <c r="G82" s="5" t="s">
        <v>432</v>
      </c>
      <c r="H82" s="5" t="s">
        <v>205</v>
      </c>
      <c r="I82" s="5" t="s">
        <v>387</v>
      </c>
      <c r="J82" s="23" t="s">
        <v>250</v>
      </c>
      <c r="K82" s="5" t="s">
        <v>311</v>
      </c>
      <c r="L82" s="5" t="s">
        <v>242</v>
      </c>
      <c r="M82" s="5" t="s">
        <v>365</v>
      </c>
      <c r="N82" s="5"/>
      <c r="O82" s="5"/>
      <c r="P82" s="13"/>
      <c r="Q82" s="13"/>
      <c r="R82" s="5" t="s">
        <v>238</v>
      </c>
      <c r="S82" s="5" t="s">
        <v>387</v>
      </c>
      <c r="T82" s="5" t="s">
        <v>376</v>
      </c>
      <c r="U82" s="5" t="s">
        <v>313</v>
      </c>
      <c r="V82" s="5" t="s">
        <v>250</v>
      </c>
      <c r="W82" s="5" t="s">
        <v>321</v>
      </c>
      <c r="X82" s="5" t="s">
        <v>288</v>
      </c>
      <c r="Y82" s="5" t="s">
        <v>303</v>
      </c>
      <c r="Z82" s="5" t="s">
        <v>244</v>
      </c>
      <c r="AA82" s="5" t="s">
        <v>560</v>
      </c>
      <c r="AB82" s="5"/>
      <c r="AC82" s="5"/>
      <c r="AD82" s="13"/>
      <c r="AE82" s="13"/>
      <c r="AF82" s="5" t="s">
        <v>219</v>
      </c>
      <c r="AG82" s="5" t="s">
        <v>318</v>
      </c>
      <c r="AH82" s="5" t="s">
        <v>238</v>
      </c>
      <c r="AI82" s="5" t="s">
        <v>317</v>
      </c>
      <c r="AJ82" s="5" t="s">
        <v>561</v>
      </c>
      <c r="AK82" s="5" t="s">
        <v>315</v>
      </c>
      <c r="AL82" s="5" t="s">
        <v>235</v>
      </c>
      <c r="AM82" s="5" t="s">
        <v>372</v>
      </c>
      <c r="AN82" s="5" t="s">
        <v>435</v>
      </c>
      <c r="AO82" s="5"/>
      <c r="AP82" s="5"/>
      <c r="AQ82" s="5"/>
      <c r="AR82" s="13"/>
      <c r="AS82" s="13"/>
      <c r="AT82" s="5"/>
      <c r="AU82" s="5"/>
      <c r="AV82" s="5" t="s">
        <v>563</v>
      </c>
      <c r="AW82" s="5"/>
      <c r="AX82" s="5"/>
      <c r="AY82" s="5"/>
      <c r="AZ82" s="13"/>
      <c r="BA82" s="13"/>
      <c r="BB82" s="5" t="s">
        <v>480</v>
      </c>
      <c r="BC82" s="5"/>
      <c r="BD82" s="10"/>
      <c r="BE82" s="10"/>
      <c r="BF82" s="12"/>
      <c r="BG82" s="12"/>
      <c r="BH82" s="10"/>
      <c r="BI82" s="10">
        <v>0.1222222222222222</v>
      </c>
      <c r="BJ82" s="10"/>
      <c r="BK82" s="10">
        <v>0.13125000000000001</v>
      </c>
      <c r="BL82" s="10"/>
      <c r="BM82" s="10"/>
      <c r="BN82" t="str">
        <f t="shared" si="2"/>
        <v>R9|RUBEN FLORES|TECNOCENTRO I</v>
      </c>
    </row>
    <row r="83" spans="1:66" hidden="1">
      <c r="A83" s="8" t="s">
        <v>134</v>
      </c>
      <c r="B83" s="6" t="s">
        <v>135</v>
      </c>
      <c r="C83" s="6" t="s">
        <v>138</v>
      </c>
      <c r="D83" s="5" t="s">
        <v>343</v>
      </c>
      <c r="E83" s="5" t="s">
        <v>383</v>
      </c>
      <c r="F83" s="5" t="s">
        <v>278</v>
      </c>
      <c r="G83" s="5" t="s">
        <v>432</v>
      </c>
      <c r="H83" s="5" t="s">
        <v>205</v>
      </c>
      <c r="I83" s="5" t="s">
        <v>387</v>
      </c>
      <c r="J83" s="23" t="s">
        <v>250</v>
      </c>
      <c r="K83" s="5" t="s">
        <v>311</v>
      </c>
      <c r="L83" s="5" t="s">
        <v>242</v>
      </c>
      <c r="M83" s="5" t="s">
        <v>365</v>
      </c>
      <c r="N83" s="5"/>
      <c r="O83" s="5"/>
      <c r="P83" s="13"/>
      <c r="Q83" s="13"/>
      <c r="R83" s="5" t="s">
        <v>238</v>
      </c>
      <c r="S83" s="5" t="s">
        <v>387</v>
      </c>
      <c r="T83" s="5" t="s">
        <v>376</v>
      </c>
      <c r="U83" s="5" t="s">
        <v>313</v>
      </c>
      <c r="V83" s="5" t="s">
        <v>250</v>
      </c>
      <c r="W83" s="5" t="s">
        <v>321</v>
      </c>
      <c r="X83" s="5" t="s">
        <v>288</v>
      </c>
      <c r="Y83" s="5" t="s">
        <v>303</v>
      </c>
      <c r="Z83" s="5" t="s">
        <v>244</v>
      </c>
      <c r="AA83" s="5" t="s">
        <v>560</v>
      </c>
      <c r="AB83" s="5"/>
      <c r="AC83" s="5"/>
      <c r="AD83" s="13"/>
      <c r="AE83" s="13"/>
      <c r="AF83" s="5" t="s">
        <v>219</v>
      </c>
      <c r="AG83" s="5" t="s">
        <v>318</v>
      </c>
      <c r="AH83" s="5" t="s">
        <v>238</v>
      </c>
      <c r="AI83" s="5" t="s">
        <v>317</v>
      </c>
      <c r="AJ83" s="5" t="s">
        <v>561</v>
      </c>
      <c r="AK83" s="5" t="s">
        <v>315</v>
      </c>
      <c r="AL83" s="5" t="s">
        <v>235</v>
      </c>
      <c r="AM83" s="5" t="s">
        <v>372</v>
      </c>
      <c r="AN83" s="5"/>
      <c r="AO83" s="5"/>
      <c r="AP83" s="5"/>
      <c r="AQ83" s="5"/>
      <c r="AR83" s="13"/>
      <c r="AS83" s="13"/>
      <c r="AT83" s="5"/>
      <c r="AU83" s="5"/>
      <c r="AV83" s="5"/>
      <c r="AW83" s="5"/>
      <c r="AX83" s="5"/>
      <c r="AY83" s="5"/>
      <c r="AZ83" s="13"/>
      <c r="BA83" s="13"/>
      <c r="BB83" s="5"/>
      <c r="BC83" s="5"/>
      <c r="BD83" s="10"/>
      <c r="BE83" s="10"/>
      <c r="BF83" s="12"/>
      <c r="BG83" s="12"/>
      <c r="BH83" s="10"/>
      <c r="BI83" s="10"/>
      <c r="BJ83" s="10"/>
      <c r="BK83" s="10"/>
      <c r="BL83" s="10"/>
      <c r="BM83" s="10"/>
      <c r="BN83" t="str">
        <f t="shared" si="2"/>
        <v>R9|RUBEN FLORES|TECNOCENTRO II</v>
      </c>
    </row>
    <row r="84" spans="1:66" hidden="1">
      <c r="A84" s="8" t="s">
        <v>134</v>
      </c>
      <c r="B84" s="6" t="s">
        <v>135</v>
      </c>
      <c r="C84" s="6" t="s">
        <v>139</v>
      </c>
      <c r="D84" s="5" t="s">
        <v>343</v>
      </c>
      <c r="E84" s="5" t="s">
        <v>383</v>
      </c>
      <c r="F84" s="5" t="s">
        <v>278</v>
      </c>
      <c r="G84" s="5" t="s">
        <v>432</v>
      </c>
      <c r="H84" s="5" t="s">
        <v>205</v>
      </c>
      <c r="I84" s="5" t="s">
        <v>387</v>
      </c>
      <c r="J84" s="23" t="s">
        <v>250</v>
      </c>
      <c r="K84" s="5" t="s">
        <v>311</v>
      </c>
      <c r="L84" s="5" t="s">
        <v>242</v>
      </c>
      <c r="M84" s="5" t="s">
        <v>365</v>
      </c>
      <c r="N84" s="5"/>
      <c r="O84" s="5"/>
      <c r="P84" s="13"/>
      <c r="Q84" s="13"/>
      <c r="R84" s="5" t="s">
        <v>238</v>
      </c>
      <c r="S84" s="5" t="s">
        <v>387</v>
      </c>
      <c r="T84" s="5" t="s">
        <v>376</v>
      </c>
      <c r="U84" s="5" t="s">
        <v>313</v>
      </c>
      <c r="V84" s="5" t="s">
        <v>250</v>
      </c>
      <c r="W84" s="5" t="s">
        <v>321</v>
      </c>
      <c r="X84" s="5" t="s">
        <v>288</v>
      </c>
      <c r="Y84" s="5" t="s">
        <v>303</v>
      </c>
      <c r="Z84" s="5" t="s">
        <v>244</v>
      </c>
      <c r="AA84" s="5" t="s">
        <v>560</v>
      </c>
      <c r="AB84" s="5"/>
      <c r="AC84" s="5"/>
      <c r="AD84" s="13"/>
      <c r="AE84" s="13"/>
      <c r="AF84" s="5" t="s">
        <v>219</v>
      </c>
      <c r="AG84" s="5" t="s">
        <v>318</v>
      </c>
      <c r="AH84" s="5" t="s">
        <v>238</v>
      </c>
      <c r="AI84" s="5" t="s">
        <v>317</v>
      </c>
      <c r="AJ84" s="5" t="s">
        <v>561</v>
      </c>
      <c r="AK84" s="5" t="s">
        <v>315</v>
      </c>
      <c r="AL84" s="5" t="s">
        <v>235</v>
      </c>
      <c r="AM84" s="5" t="s">
        <v>372</v>
      </c>
      <c r="AN84" s="5"/>
      <c r="AO84" s="5"/>
      <c r="AP84" s="5"/>
      <c r="AQ84" s="5"/>
      <c r="AR84" s="13"/>
      <c r="AS84" s="13"/>
      <c r="AT84" s="5"/>
      <c r="AU84" s="5"/>
      <c r="AV84" s="5"/>
      <c r="AW84" s="5"/>
      <c r="AX84" s="5"/>
      <c r="AY84" s="5"/>
      <c r="AZ84" s="13"/>
      <c r="BA84" s="13"/>
      <c r="BB84" s="5"/>
      <c r="BC84" s="5"/>
      <c r="BD84" s="10"/>
      <c r="BE84" s="10"/>
      <c r="BF84" s="12"/>
      <c r="BG84" s="12"/>
      <c r="BH84" s="10"/>
      <c r="BI84" s="10"/>
      <c r="BJ84" s="10"/>
      <c r="BK84" s="10"/>
      <c r="BL84" s="10"/>
      <c r="BM84" s="10"/>
      <c r="BN84" t="str">
        <f t="shared" si="2"/>
        <v>R9|RUBEN FLORES|TECNOCENTRO III</v>
      </c>
    </row>
    <row r="85" spans="1:66" hidden="1">
      <c r="A85" s="8" t="s">
        <v>134</v>
      </c>
      <c r="B85" s="6" t="s">
        <v>135</v>
      </c>
      <c r="C85" s="6" t="s">
        <v>140</v>
      </c>
      <c r="D85" s="5" t="s">
        <v>343</v>
      </c>
      <c r="E85" s="5" t="s">
        <v>383</v>
      </c>
      <c r="F85" s="5" t="s">
        <v>278</v>
      </c>
      <c r="G85" s="5" t="s">
        <v>432</v>
      </c>
      <c r="H85" s="5" t="s">
        <v>205</v>
      </c>
      <c r="I85" s="5" t="s">
        <v>387</v>
      </c>
      <c r="J85" s="23" t="s">
        <v>250</v>
      </c>
      <c r="K85" s="5" t="s">
        <v>311</v>
      </c>
      <c r="L85" s="5" t="s">
        <v>242</v>
      </c>
      <c r="M85" s="5" t="s">
        <v>365</v>
      </c>
      <c r="N85" s="5"/>
      <c r="O85" s="5"/>
      <c r="P85" s="13"/>
      <c r="Q85" s="13"/>
      <c r="R85" s="5" t="s">
        <v>238</v>
      </c>
      <c r="S85" s="5" t="s">
        <v>387</v>
      </c>
      <c r="T85" s="5" t="s">
        <v>376</v>
      </c>
      <c r="U85" s="5" t="s">
        <v>313</v>
      </c>
      <c r="V85" s="5" t="s">
        <v>250</v>
      </c>
      <c r="W85" s="5" t="s">
        <v>321</v>
      </c>
      <c r="X85" s="5" t="s">
        <v>288</v>
      </c>
      <c r="Y85" s="5" t="s">
        <v>303</v>
      </c>
      <c r="Z85" s="5" t="s">
        <v>244</v>
      </c>
      <c r="AA85" s="5" t="s">
        <v>560</v>
      </c>
      <c r="AB85" s="5"/>
      <c r="AC85" s="5"/>
      <c r="AD85" s="13"/>
      <c r="AE85" s="13"/>
      <c r="AF85" s="5" t="s">
        <v>219</v>
      </c>
      <c r="AG85" s="5" t="s">
        <v>318</v>
      </c>
      <c r="AH85" s="5" t="s">
        <v>238</v>
      </c>
      <c r="AI85" s="5" t="s">
        <v>317</v>
      </c>
      <c r="AJ85" s="5" t="s">
        <v>561</v>
      </c>
      <c r="AK85" s="5" t="s">
        <v>315</v>
      </c>
      <c r="AL85" s="5" t="s">
        <v>235</v>
      </c>
      <c r="AM85" s="5" t="s">
        <v>372</v>
      </c>
      <c r="AN85" s="5"/>
      <c r="AO85" s="5"/>
      <c r="AP85" s="5"/>
      <c r="AQ85" s="5"/>
      <c r="AR85" s="13"/>
      <c r="AS85" s="13"/>
      <c r="AT85" s="5"/>
      <c r="AU85" s="5"/>
      <c r="AV85" s="5"/>
      <c r="AW85" s="5"/>
      <c r="AX85" s="5"/>
      <c r="AY85" s="5"/>
      <c r="AZ85" s="13"/>
      <c r="BA85" s="13"/>
      <c r="BB85" s="5"/>
      <c r="BC85" s="5"/>
      <c r="BD85" s="10"/>
      <c r="BE85" s="10"/>
      <c r="BF85" s="12"/>
      <c r="BG85" s="12"/>
      <c r="BH85" s="10"/>
      <c r="BI85" s="10"/>
      <c r="BJ85" s="10"/>
      <c r="BK85" s="10"/>
      <c r="BL85" s="10"/>
      <c r="BM85" s="10"/>
      <c r="BN85" t="str">
        <f t="shared" si="2"/>
        <v>R9|RUBEN FLORES|TECNOCENTRO IV</v>
      </c>
    </row>
    <row r="86" spans="1:66" hidden="1">
      <c r="A86" s="8" t="s">
        <v>134</v>
      </c>
      <c r="B86" s="6" t="s">
        <v>141</v>
      </c>
      <c r="C86" s="6" t="s">
        <v>142</v>
      </c>
      <c r="D86" s="5" t="s">
        <v>307</v>
      </c>
      <c r="E86" s="5" t="s">
        <v>387</v>
      </c>
      <c r="F86" s="5" t="s">
        <v>246</v>
      </c>
      <c r="G86" s="5" t="s">
        <v>432</v>
      </c>
      <c r="H86" s="5" t="s">
        <v>341</v>
      </c>
      <c r="I86" s="5" t="s">
        <v>564</v>
      </c>
      <c r="J86" s="23" t="s">
        <v>268</v>
      </c>
      <c r="K86" s="5" t="s">
        <v>319</v>
      </c>
      <c r="L86" s="5" t="s">
        <v>341</v>
      </c>
      <c r="M86" s="5" t="s">
        <v>212</v>
      </c>
      <c r="N86" s="5"/>
      <c r="O86" s="5"/>
      <c r="P86" s="13"/>
      <c r="Q86" s="13"/>
      <c r="R86" s="5" t="s">
        <v>341</v>
      </c>
      <c r="S86" s="5" t="s">
        <v>234</v>
      </c>
      <c r="T86" s="5" t="s">
        <v>373</v>
      </c>
      <c r="U86" s="5" t="s">
        <v>389</v>
      </c>
      <c r="V86" s="5" t="s">
        <v>299</v>
      </c>
      <c r="W86" s="5" t="s">
        <v>215</v>
      </c>
      <c r="X86" s="5" t="s">
        <v>536</v>
      </c>
      <c r="Y86" s="5" t="s">
        <v>209</v>
      </c>
      <c r="Z86" s="5" t="s">
        <v>275</v>
      </c>
      <c r="AA86" s="5" t="s">
        <v>203</v>
      </c>
      <c r="AB86" s="5" t="s">
        <v>275</v>
      </c>
      <c r="AC86" s="5"/>
      <c r="AD86" s="13"/>
      <c r="AE86" s="13"/>
      <c r="AF86" s="5" t="s">
        <v>395</v>
      </c>
      <c r="AG86" s="5"/>
      <c r="AH86" s="5" t="s">
        <v>501</v>
      </c>
      <c r="AI86" s="5"/>
      <c r="AJ86" s="5" t="s">
        <v>501</v>
      </c>
      <c r="AK86" s="5" t="s">
        <v>225</v>
      </c>
      <c r="AL86" s="5" t="s">
        <v>202</v>
      </c>
      <c r="AM86" s="5" t="s">
        <v>351</v>
      </c>
      <c r="AN86" s="5" t="s">
        <v>353</v>
      </c>
      <c r="AO86" s="5" t="s">
        <v>258</v>
      </c>
      <c r="AP86" s="5"/>
      <c r="AQ86" s="5"/>
      <c r="AR86" s="13"/>
      <c r="AS86" s="13"/>
      <c r="AT86" s="5" t="s">
        <v>512</v>
      </c>
      <c r="AU86" s="5"/>
      <c r="AV86" s="5" t="s">
        <v>477</v>
      </c>
      <c r="AW86" s="5"/>
      <c r="AX86" s="5"/>
      <c r="AY86" s="5"/>
      <c r="AZ86" s="13"/>
      <c r="BA86" s="13"/>
      <c r="BB86" s="5" t="s">
        <v>336</v>
      </c>
      <c r="BC86" s="5" t="s">
        <v>565</v>
      </c>
      <c r="BD86" s="10"/>
      <c r="BE86" s="10"/>
      <c r="BF86" s="12"/>
      <c r="BG86" s="12"/>
      <c r="BH86" s="10">
        <v>0.40069444444444452</v>
      </c>
      <c r="BI86" s="10">
        <v>0.18819444444444444</v>
      </c>
      <c r="BJ86" s="10">
        <v>0.41041666666666665</v>
      </c>
      <c r="BK86" s="10">
        <v>0.18819444444444444</v>
      </c>
      <c r="BL86" s="10"/>
      <c r="BM86" s="10"/>
      <c r="BN86" t="str">
        <f t="shared" si="2"/>
        <v>R9|GUILLERMO ROMO CASTILLO|MBP</v>
      </c>
    </row>
    <row r="87" spans="1:66" hidden="1">
      <c r="A87" s="8" t="s">
        <v>134</v>
      </c>
      <c r="B87" s="6" t="s">
        <v>141</v>
      </c>
      <c r="C87" s="6" t="s">
        <v>143</v>
      </c>
      <c r="D87" s="5"/>
      <c r="E87" s="5"/>
      <c r="F87" s="5"/>
      <c r="G87" s="5"/>
      <c r="H87" s="5"/>
      <c r="I87" s="5"/>
      <c r="J87" s="23"/>
      <c r="K87" s="5"/>
      <c r="L87" s="5"/>
      <c r="M87" s="5"/>
      <c r="N87" s="5"/>
      <c r="O87" s="5"/>
      <c r="P87" s="13"/>
      <c r="Q87" s="13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13"/>
      <c r="AE87" s="13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13"/>
      <c r="AS87" s="13"/>
      <c r="AT87" s="5"/>
      <c r="AU87" s="5"/>
      <c r="AV87" s="5"/>
      <c r="AW87" s="5"/>
      <c r="AX87" s="5"/>
      <c r="AY87" s="5"/>
      <c r="AZ87" s="13"/>
      <c r="BA87" s="13"/>
      <c r="BB87" s="5"/>
      <c r="BC87" s="5"/>
      <c r="BD87" s="10"/>
      <c r="BE87" s="10"/>
      <c r="BF87" s="12"/>
      <c r="BG87" s="12"/>
      <c r="BH87" s="10"/>
      <c r="BI87" s="10"/>
      <c r="BJ87" s="10"/>
      <c r="BK87" s="10"/>
      <c r="BL87" s="10"/>
      <c r="BM87" s="10"/>
      <c r="BN87" t="str">
        <f t="shared" si="2"/>
        <v>R9|GUILLERMO ROMO CASTILLO|GUADALAPE</v>
      </c>
    </row>
    <row r="88" spans="1:66" hidden="1">
      <c r="A88" s="8" t="s">
        <v>134</v>
      </c>
      <c r="B88" s="6" t="s">
        <v>141</v>
      </c>
      <c r="C88" s="6" t="s">
        <v>144</v>
      </c>
      <c r="D88" s="5"/>
      <c r="E88" s="5"/>
      <c r="F88" s="5"/>
      <c r="G88" s="5"/>
      <c r="H88" s="5"/>
      <c r="I88" s="5"/>
      <c r="J88" s="23"/>
      <c r="K88" s="5"/>
      <c r="L88" s="5"/>
      <c r="M88" s="5"/>
      <c r="N88" s="5"/>
      <c r="O88" s="5"/>
      <c r="P88" s="13"/>
      <c r="Q88" s="13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13"/>
      <c r="AE88" s="13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13"/>
      <c r="AS88" s="13"/>
      <c r="AT88" s="5"/>
      <c r="AU88" s="5"/>
      <c r="AV88" s="5"/>
      <c r="AW88" s="5"/>
      <c r="AX88" s="5"/>
      <c r="AY88" s="5"/>
      <c r="AZ88" s="13"/>
      <c r="BA88" s="13"/>
      <c r="BB88" s="5"/>
      <c r="BC88" s="5"/>
      <c r="BD88" s="10"/>
      <c r="BE88" s="10"/>
      <c r="BF88" s="12"/>
      <c r="BG88" s="12"/>
      <c r="BH88" s="10"/>
      <c r="BI88" s="10"/>
      <c r="BJ88" s="10"/>
      <c r="BK88" s="10"/>
      <c r="BL88" s="10"/>
      <c r="BM88" s="10"/>
      <c r="BN88" t="str">
        <f t="shared" si="2"/>
        <v>R9|GUILLERMO ROMO CASTILLO|KRONOS</v>
      </c>
    </row>
    <row r="89" spans="1:66" hidden="1">
      <c r="A89" s="8" t="s">
        <v>134</v>
      </c>
      <c r="B89" s="6" t="s">
        <v>145</v>
      </c>
      <c r="C89" s="6" t="s">
        <v>146</v>
      </c>
      <c r="D89" s="5" t="s">
        <v>302</v>
      </c>
      <c r="E89" s="5" t="s">
        <v>399</v>
      </c>
      <c r="F89" s="5" t="s">
        <v>226</v>
      </c>
      <c r="G89" s="5" t="s">
        <v>277</v>
      </c>
      <c r="H89" s="5" t="s">
        <v>204</v>
      </c>
      <c r="I89" s="5" t="s">
        <v>277</v>
      </c>
      <c r="J89" s="23" t="s">
        <v>228</v>
      </c>
      <c r="K89" s="5" t="s">
        <v>352</v>
      </c>
      <c r="L89" s="5" t="s">
        <v>208</v>
      </c>
      <c r="M89" s="5" t="s">
        <v>354</v>
      </c>
      <c r="N89" s="5"/>
      <c r="O89" s="5"/>
      <c r="P89" s="13"/>
      <c r="Q89" s="13"/>
      <c r="R89" s="5" t="s">
        <v>297</v>
      </c>
      <c r="S89" s="5" t="s">
        <v>261</v>
      </c>
      <c r="T89" s="5" t="s">
        <v>307</v>
      </c>
      <c r="U89" s="5" t="s">
        <v>298</v>
      </c>
      <c r="V89" s="5" t="s">
        <v>347</v>
      </c>
      <c r="W89" s="5" t="s">
        <v>264</v>
      </c>
      <c r="X89" s="5" t="s">
        <v>566</v>
      </c>
      <c r="Y89" s="5" t="s">
        <v>261</v>
      </c>
      <c r="Z89" s="5"/>
      <c r="AA89" s="5"/>
      <c r="AB89" s="5"/>
      <c r="AC89" s="5"/>
      <c r="AD89" s="13"/>
      <c r="AE89" s="13"/>
      <c r="AF89" s="5" t="s">
        <v>226</v>
      </c>
      <c r="AG89" s="5" t="s">
        <v>319</v>
      </c>
      <c r="AH89" s="5" t="s">
        <v>339</v>
      </c>
      <c r="AI89" s="5" t="s">
        <v>209</v>
      </c>
      <c r="AJ89" s="5"/>
      <c r="AK89" s="5"/>
      <c r="AL89" s="5" t="s">
        <v>413</v>
      </c>
      <c r="AM89" s="5" t="s">
        <v>256</v>
      </c>
      <c r="AN89" s="5" t="s">
        <v>297</v>
      </c>
      <c r="AO89" s="5" t="s">
        <v>234</v>
      </c>
      <c r="AP89" s="5"/>
      <c r="AQ89" s="5"/>
      <c r="AR89" s="13"/>
      <c r="AS89" s="13"/>
      <c r="AT89" s="5" t="s">
        <v>470</v>
      </c>
      <c r="AU89" s="5" t="s">
        <v>379</v>
      </c>
      <c r="AV89" s="5" t="s">
        <v>307</v>
      </c>
      <c r="AW89" s="5" t="s">
        <v>484</v>
      </c>
      <c r="AX89" s="5"/>
      <c r="AY89" s="5"/>
      <c r="AZ89" s="13"/>
      <c r="BA89" s="13"/>
      <c r="BB89" s="5" t="s">
        <v>376</v>
      </c>
      <c r="BC89" s="5" t="s">
        <v>366</v>
      </c>
      <c r="BD89" s="10"/>
      <c r="BE89" s="10"/>
      <c r="BF89" s="12"/>
      <c r="BG89" s="12"/>
      <c r="BH89" s="10"/>
      <c r="BI89" s="10"/>
      <c r="BJ89" s="10"/>
      <c r="BK89" s="10"/>
      <c r="BL89" s="10"/>
      <c r="BM89" s="10"/>
      <c r="BN89" t="str">
        <f t="shared" si="2"/>
        <v>R9|ANDREA VERGARA|MAQUIL PARK</v>
      </c>
    </row>
    <row r="90" spans="1:66" hidden="1">
      <c r="A90" s="8" t="s">
        <v>147</v>
      </c>
      <c r="B90" s="6" t="s">
        <v>148</v>
      </c>
      <c r="C90" s="6" t="s">
        <v>149</v>
      </c>
      <c r="D90" s="5" t="s">
        <v>388</v>
      </c>
      <c r="E90" s="5"/>
      <c r="F90" s="5" t="s">
        <v>400</v>
      </c>
      <c r="G90" s="5" t="s">
        <v>261</v>
      </c>
      <c r="H90" s="5" t="s">
        <v>438</v>
      </c>
      <c r="I90" s="5"/>
      <c r="J90" s="23" t="s">
        <v>567</v>
      </c>
      <c r="K90" s="5" t="s">
        <v>528</v>
      </c>
      <c r="L90" s="5"/>
      <c r="M90" s="5"/>
      <c r="N90" s="5"/>
      <c r="O90" s="5"/>
      <c r="P90" s="13"/>
      <c r="Q90" s="13"/>
      <c r="R90" s="5" t="s">
        <v>568</v>
      </c>
      <c r="S90" s="5" t="s">
        <v>495</v>
      </c>
      <c r="T90" s="5" t="s">
        <v>569</v>
      </c>
      <c r="U90" s="5" t="s">
        <v>375</v>
      </c>
      <c r="V90" s="5" t="s">
        <v>570</v>
      </c>
      <c r="W90" s="5" t="s">
        <v>432</v>
      </c>
      <c r="X90" s="5" t="s">
        <v>571</v>
      </c>
      <c r="Y90" s="5" t="s">
        <v>230</v>
      </c>
      <c r="Z90" s="5" t="s">
        <v>572</v>
      </c>
      <c r="AA90" s="5" t="s">
        <v>573</v>
      </c>
      <c r="AB90" s="5"/>
      <c r="AC90" s="5"/>
      <c r="AD90" s="13"/>
      <c r="AE90" s="13"/>
      <c r="AF90" s="5" t="s">
        <v>400</v>
      </c>
      <c r="AG90" s="5" t="s">
        <v>574</v>
      </c>
      <c r="AH90" s="5" t="s">
        <v>501</v>
      </c>
      <c r="AI90" s="5" t="s">
        <v>575</v>
      </c>
      <c r="AJ90" s="5" t="s">
        <v>386</v>
      </c>
      <c r="AK90" s="5" t="s">
        <v>401</v>
      </c>
      <c r="AL90" s="5" t="s">
        <v>204</v>
      </c>
      <c r="AM90" s="5" t="s">
        <v>333</v>
      </c>
      <c r="AN90" s="5" t="s">
        <v>576</v>
      </c>
      <c r="AO90" s="5" t="s">
        <v>311</v>
      </c>
      <c r="AP90" s="5"/>
      <c r="AQ90" s="5"/>
      <c r="AR90" s="13"/>
      <c r="AS90" s="13"/>
      <c r="AT90" s="5" t="s">
        <v>577</v>
      </c>
      <c r="AU90" s="5" t="s">
        <v>381</v>
      </c>
      <c r="AV90" s="5" t="s">
        <v>561</v>
      </c>
      <c r="AW90" s="5" t="s">
        <v>414</v>
      </c>
      <c r="AX90" s="5" t="s">
        <v>549</v>
      </c>
      <c r="AY90" s="5"/>
      <c r="AZ90" s="13"/>
      <c r="BA90" s="13"/>
      <c r="BB90" s="5" t="s">
        <v>283</v>
      </c>
      <c r="BC90" s="5" t="s">
        <v>578</v>
      </c>
      <c r="BD90" s="10"/>
      <c r="BE90" s="10"/>
      <c r="BF90" s="12"/>
      <c r="BG90" s="12"/>
      <c r="BH90" s="10">
        <v>0.33263888888888887</v>
      </c>
      <c r="BI90" s="10">
        <v>0.13055555555555556</v>
      </c>
      <c r="BJ90" s="10">
        <v>0.36666666666666664</v>
      </c>
      <c r="BK90" s="10">
        <v>0.15277777777777779</v>
      </c>
      <c r="BL90" s="10">
        <v>0.42291666666666666</v>
      </c>
      <c r="BM90" s="10"/>
      <c r="BN90" t="str">
        <f t="shared" si="2"/>
        <v>R10|PAOLA N. PERALTA|CANCÚN  PARK</v>
      </c>
    </row>
    <row r="91" spans="1:66" s="18" customFormat="1" ht="15.75" hidden="1" customHeight="1">
      <c r="A91" s="14" t="s">
        <v>150</v>
      </c>
      <c r="B91" s="15" t="s">
        <v>151</v>
      </c>
      <c r="C91" s="16" t="s">
        <v>152</v>
      </c>
      <c r="D91" s="11" t="s">
        <v>579</v>
      </c>
      <c r="E91" s="11" t="s">
        <v>579</v>
      </c>
      <c r="F91" s="11" t="s">
        <v>579</v>
      </c>
      <c r="G91" s="11" t="s">
        <v>579</v>
      </c>
      <c r="H91" s="11" t="s">
        <v>579</v>
      </c>
      <c r="I91" s="11" t="s">
        <v>579</v>
      </c>
      <c r="J91" s="24" t="s">
        <v>579</v>
      </c>
      <c r="K91" s="11" t="s">
        <v>579</v>
      </c>
      <c r="L91" s="11" t="s">
        <v>579</v>
      </c>
      <c r="M91" s="11" t="s">
        <v>579</v>
      </c>
      <c r="N91" s="11" t="s">
        <v>579</v>
      </c>
      <c r="O91" s="11" t="s">
        <v>579</v>
      </c>
      <c r="P91" s="11" t="s">
        <v>579</v>
      </c>
      <c r="Q91" s="11" t="s">
        <v>579</v>
      </c>
      <c r="R91" s="11"/>
      <c r="S91" s="11">
        <v>0.65347222222222223</v>
      </c>
      <c r="T91" s="11"/>
      <c r="U91" s="11">
        <v>0.67361111111111116</v>
      </c>
      <c r="V91" s="11">
        <v>0.36180555555555555</v>
      </c>
      <c r="W91" s="11"/>
      <c r="X91" s="11"/>
      <c r="Y91" s="11"/>
      <c r="Z91" s="11"/>
      <c r="AA91" s="11"/>
      <c r="AB91" s="12" t="s">
        <v>579</v>
      </c>
      <c r="AC91" s="12" t="s">
        <v>579</v>
      </c>
      <c r="AD91" s="12" t="s">
        <v>579</v>
      </c>
      <c r="AE91" s="12" t="s">
        <v>579</v>
      </c>
      <c r="AF91" s="11"/>
      <c r="AG91" s="11"/>
      <c r="AH91" s="11"/>
      <c r="AI91" s="11">
        <v>0.65763888888888888</v>
      </c>
      <c r="AJ91" s="11">
        <v>0.42222222222222222</v>
      </c>
      <c r="AK91" s="11">
        <v>0.65625</v>
      </c>
      <c r="AL91" s="11">
        <v>0.37152777777777779</v>
      </c>
      <c r="AM91" s="11"/>
      <c r="AN91" s="11"/>
      <c r="AO91" s="11">
        <v>0.6381944444444444</v>
      </c>
      <c r="AP91" s="12" t="s">
        <v>579</v>
      </c>
      <c r="AQ91" s="12" t="s">
        <v>579</v>
      </c>
      <c r="AR91" s="12" t="s">
        <v>579</v>
      </c>
      <c r="AS91" s="12" t="s">
        <v>579</v>
      </c>
      <c r="AT91" s="11">
        <v>0.37361111111111112</v>
      </c>
      <c r="AU91" s="11">
        <v>0.16319444444444445</v>
      </c>
      <c r="AV91" s="11"/>
      <c r="AW91" s="11"/>
      <c r="AX91" s="11"/>
      <c r="AY91" s="11"/>
      <c r="AZ91" s="12" t="s">
        <v>579</v>
      </c>
      <c r="BA91" s="12" t="s">
        <v>579</v>
      </c>
      <c r="BB91" s="11">
        <v>0.3972222222222222</v>
      </c>
      <c r="BC91" s="11"/>
      <c r="BD91" s="11"/>
      <c r="BE91" s="11"/>
      <c r="BF91" s="12"/>
      <c r="BG91" s="12"/>
      <c r="BH91" s="11"/>
      <c r="BI91" s="11"/>
      <c r="BJ91" s="11"/>
      <c r="BK91" s="11"/>
      <c r="BL91" s="11"/>
      <c r="BM91" s="11"/>
      <c r="BN91" s="17" t="str">
        <f>A91&amp;"|"&amp;B91&amp;"|"&amp;C91</f>
        <v>GRUPO BALBROS|ADRIANA GARZÓN|MICROPARKS CARTAGENA</v>
      </c>
    </row>
    <row r="92" spans="1:66" s="18" customFormat="1" ht="15" hidden="1" customHeight="1">
      <c r="A92" s="19" t="s">
        <v>150</v>
      </c>
      <c r="B92" s="20" t="s">
        <v>151</v>
      </c>
      <c r="C92" s="21" t="s">
        <v>153</v>
      </c>
      <c r="D92" s="11" t="s">
        <v>579</v>
      </c>
      <c r="E92" s="11" t="s">
        <v>579</v>
      </c>
      <c r="F92" s="11" t="s">
        <v>579</v>
      </c>
      <c r="G92" s="11" t="s">
        <v>579</v>
      </c>
      <c r="H92" s="11" t="s">
        <v>579</v>
      </c>
      <c r="I92" s="11" t="s">
        <v>579</v>
      </c>
      <c r="J92" s="24" t="s">
        <v>579</v>
      </c>
      <c r="K92" s="11" t="s">
        <v>579</v>
      </c>
      <c r="L92" s="11" t="s">
        <v>579</v>
      </c>
      <c r="M92" s="11" t="s">
        <v>579</v>
      </c>
      <c r="N92" s="11" t="s">
        <v>579</v>
      </c>
      <c r="O92" s="11" t="s">
        <v>579</v>
      </c>
      <c r="P92" s="11" t="s">
        <v>579</v>
      </c>
      <c r="Q92" s="11" t="s">
        <v>579</v>
      </c>
      <c r="R92" s="11"/>
      <c r="S92" s="11"/>
      <c r="T92" s="11">
        <v>0.35208333333333336</v>
      </c>
      <c r="U92" s="11"/>
      <c r="V92" s="11"/>
      <c r="W92" s="11"/>
      <c r="X92" s="11"/>
      <c r="Y92" s="11"/>
      <c r="Z92" s="11">
        <v>0.45902777777777776</v>
      </c>
      <c r="AA92" s="11"/>
      <c r="AB92" s="12" t="s">
        <v>579</v>
      </c>
      <c r="AC92" s="12" t="s">
        <v>579</v>
      </c>
      <c r="AD92" s="12" t="s">
        <v>579</v>
      </c>
      <c r="AE92" s="12" t="s">
        <v>579</v>
      </c>
      <c r="AF92" s="11"/>
      <c r="AG92" s="11"/>
      <c r="AH92" s="11">
        <v>0.44513888888888886</v>
      </c>
      <c r="AI92" s="11"/>
      <c r="AJ92" s="11"/>
      <c r="AK92" s="11"/>
      <c r="AL92" s="11"/>
      <c r="AM92" s="11"/>
      <c r="AN92" s="11">
        <v>0.44097222222222221</v>
      </c>
      <c r="AO92" s="11"/>
      <c r="AP92" s="12" t="s">
        <v>579</v>
      </c>
      <c r="AQ92" s="12" t="s">
        <v>579</v>
      </c>
      <c r="AR92" s="12" t="s">
        <v>579</v>
      </c>
      <c r="AS92" s="12" t="s">
        <v>579</v>
      </c>
      <c r="AT92" s="11"/>
      <c r="AU92" s="11"/>
      <c r="AV92" s="11">
        <v>0.40763888888888888</v>
      </c>
      <c r="AW92" s="11">
        <v>0.15555555555555556</v>
      </c>
      <c r="AX92" s="11"/>
      <c r="AY92" s="11"/>
      <c r="AZ92" s="12" t="s">
        <v>579</v>
      </c>
      <c r="BA92" s="12" t="s">
        <v>579</v>
      </c>
      <c r="BB92" s="11"/>
      <c r="BC92" s="11"/>
      <c r="BD92" s="11"/>
      <c r="BE92" s="11"/>
      <c r="BF92" s="12"/>
      <c r="BG92" s="12"/>
      <c r="BH92" s="11"/>
      <c r="BI92" s="11"/>
      <c r="BJ92" s="11"/>
      <c r="BK92" s="11"/>
      <c r="BL92" s="11"/>
      <c r="BM92" s="11"/>
    </row>
    <row r="93" spans="1:66" s="18" customFormat="1" ht="15" hidden="1" customHeight="1">
      <c r="A93" s="19" t="s">
        <v>150</v>
      </c>
      <c r="B93" s="20" t="s">
        <v>151</v>
      </c>
      <c r="C93" s="21" t="s">
        <v>154</v>
      </c>
      <c r="D93" s="11" t="s">
        <v>579</v>
      </c>
      <c r="E93" s="11" t="s">
        <v>579</v>
      </c>
      <c r="F93" s="11" t="s">
        <v>579</v>
      </c>
      <c r="G93" s="11" t="s">
        <v>579</v>
      </c>
      <c r="H93" s="11" t="s">
        <v>579</v>
      </c>
      <c r="I93" s="11" t="s">
        <v>579</v>
      </c>
      <c r="J93" s="24" t="s">
        <v>579</v>
      </c>
      <c r="K93" s="11" t="s">
        <v>579</v>
      </c>
      <c r="L93" s="11" t="s">
        <v>579</v>
      </c>
      <c r="M93" s="11" t="s">
        <v>579</v>
      </c>
      <c r="N93" s="11" t="s">
        <v>579</v>
      </c>
      <c r="O93" s="11" t="s">
        <v>579</v>
      </c>
      <c r="P93" s="11" t="s">
        <v>579</v>
      </c>
      <c r="Q93" s="11" t="s">
        <v>579</v>
      </c>
      <c r="R93" s="11"/>
      <c r="S93" s="11"/>
      <c r="T93" s="11"/>
      <c r="U93" s="11"/>
      <c r="V93" s="11"/>
      <c r="W93" s="11"/>
      <c r="X93" s="11">
        <v>0.34652777777777777</v>
      </c>
      <c r="Y93" s="11">
        <v>0.65208333333333335</v>
      </c>
      <c r="Z93" s="11">
        <v>0.39305555555555555</v>
      </c>
      <c r="AA93" s="11">
        <v>0.67708333333333337</v>
      </c>
      <c r="AB93" s="12" t="s">
        <v>579</v>
      </c>
      <c r="AC93" s="12" t="s">
        <v>579</v>
      </c>
      <c r="AD93" s="12" t="s">
        <v>579</v>
      </c>
      <c r="AE93" s="12" t="s">
        <v>579</v>
      </c>
      <c r="AF93" s="11">
        <v>0.41666666666666669</v>
      </c>
      <c r="AG93" s="11"/>
      <c r="AH93" s="11"/>
      <c r="AI93" s="11"/>
      <c r="AJ93" s="11"/>
      <c r="AK93" s="11"/>
      <c r="AL93" s="11"/>
      <c r="AM93" s="11">
        <v>0.65833333333333333</v>
      </c>
      <c r="AN93" s="11"/>
      <c r="AO93" s="11"/>
      <c r="AP93" s="12" t="s">
        <v>579</v>
      </c>
      <c r="AQ93" s="12" t="s">
        <v>579</v>
      </c>
      <c r="AR93" s="12" t="s">
        <v>579</v>
      </c>
      <c r="AS93" s="12" t="s">
        <v>579</v>
      </c>
      <c r="AT93" s="11"/>
      <c r="AU93" s="11"/>
      <c r="AV93" s="11"/>
      <c r="AW93" s="11"/>
      <c r="AX93" s="11"/>
      <c r="AY93" s="11">
        <v>6.25E-2</v>
      </c>
      <c r="AZ93" s="12" t="s">
        <v>579</v>
      </c>
      <c r="BA93" s="12" t="s">
        <v>579</v>
      </c>
      <c r="BB93" s="11"/>
      <c r="BC93" s="11">
        <v>0.16944444444444445</v>
      </c>
      <c r="BD93" s="11"/>
      <c r="BE93" s="11"/>
      <c r="BF93" s="12"/>
      <c r="BG93" s="12"/>
      <c r="BH93" s="11">
        <v>0.40833333333333333</v>
      </c>
      <c r="BI93" s="11"/>
      <c r="BJ93" s="11"/>
      <c r="BK93" s="11"/>
      <c r="BL93" s="11">
        <v>0.42638888888888887</v>
      </c>
      <c r="BM93" s="11"/>
    </row>
    <row r="94" spans="1:66" s="18" customFormat="1" ht="15" hidden="1" customHeight="1">
      <c r="A94" s="19" t="s">
        <v>150</v>
      </c>
      <c r="B94" s="20" t="s">
        <v>155</v>
      </c>
      <c r="C94" s="21" t="s">
        <v>156</v>
      </c>
      <c r="D94" s="11" t="s">
        <v>579</v>
      </c>
      <c r="E94" s="11" t="s">
        <v>579</v>
      </c>
      <c r="F94" s="11" t="s">
        <v>579</v>
      </c>
      <c r="G94" s="11" t="s">
        <v>579</v>
      </c>
      <c r="H94" s="11" t="s">
        <v>579</v>
      </c>
      <c r="I94" s="11" t="s">
        <v>579</v>
      </c>
      <c r="J94" s="24" t="s">
        <v>579</v>
      </c>
      <c r="K94" s="11" t="s">
        <v>579</v>
      </c>
      <c r="L94" s="11" t="s">
        <v>579</v>
      </c>
      <c r="M94" s="11" t="s">
        <v>579</v>
      </c>
      <c r="N94" s="11" t="s">
        <v>579</v>
      </c>
      <c r="O94" s="11" t="s">
        <v>579</v>
      </c>
      <c r="P94" s="11" t="s">
        <v>579</v>
      </c>
      <c r="Q94" s="11" t="s">
        <v>579</v>
      </c>
      <c r="R94" s="11"/>
      <c r="S94" s="11">
        <v>0.67361111111111116</v>
      </c>
      <c r="T94" s="11">
        <v>0.38124999999999998</v>
      </c>
      <c r="U94" s="11">
        <v>0.67222222222222228</v>
      </c>
      <c r="V94" s="11">
        <v>0.38680555555555557</v>
      </c>
      <c r="W94" s="11">
        <v>0.65972222222222221</v>
      </c>
      <c r="X94" s="11">
        <v>0.38750000000000001</v>
      </c>
      <c r="Y94" s="11">
        <v>0.65347222222222223</v>
      </c>
      <c r="Z94" s="11">
        <v>0.38472222222222224</v>
      </c>
      <c r="AA94" s="11">
        <v>0.65972222222222221</v>
      </c>
      <c r="AB94" s="12" t="s">
        <v>579</v>
      </c>
      <c r="AC94" s="12" t="s">
        <v>579</v>
      </c>
      <c r="AD94" s="12" t="s">
        <v>579</v>
      </c>
      <c r="AE94" s="12" t="s">
        <v>579</v>
      </c>
      <c r="AF94" s="11">
        <v>0.39930555555555558</v>
      </c>
      <c r="AG94" s="11"/>
      <c r="AH94" s="11">
        <v>0.39027777777777778</v>
      </c>
      <c r="AI94" s="11">
        <v>0.64236111111111116</v>
      </c>
      <c r="AJ94" s="11">
        <v>0.39097222222222222</v>
      </c>
      <c r="AK94" s="11">
        <v>0.71180555555555558</v>
      </c>
      <c r="AL94" s="11">
        <v>0.39305555555555555</v>
      </c>
      <c r="AM94" s="11">
        <v>0.64513888888888893</v>
      </c>
      <c r="AN94" s="11">
        <v>0.38958333333333334</v>
      </c>
      <c r="AO94" s="11">
        <v>0.64583333333333337</v>
      </c>
      <c r="AP94" s="12" t="s">
        <v>579</v>
      </c>
      <c r="AQ94" s="12" t="s">
        <v>579</v>
      </c>
      <c r="AR94" s="12" t="s">
        <v>579</v>
      </c>
      <c r="AS94" s="12" t="s">
        <v>579</v>
      </c>
      <c r="AT94" s="11">
        <v>0.39027777777777778</v>
      </c>
      <c r="AU94" s="11">
        <v>0.14861111111111111</v>
      </c>
      <c r="AV94" s="11">
        <v>0.39861111111111114</v>
      </c>
      <c r="AW94" s="11">
        <v>0.15347222222222223</v>
      </c>
      <c r="AX94" s="11"/>
      <c r="AY94" s="11"/>
      <c r="AZ94" s="12" t="s">
        <v>579</v>
      </c>
      <c r="BA94" s="12" t="s">
        <v>579</v>
      </c>
      <c r="BB94" s="11">
        <v>0.41388888888888886</v>
      </c>
      <c r="BC94" s="11">
        <v>0.16875000000000001</v>
      </c>
      <c r="BD94" s="11"/>
      <c r="BE94" s="11"/>
      <c r="BF94" s="12"/>
      <c r="BG94" s="12"/>
      <c r="BH94" s="11">
        <v>0.38958333333333328</v>
      </c>
      <c r="BI94" s="11">
        <v>0.15833333333333333</v>
      </c>
      <c r="BJ94" s="11">
        <v>0.48472222222222222</v>
      </c>
      <c r="BK94" s="11">
        <v>0.16041666666666668</v>
      </c>
      <c r="BL94" s="11">
        <v>0.40347222222222223</v>
      </c>
      <c r="BM94" s="11"/>
    </row>
    <row r="95" spans="1:66" s="18" customFormat="1" ht="15" hidden="1" customHeight="1">
      <c r="A95" s="19" t="s">
        <v>150</v>
      </c>
      <c r="B95" s="20" t="s">
        <v>157</v>
      </c>
      <c r="C95" s="21" t="s">
        <v>158</v>
      </c>
      <c r="D95" s="11" t="s">
        <v>579</v>
      </c>
      <c r="E95" s="11" t="s">
        <v>579</v>
      </c>
      <c r="F95" s="11" t="s">
        <v>579</v>
      </c>
      <c r="G95" s="11" t="s">
        <v>579</v>
      </c>
      <c r="H95" s="11" t="s">
        <v>579</v>
      </c>
      <c r="I95" s="11" t="s">
        <v>579</v>
      </c>
      <c r="J95" s="24" t="s">
        <v>579</v>
      </c>
      <c r="K95" s="11" t="s">
        <v>579</v>
      </c>
      <c r="L95" s="11" t="s">
        <v>579</v>
      </c>
      <c r="M95" s="11" t="s">
        <v>579</v>
      </c>
      <c r="N95" s="11" t="s">
        <v>579</v>
      </c>
      <c r="O95" s="11" t="s">
        <v>579</v>
      </c>
      <c r="P95" s="11" t="s">
        <v>579</v>
      </c>
      <c r="Q95" s="11" t="s">
        <v>579</v>
      </c>
      <c r="R95" s="11"/>
      <c r="S95" s="11">
        <v>0.66041666666666665</v>
      </c>
      <c r="T95" s="11"/>
      <c r="U95" s="11"/>
      <c r="V95" s="11">
        <v>0.4</v>
      </c>
      <c r="W95" s="11"/>
      <c r="X95" s="11"/>
      <c r="Y95" s="11"/>
      <c r="Z95" s="11">
        <v>0.40208333333333335</v>
      </c>
      <c r="AA95" s="11">
        <v>0.67777777777777781</v>
      </c>
      <c r="AB95" s="12" t="s">
        <v>579</v>
      </c>
      <c r="AC95" s="12" t="s">
        <v>579</v>
      </c>
      <c r="AD95" s="12" t="s">
        <v>579</v>
      </c>
      <c r="AE95" s="12" t="s">
        <v>579</v>
      </c>
      <c r="AF95" s="11">
        <v>0.40555555555555556</v>
      </c>
      <c r="AG95" s="11"/>
      <c r="AH95" s="11">
        <v>0.46041666666666664</v>
      </c>
      <c r="AI95" s="11">
        <v>0.67986111111111114</v>
      </c>
      <c r="AJ95" s="11"/>
      <c r="AK95" s="11"/>
      <c r="AL95" s="11">
        <v>0.40763888888888888</v>
      </c>
      <c r="AM95" s="11">
        <v>0.66319444444444442</v>
      </c>
      <c r="AN95" s="11"/>
      <c r="AO95" s="11"/>
      <c r="AP95" s="12" t="s">
        <v>579</v>
      </c>
      <c r="AQ95" s="12" t="s">
        <v>579</v>
      </c>
      <c r="AR95" s="12" t="s">
        <v>579</v>
      </c>
      <c r="AS95" s="12" t="s">
        <v>579</v>
      </c>
      <c r="AT95" s="11">
        <v>0.40833333333333333</v>
      </c>
      <c r="AU95" s="11">
        <v>0.15138888888888888</v>
      </c>
      <c r="AV95" s="11">
        <v>0.42291666666666666</v>
      </c>
      <c r="AW95" s="11">
        <v>0.15347222222222223</v>
      </c>
      <c r="AX95" s="11"/>
      <c r="AY95" s="11"/>
      <c r="AZ95" s="12" t="s">
        <v>579</v>
      </c>
      <c r="BA95" s="12" t="s">
        <v>579</v>
      </c>
      <c r="BB95" s="11"/>
      <c r="BC95" s="11"/>
      <c r="BD95" s="11"/>
      <c r="BE95" s="11"/>
      <c r="BF95" s="12"/>
      <c r="BG95" s="12"/>
      <c r="BH95" s="11"/>
      <c r="BI95" s="11"/>
      <c r="BJ95" s="11">
        <v>0.42638888888888887</v>
      </c>
      <c r="BK95" s="11">
        <v>0.15069444444444444</v>
      </c>
      <c r="BL95" s="11"/>
      <c r="BM95" s="11"/>
    </row>
    <row r="96" spans="1:66" s="18" customFormat="1" ht="15" hidden="1" customHeight="1">
      <c r="A96" s="19" t="s">
        <v>150</v>
      </c>
      <c r="B96" s="20" t="s">
        <v>157</v>
      </c>
      <c r="C96" s="21" t="s">
        <v>159</v>
      </c>
      <c r="D96" s="11" t="s">
        <v>579</v>
      </c>
      <c r="E96" s="11" t="s">
        <v>579</v>
      </c>
      <c r="F96" s="11" t="s">
        <v>579</v>
      </c>
      <c r="G96" s="11" t="s">
        <v>579</v>
      </c>
      <c r="H96" s="11" t="s">
        <v>579</v>
      </c>
      <c r="I96" s="11" t="s">
        <v>579</v>
      </c>
      <c r="J96" s="24" t="s">
        <v>579</v>
      </c>
      <c r="K96" s="11" t="s">
        <v>579</v>
      </c>
      <c r="L96" s="11" t="s">
        <v>579</v>
      </c>
      <c r="M96" s="11" t="s">
        <v>579</v>
      </c>
      <c r="N96" s="11" t="s">
        <v>579</v>
      </c>
      <c r="O96" s="11" t="s">
        <v>579</v>
      </c>
      <c r="P96" s="11" t="s">
        <v>579</v>
      </c>
      <c r="Q96" s="11" t="s">
        <v>579</v>
      </c>
      <c r="R96" s="11"/>
      <c r="S96" s="11">
        <v>0.66874999999999996</v>
      </c>
      <c r="T96" s="11">
        <v>0.44166666666666665</v>
      </c>
      <c r="U96" s="11">
        <v>0.6645833333333333</v>
      </c>
      <c r="V96" s="11"/>
      <c r="W96" s="11"/>
      <c r="X96" s="11">
        <v>0.43680555555555556</v>
      </c>
      <c r="Y96" s="11">
        <v>0.66180555555555554</v>
      </c>
      <c r="Z96" s="11"/>
      <c r="AA96" s="11"/>
      <c r="AB96" s="12" t="s">
        <v>579</v>
      </c>
      <c r="AC96" s="12" t="s">
        <v>579</v>
      </c>
      <c r="AD96" s="12" t="s">
        <v>579</v>
      </c>
      <c r="AE96" s="12" t="s">
        <v>579</v>
      </c>
      <c r="AF96" s="11"/>
      <c r="AG96" s="11"/>
      <c r="AH96" s="11"/>
      <c r="AI96" s="11"/>
      <c r="AJ96" s="11">
        <v>0.44374999999999998</v>
      </c>
      <c r="AK96" s="11">
        <v>0.64236111111111116</v>
      </c>
      <c r="AL96" s="11"/>
      <c r="AM96" s="11"/>
      <c r="AN96" s="11">
        <v>0.40902777777777777</v>
      </c>
      <c r="AO96" s="11">
        <v>0.64861111111111114</v>
      </c>
      <c r="AP96" s="12" t="s">
        <v>579</v>
      </c>
      <c r="AQ96" s="12" t="s">
        <v>579</v>
      </c>
      <c r="AR96" s="12" t="s">
        <v>579</v>
      </c>
      <c r="AS96" s="12" t="s">
        <v>579</v>
      </c>
      <c r="AT96" s="11"/>
      <c r="AU96" s="11"/>
      <c r="AV96" s="11"/>
      <c r="AW96" s="11"/>
      <c r="AX96" s="11" t="s">
        <v>580</v>
      </c>
      <c r="AY96" s="11"/>
      <c r="AZ96" s="12" t="s">
        <v>579</v>
      </c>
      <c r="BA96" s="12" t="s">
        <v>579</v>
      </c>
      <c r="BB96" s="11">
        <v>0.42222222222222222</v>
      </c>
      <c r="BC96" s="11"/>
      <c r="BD96" s="11"/>
      <c r="BE96" s="11"/>
      <c r="BF96" s="12"/>
      <c r="BG96" s="12"/>
      <c r="BH96" s="11"/>
      <c r="BI96" s="11"/>
      <c r="BJ96" s="11"/>
      <c r="BK96" s="11"/>
      <c r="BL96" s="11">
        <v>0.44374999999999998</v>
      </c>
      <c r="BM96" s="11"/>
    </row>
    <row r="97" spans="1:65" s="18" customFormat="1" ht="15" hidden="1" customHeight="1">
      <c r="A97" s="19" t="s">
        <v>150</v>
      </c>
      <c r="B97" s="20" t="s">
        <v>160</v>
      </c>
      <c r="C97" s="21" t="s">
        <v>161</v>
      </c>
      <c r="D97" s="11" t="s">
        <v>579</v>
      </c>
      <c r="E97" s="11" t="s">
        <v>579</v>
      </c>
      <c r="F97" s="11" t="s">
        <v>579</v>
      </c>
      <c r="G97" s="11" t="s">
        <v>579</v>
      </c>
      <c r="H97" s="11" t="s">
        <v>579</v>
      </c>
      <c r="I97" s="11" t="s">
        <v>579</v>
      </c>
      <c r="J97" s="24" t="s">
        <v>579</v>
      </c>
      <c r="K97" s="11" t="s">
        <v>579</v>
      </c>
      <c r="L97" s="11" t="s">
        <v>579</v>
      </c>
      <c r="M97" s="11" t="s">
        <v>579</v>
      </c>
      <c r="N97" s="11" t="s">
        <v>579</v>
      </c>
      <c r="O97" s="11" t="s">
        <v>579</v>
      </c>
      <c r="P97" s="11" t="s">
        <v>579</v>
      </c>
      <c r="Q97" s="11" t="s">
        <v>579</v>
      </c>
      <c r="R97" s="11"/>
      <c r="S97" s="11">
        <v>0.66874999999999996</v>
      </c>
      <c r="T97" s="11">
        <v>0.33958333333333335</v>
      </c>
      <c r="U97" s="11">
        <v>0.78749999999999998</v>
      </c>
      <c r="V97" s="11">
        <v>0.34861111111111109</v>
      </c>
      <c r="W97" s="11">
        <v>0.75763888888888886</v>
      </c>
      <c r="X97" s="11">
        <v>0.36180555555555555</v>
      </c>
      <c r="Y97" s="11">
        <v>0.70208333333333328</v>
      </c>
      <c r="Z97" s="11"/>
      <c r="AA97" s="11">
        <v>0.72569444444444442</v>
      </c>
      <c r="AB97" s="12" t="s">
        <v>579</v>
      </c>
      <c r="AC97" s="12" t="s">
        <v>579</v>
      </c>
      <c r="AD97" s="12" t="s">
        <v>579</v>
      </c>
      <c r="AE97" s="12" t="s">
        <v>579</v>
      </c>
      <c r="AF97" s="11"/>
      <c r="AG97" s="11"/>
      <c r="AH97" s="11"/>
      <c r="AI97" s="11">
        <v>0.7270833333333333</v>
      </c>
      <c r="AJ97" s="11"/>
      <c r="AK97" s="11">
        <v>0.73541666666666672</v>
      </c>
      <c r="AL97" s="11">
        <v>0.44236111111111109</v>
      </c>
      <c r="AM97" s="11"/>
      <c r="AN97" s="11">
        <v>0.39166666666666666</v>
      </c>
      <c r="AO97" s="11">
        <v>0.74583333333333335</v>
      </c>
      <c r="AP97" s="12" t="s">
        <v>579</v>
      </c>
      <c r="AQ97" s="12" t="s">
        <v>579</v>
      </c>
      <c r="AR97" s="12" t="s">
        <v>579</v>
      </c>
      <c r="AS97" s="12" t="s">
        <v>579</v>
      </c>
      <c r="AT97" s="11">
        <v>0.42708333333333331</v>
      </c>
      <c r="AU97" s="11">
        <v>0.21736111111111112</v>
      </c>
      <c r="AV97" s="11">
        <v>0.43194444444444446</v>
      </c>
      <c r="AW97" s="11">
        <v>0.25486111111111109</v>
      </c>
      <c r="AX97" s="11" t="s">
        <v>581</v>
      </c>
      <c r="AY97" s="11"/>
      <c r="AZ97" s="12" t="s">
        <v>579</v>
      </c>
      <c r="BA97" s="12" t="s">
        <v>579</v>
      </c>
      <c r="BB97" s="11">
        <v>0.44930555555555557</v>
      </c>
      <c r="BC97" s="11" t="s">
        <v>582</v>
      </c>
      <c r="BD97" s="11"/>
      <c r="BE97" s="11"/>
      <c r="BF97" s="12"/>
      <c r="BG97" s="12"/>
      <c r="BH97" s="11">
        <v>0.43333333333333329</v>
      </c>
      <c r="BI97" s="11">
        <v>0.20902777777777778</v>
      </c>
      <c r="BJ97" s="11">
        <v>0.42916666666666664</v>
      </c>
      <c r="BK97" s="11"/>
      <c r="BL97" s="11">
        <v>0.44930555555555557</v>
      </c>
      <c r="BM97" s="11"/>
    </row>
    <row r="98" spans="1:65" s="18" customFormat="1" ht="15" hidden="1" customHeight="1">
      <c r="A98" s="19" t="s">
        <v>150</v>
      </c>
      <c r="B98" s="20" t="s">
        <v>162</v>
      </c>
      <c r="C98" s="21" t="s">
        <v>163</v>
      </c>
      <c r="D98" s="11" t="s">
        <v>579</v>
      </c>
      <c r="E98" s="11" t="s">
        <v>579</v>
      </c>
      <c r="F98" s="11" t="s">
        <v>579</v>
      </c>
      <c r="G98" s="11" t="s">
        <v>579</v>
      </c>
      <c r="H98" s="11" t="s">
        <v>579</v>
      </c>
      <c r="I98" s="11" t="s">
        <v>579</v>
      </c>
      <c r="J98" s="24" t="s">
        <v>579</v>
      </c>
      <c r="K98" s="11" t="s">
        <v>579</v>
      </c>
      <c r="L98" s="11" t="s">
        <v>579</v>
      </c>
      <c r="M98" s="11" t="s">
        <v>579</v>
      </c>
      <c r="N98" s="11" t="s">
        <v>579</v>
      </c>
      <c r="O98" s="11" t="s">
        <v>579</v>
      </c>
      <c r="P98" s="11" t="s">
        <v>579</v>
      </c>
      <c r="Q98" s="11" t="s">
        <v>579</v>
      </c>
      <c r="R98" s="11">
        <v>0.4465277777777778</v>
      </c>
      <c r="S98" s="11">
        <v>0.73958333333333337</v>
      </c>
      <c r="T98" s="11">
        <v>0.38750000000000001</v>
      </c>
      <c r="U98" s="11">
        <v>0.65694444444444444</v>
      </c>
      <c r="V98" s="11">
        <v>0.40069444444444446</v>
      </c>
      <c r="W98" s="11"/>
      <c r="X98" s="11"/>
      <c r="Y98" s="11"/>
      <c r="Z98" s="11"/>
      <c r="AA98" s="11"/>
      <c r="AB98" s="12" t="s">
        <v>579</v>
      </c>
      <c r="AC98" s="12" t="s">
        <v>579</v>
      </c>
      <c r="AD98" s="12" t="s">
        <v>579</v>
      </c>
      <c r="AE98" s="12" t="s">
        <v>579</v>
      </c>
      <c r="AF98" s="11">
        <v>0.44236111111111109</v>
      </c>
      <c r="AG98" s="11">
        <v>0.74375000000000002</v>
      </c>
      <c r="AH98" s="11"/>
      <c r="AI98" s="11">
        <v>0.71319444444444446</v>
      </c>
      <c r="AJ98" s="11">
        <v>0.4548611111111111</v>
      </c>
      <c r="AK98" s="11"/>
      <c r="AL98" s="11"/>
      <c r="AM98" s="11"/>
      <c r="AN98" s="11"/>
      <c r="AO98" s="11"/>
      <c r="AP98" s="12" t="s">
        <v>579</v>
      </c>
      <c r="AQ98" s="12" t="s">
        <v>579</v>
      </c>
      <c r="AR98" s="12" t="s">
        <v>579</v>
      </c>
      <c r="AS98" s="12" t="s">
        <v>579</v>
      </c>
      <c r="AT98" s="11">
        <v>0.43333333333333335</v>
      </c>
      <c r="AU98" s="11"/>
      <c r="AV98" s="11">
        <v>0.44097222222222221</v>
      </c>
      <c r="AW98" s="11">
        <v>0.18333333333333332</v>
      </c>
      <c r="AX98" s="11" t="s">
        <v>583</v>
      </c>
      <c r="AY98" s="11"/>
      <c r="AZ98" s="12" t="s">
        <v>579</v>
      </c>
      <c r="BA98" s="12" t="s">
        <v>579</v>
      </c>
      <c r="BB98" s="11" t="s">
        <v>584</v>
      </c>
      <c r="BC98" s="11"/>
      <c r="BD98" s="11"/>
      <c r="BE98" s="11"/>
      <c r="BF98" s="12"/>
      <c r="BG98" s="12"/>
      <c r="BH98" s="11"/>
      <c r="BI98" s="11"/>
      <c r="BJ98" s="11">
        <v>0.47291666666666665</v>
      </c>
      <c r="BK98" s="11">
        <v>0.22777777777777777</v>
      </c>
      <c r="BL98" s="11"/>
      <c r="BM98" s="11"/>
    </row>
    <row r="99" spans="1:65" ht="15" customHeight="1">
      <c r="A99" s="3"/>
      <c r="B99" s="2"/>
      <c r="C99" s="4"/>
      <c r="D99" s="3"/>
    </row>
    <row r="100" spans="1:65">
      <c r="A100" s="3"/>
      <c r="B100" s="3"/>
      <c r="D100" s="3"/>
    </row>
    <row r="101" spans="1:65">
      <c r="B101" s="3"/>
      <c r="C101" s="3"/>
      <c r="D101" s="3"/>
    </row>
    <row r="102" spans="1:65">
      <c r="B102" s="3"/>
      <c r="C102" s="3"/>
      <c r="D102" s="3"/>
    </row>
  </sheetData>
  <autoFilter ref="A1:BN98" xr:uid="{00000000-0001-0000-0000-000000000000}">
    <filterColumn colId="0">
      <filters>
        <filter val="R5"/>
      </filters>
    </filterColumn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4">
    <mergeCell ref="A1:A2"/>
    <mergeCell ref="B1:B2"/>
    <mergeCell ref="BF1:BG1"/>
    <mergeCell ref="N1:O1"/>
    <mergeCell ref="BB1:BC1"/>
    <mergeCell ref="T1:U1"/>
    <mergeCell ref="BD1:BE1"/>
    <mergeCell ref="L1:M1"/>
    <mergeCell ref="AF1:AG1"/>
    <mergeCell ref="X1:Y1"/>
    <mergeCell ref="AJ1:AK1"/>
    <mergeCell ref="Z1:AA1"/>
    <mergeCell ref="AL1:AM1"/>
    <mergeCell ref="AR1:AS1"/>
    <mergeCell ref="AT1:AU1"/>
    <mergeCell ref="F1:G1"/>
    <mergeCell ref="BL1:BM1"/>
    <mergeCell ref="AB1:AC1"/>
    <mergeCell ref="AD1:AE1"/>
    <mergeCell ref="V1:W1"/>
    <mergeCell ref="AH1:AI1"/>
    <mergeCell ref="AN1:AO1"/>
    <mergeCell ref="AP1:AQ1"/>
    <mergeCell ref="BH1:BI1"/>
    <mergeCell ref="AV1:AW1"/>
    <mergeCell ref="AX1:AY1"/>
    <mergeCell ref="AZ1:BA1"/>
    <mergeCell ref="J1:K1"/>
    <mergeCell ref="P1:Q1"/>
    <mergeCell ref="R1:S1"/>
    <mergeCell ref="C1:C2"/>
    <mergeCell ref="BJ1:BK1"/>
    <mergeCell ref="D1:E1"/>
    <mergeCell ref="H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F993-BF66-433F-8A3D-6DFDBB0970CF}">
  <sheetPr filterMode="1"/>
  <dimension ref="B2:P98"/>
  <sheetViews>
    <sheetView topLeftCell="B1" workbookViewId="0">
      <selection activeCell="E20" sqref="E20"/>
    </sheetView>
  </sheetViews>
  <sheetFormatPr defaultRowHeight="15" outlineLevelRow="1" outlineLevelCol="1"/>
  <cols>
    <col min="2" max="2" width="21.5703125" customWidth="1"/>
    <col min="3" max="3" width="33.42578125" customWidth="1"/>
    <col min="4" max="4" width="52" customWidth="1"/>
    <col min="5" max="5" width="9.28515625" customWidth="1" outlineLevel="1"/>
    <col min="6" max="6" width="7.5703125" customWidth="1" outlineLevel="1"/>
    <col min="7" max="7" width="4.42578125" customWidth="1" outlineLevel="1"/>
    <col min="8" max="8" width="4.85546875" customWidth="1" outlineLevel="1"/>
    <col min="9" max="9" width="8.140625" customWidth="1" outlineLevel="1"/>
    <col min="10" max="10" width="17" customWidth="1"/>
    <col min="11" max="11" width="5.7109375" customWidth="1"/>
    <col min="12" max="12" width="5.140625" customWidth="1"/>
  </cols>
  <sheetData>
    <row r="2" spans="2:16" ht="25.5" customHeight="1" outlineLevel="1">
      <c r="B2" s="28" t="s">
        <v>585</v>
      </c>
      <c r="C2" s="28"/>
      <c r="D2" s="28" t="s">
        <v>586</v>
      </c>
      <c r="E2" s="28"/>
      <c r="F2" s="28"/>
      <c r="G2" s="28"/>
      <c r="H2" s="28"/>
      <c r="I2" s="28"/>
      <c r="J2" s="28">
        <v>2025</v>
      </c>
      <c r="K2" s="392"/>
      <c r="L2" s="393"/>
      <c r="M2" s="393"/>
      <c r="N2" s="393"/>
      <c r="O2" s="393"/>
      <c r="P2" s="393"/>
    </row>
    <row r="3" spans="2:16" ht="30" customHeight="1" outlineLevel="1">
      <c r="B3" s="29" t="s">
        <v>0</v>
      </c>
      <c r="C3" s="29" t="s">
        <v>1</v>
      </c>
      <c r="D3" s="29" t="s">
        <v>2</v>
      </c>
      <c r="E3" s="37" t="s">
        <v>3</v>
      </c>
      <c r="F3" s="37" t="s">
        <v>171</v>
      </c>
      <c r="G3" s="37" t="s">
        <v>4</v>
      </c>
      <c r="H3" s="37" t="s">
        <v>171</v>
      </c>
      <c r="I3" s="37" t="s">
        <v>173</v>
      </c>
      <c r="J3" s="38" t="s">
        <v>174</v>
      </c>
      <c r="K3" s="1"/>
      <c r="L3" s="1"/>
      <c r="M3" s="1"/>
      <c r="N3" s="1"/>
    </row>
    <row r="4" spans="2:16" ht="16.5">
      <c r="B4" s="34" t="s">
        <v>5</v>
      </c>
      <c r="C4" s="30" t="s">
        <v>6</v>
      </c>
      <c r="D4" s="30" t="s">
        <v>7</v>
      </c>
      <c r="E4" s="30">
        <v>19</v>
      </c>
      <c r="F4" s="33">
        <f>E4/20</f>
        <v>0.95</v>
      </c>
      <c r="G4" s="30">
        <v>16</v>
      </c>
      <c r="H4" s="33">
        <f>G4/20</f>
        <v>0.8</v>
      </c>
      <c r="I4" s="30">
        <f>E4+G4</f>
        <v>35</v>
      </c>
      <c r="J4" s="33">
        <f>I4/40</f>
        <v>0.875</v>
      </c>
      <c r="K4" s="26"/>
      <c r="L4" s="26"/>
      <c r="M4" s="26"/>
      <c r="N4" s="26"/>
    </row>
    <row r="5" spans="2:16" ht="16.5">
      <c r="B5" s="34" t="s">
        <v>5</v>
      </c>
      <c r="C5" s="30" t="s">
        <v>6</v>
      </c>
      <c r="D5" s="30" t="s">
        <v>8</v>
      </c>
      <c r="E5" s="30">
        <v>3</v>
      </c>
      <c r="F5" s="33">
        <f>E5/20</f>
        <v>0.15</v>
      </c>
      <c r="G5" s="30">
        <v>0</v>
      </c>
      <c r="H5" s="33">
        <f t="shared" ref="H5:H68" si="0">G5/20</f>
        <v>0</v>
      </c>
      <c r="I5" s="30">
        <f t="shared" ref="I5:I68" si="1">E5+G5</f>
        <v>3</v>
      </c>
      <c r="J5" s="33">
        <f t="shared" ref="J5:J68" si="2">I5/40</f>
        <v>7.4999999999999997E-2</v>
      </c>
      <c r="K5" s="26"/>
      <c r="L5" s="26"/>
      <c r="M5" s="26"/>
      <c r="N5" s="26"/>
    </row>
    <row r="6" spans="2:16" ht="16.5">
      <c r="B6" s="34" t="s">
        <v>5</v>
      </c>
      <c r="C6" s="30" t="s">
        <v>9</v>
      </c>
      <c r="D6" s="30" t="s">
        <v>10</v>
      </c>
      <c r="E6" s="30">
        <v>17</v>
      </c>
      <c r="F6" s="33">
        <f t="shared" ref="F6:F69" si="3">E6/20</f>
        <v>0.85</v>
      </c>
      <c r="G6" s="30">
        <v>11</v>
      </c>
      <c r="H6" s="33">
        <f t="shared" si="0"/>
        <v>0.55000000000000004</v>
      </c>
      <c r="I6" s="30">
        <f t="shared" si="1"/>
        <v>28</v>
      </c>
      <c r="J6" s="33">
        <f t="shared" si="2"/>
        <v>0.7</v>
      </c>
      <c r="K6" s="26"/>
      <c r="L6" s="26"/>
      <c r="M6" s="26"/>
      <c r="N6" s="26"/>
    </row>
    <row r="7" spans="2:16" ht="16.5">
      <c r="B7" s="34" t="s">
        <v>5</v>
      </c>
      <c r="C7" s="30" t="s">
        <v>9</v>
      </c>
      <c r="D7" s="30" t="s">
        <v>11</v>
      </c>
      <c r="E7" s="30">
        <v>4</v>
      </c>
      <c r="F7" s="33">
        <f t="shared" si="3"/>
        <v>0.2</v>
      </c>
      <c r="G7" s="30">
        <v>0</v>
      </c>
      <c r="H7" s="33">
        <f t="shared" si="0"/>
        <v>0</v>
      </c>
      <c r="I7" s="30">
        <f t="shared" si="1"/>
        <v>4</v>
      </c>
      <c r="J7" s="33">
        <f t="shared" si="2"/>
        <v>0.1</v>
      </c>
      <c r="K7" s="26"/>
      <c r="L7" s="26"/>
      <c r="M7" s="26"/>
      <c r="N7" s="26"/>
    </row>
    <row r="8" spans="2:16" ht="16.5">
      <c r="B8" s="34" t="s">
        <v>5</v>
      </c>
      <c r="C8" s="30" t="s">
        <v>9</v>
      </c>
      <c r="D8" s="30" t="s">
        <v>12</v>
      </c>
      <c r="E8" s="30">
        <v>1</v>
      </c>
      <c r="F8" s="33">
        <f t="shared" si="3"/>
        <v>0.05</v>
      </c>
      <c r="G8" s="30">
        <v>0</v>
      </c>
      <c r="H8" s="33">
        <f t="shared" si="0"/>
        <v>0</v>
      </c>
      <c r="I8" s="30">
        <f t="shared" si="1"/>
        <v>1</v>
      </c>
      <c r="J8" s="33">
        <f t="shared" si="2"/>
        <v>2.5000000000000001E-2</v>
      </c>
      <c r="K8" s="26"/>
      <c r="L8" s="26"/>
      <c r="M8" s="26"/>
      <c r="N8" s="26"/>
      <c r="P8" s="27"/>
    </row>
    <row r="9" spans="2:16" ht="16.5">
      <c r="B9" s="34" t="s">
        <v>5</v>
      </c>
      <c r="C9" s="30" t="s">
        <v>9</v>
      </c>
      <c r="D9" s="30" t="s">
        <v>13</v>
      </c>
      <c r="E9" s="30">
        <v>0</v>
      </c>
      <c r="F9" s="33">
        <f t="shared" si="3"/>
        <v>0</v>
      </c>
      <c r="G9" s="30">
        <v>0</v>
      </c>
      <c r="H9" s="33">
        <f t="shared" si="0"/>
        <v>0</v>
      </c>
      <c r="I9" s="30">
        <f t="shared" si="1"/>
        <v>0</v>
      </c>
      <c r="J9" s="33">
        <f t="shared" si="2"/>
        <v>0</v>
      </c>
      <c r="K9" s="26"/>
      <c r="L9" s="26"/>
      <c r="M9" s="26"/>
      <c r="N9" s="26"/>
    </row>
    <row r="10" spans="2:16" ht="16.5">
      <c r="B10" s="34" t="s">
        <v>5</v>
      </c>
      <c r="C10" s="30" t="s">
        <v>9</v>
      </c>
      <c r="D10" s="30" t="s">
        <v>14</v>
      </c>
      <c r="E10" s="30">
        <v>0</v>
      </c>
      <c r="F10" s="33">
        <f t="shared" si="3"/>
        <v>0</v>
      </c>
      <c r="G10" s="30">
        <v>0</v>
      </c>
      <c r="H10" s="33">
        <f t="shared" si="0"/>
        <v>0</v>
      </c>
      <c r="I10" s="30">
        <f t="shared" si="1"/>
        <v>0</v>
      </c>
      <c r="J10" s="33">
        <f t="shared" si="2"/>
        <v>0</v>
      </c>
      <c r="K10" s="26"/>
      <c r="L10" s="26"/>
      <c r="M10" s="26"/>
      <c r="N10" s="26"/>
    </row>
    <row r="11" spans="2:16" ht="16.5">
      <c r="B11" s="34" t="s">
        <v>5</v>
      </c>
      <c r="C11" s="30" t="s">
        <v>15</v>
      </c>
      <c r="D11" s="30" t="s">
        <v>16</v>
      </c>
      <c r="E11" s="30">
        <v>19</v>
      </c>
      <c r="F11" s="33">
        <f t="shared" si="3"/>
        <v>0.95</v>
      </c>
      <c r="G11" s="30">
        <v>18</v>
      </c>
      <c r="H11" s="33">
        <f t="shared" si="0"/>
        <v>0.9</v>
      </c>
      <c r="I11" s="30">
        <f t="shared" si="1"/>
        <v>37</v>
      </c>
      <c r="J11" s="33">
        <f t="shared" si="2"/>
        <v>0.92500000000000004</v>
      </c>
      <c r="K11" s="26"/>
      <c r="L11" s="26"/>
      <c r="M11" s="26"/>
      <c r="N11" s="26"/>
    </row>
    <row r="12" spans="2:16" ht="16.5">
      <c r="B12" s="34" t="s">
        <v>5</v>
      </c>
      <c r="C12" s="30" t="s">
        <v>15</v>
      </c>
      <c r="D12" s="30" t="s">
        <v>17</v>
      </c>
      <c r="E12" s="30">
        <v>1</v>
      </c>
      <c r="F12" s="33">
        <f t="shared" si="3"/>
        <v>0.05</v>
      </c>
      <c r="G12" s="30">
        <v>0</v>
      </c>
      <c r="H12" s="33">
        <f t="shared" si="0"/>
        <v>0</v>
      </c>
      <c r="I12" s="30">
        <f t="shared" si="1"/>
        <v>1</v>
      </c>
      <c r="J12" s="33">
        <f t="shared" si="2"/>
        <v>2.5000000000000001E-2</v>
      </c>
      <c r="K12" s="26"/>
      <c r="L12" s="26"/>
      <c r="M12" s="26"/>
      <c r="N12" s="26"/>
    </row>
    <row r="13" spans="2:16" ht="16.5">
      <c r="B13" s="34" t="s">
        <v>5</v>
      </c>
      <c r="C13" s="30" t="s">
        <v>15</v>
      </c>
      <c r="D13" s="30" t="s">
        <v>18</v>
      </c>
      <c r="E13" s="30">
        <v>0</v>
      </c>
      <c r="F13" s="33">
        <f>E13/20</f>
        <v>0</v>
      </c>
      <c r="G13" s="30">
        <v>0</v>
      </c>
      <c r="H13" s="33">
        <f t="shared" si="0"/>
        <v>0</v>
      </c>
      <c r="I13" s="30">
        <f t="shared" si="1"/>
        <v>0</v>
      </c>
      <c r="J13" s="33">
        <f t="shared" si="2"/>
        <v>0</v>
      </c>
      <c r="K13" s="26"/>
      <c r="L13" s="26"/>
      <c r="M13" s="26"/>
      <c r="N13" s="26"/>
    </row>
    <row r="14" spans="2:16" ht="16.5">
      <c r="B14" s="34" t="s">
        <v>5</v>
      </c>
      <c r="C14" s="30" t="s">
        <v>15</v>
      </c>
      <c r="D14" s="30" t="s">
        <v>19</v>
      </c>
      <c r="E14" s="30">
        <v>0</v>
      </c>
      <c r="F14" s="33">
        <f t="shared" si="3"/>
        <v>0</v>
      </c>
      <c r="G14" s="30">
        <v>0</v>
      </c>
      <c r="H14" s="33">
        <f t="shared" si="0"/>
        <v>0</v>
      </c>
      <c r="I14" s="30">
        <f t="shared" si="1"/>
        <v>0</v>
      </c>
      <c r="J14" s="33">
        <f t="shared" si="2"/>
        <v>0</v>
      </c>
      <c r="K14" s="26"/>
      <c r="L14" s="26"/>
      <c r="M14" s="26"/>
      <c r="N14" s="26"/>
    </row>
    <row r="15" spans="2:16" ht="16.5">
      <c r="B15" s="34" t="s">
        <v>5</v>
      </c>
      <c r="C15" s="30" t="s">
        <v>15</v>
      </c>
      <c r="D15" s="30" t="s">
        <v>20</v>
      </c>
      <c r="E15" s="30">
        <v>0</v>
      </c>
      <c r="F15" s="33">
        <f t="shared" si="3"/>
        <v>0</v>
      </c>
      <c r="G15" s="30">
        <v>0</v>
      </c>
      <c r="H15" s="33">
        <f t="shared" si="0"/>
        <v>0</v>
      </c>
      <c r="I15" s="30">
        <f t="shared" si="1"/>
        <v>0</v>
      </c>
      <c r="J15" s="33">
        <f t="shared" si="2"/>
        <v>0</v>
      </c>
      <c r="K15" s="26"/>
      <c r="L15" s="26"/>
      <c r="M15" s="26"/>
      <c r="N15" s="26"/>
    </row>
    <row r="16" spans="2:16" ht="16.5">
      <c r="B16" s="34" t="s">
        <v>5</v>
      </c>
      <c r="C16" s="30" t="s">
        <v>15</v>
      </c>
      <c r="D16" s="30" t="s">
        <v>21</v>
      </c>
      <c r="E16" s="30">
        <v>0</v>
      </c>
      <c r="F16" s="33">
        <f t="shared" si="3"/>
        <v>0</v>
      </c>
      <c r="G16" s="30">
        <v>0</v>
      </c>
      <c r="H16" s="33">
        <f t="shared" si="0"/>
        <v>0</v>
      </c>
      <c r="I16" s="30">
        <f t="shared" si="1"/>
        <v>0</v>
      </c>
      <c r="J16" s="33">
        <f t="shared" si="2"/>
        <v>0</v>
      </c>
      <c r="K16" s="26"/>
      <c r="L16" s="26"/>
      <c r="M16" s="26"/>
      <c r="N16" s="26"/>
    </row>
    <row r="17" spans="2:14" ht="16.5">
      <c r="B17" s="34" t="s">
        <v>5</v>
      </c>
      <c r="C17" s="30" t="s">
        <v>22</v>
      </c>
      <c r="D17" s="30" t="s">
        <v>23</v>
      </c>
      <c r="E17" s="30">
        <v>19</v>
      </c>
      <c r="F17" s="33">
        <f t="shared" si="3"/>
        <v>0.95</v>
      </c>
      <c r="G17" s="30">
        <v>18</v>
      </c>
      <c r="H17" s="33">
        <f t="shared" si="0"/>
        <v>0.9</v>
      </c>
      <c r="I17" s="30">
        <f t="shared" si="1"/>
        <v>37</v>
      </c>
      <c r="J17" s="33">
        <f t="shared" si="2"/>
        <v>0.92500000000000004</v>
      </c>
      <c r="K17" s="26"/>
      <c r="L17" s="26"/>
      <c r="M17" s="26"/>
      <c r="N17" s="26"/>
    </row>
    <row r="18" spans="2:14" ht="16.5">
      <c r="B18" s="34" t="s">
        <v>5</v>
      </c>
      <c r="C18" s="30" t="s">
        <v>22</v>
      </c>
      <c r="D18" s="30" t="s">
        <v>24</v>
      </c>
      <c r="E18" s="30">
        <v>0</v>
      </c>
      <c r="F18" s="33">
        <f t="shared" si="3"/>
        <v>0</v>
      </c>
      <c r="G18" s="30">
        <v>0</v>
      </c>
      <c r="H18" s="33">
        <f t="shared" si="0"/>
        <v>0</v>
      </c>
      <c r="I18" s="30">
        <f t="shared" si="1"/>
        <v>0</v>
      </c>
      <c r="J18" s="33">
        <f t="shared" si="2"/>
        <v>0</v>
      </c>
      <c r="K18" s="26"/>
      <c r="L18" s="26"/>
      <c r="M18" s="26"/>
      <c r="N18" s="26"/>
    </row>
    <row r="19" spans="2:14" ht="16.5">
      <c r="B19" s="34" t="s">
        <v>5</v>
      </c>
      <c r="C19" s="30" t="s">
        <v>22</v>
      </c>
      <c r="D19" s="30" t="s">
        <v>25</v>
      </c>
      <c r="E19" s="30">
        <v>0</v>
      </c>
      <c r="F19" s="33">
        <f t="shared" si="3"/>
        <v>0</v>
      </c>
      <c r="G19" s="30">
        <v>0</v>
      </c>
      <c r="H19" s="33">
        <f t="shared" si="0"/>
        <v>0</v>
      </c>
      <c r="I19" s="30">
        <f t="shared" si="1"/>
        <v>0</v>
      </c>
      <c r="J19" s="33">
        <f t="shared" si="2"/>
        <v>0</v>
      </c>
      <c r="K19" s="26"/>
      <c r="L19" s="26"/>
      <c r="M19" s="26"/>
      <c r="N19" s="26"/>
    </row>
    <row r="20" spans="2:14" ht="16.5">
      <c r="B20" s="34" t="s">
        <v>26</v>
      </c>
      <c r="C20" s="30" t="s">
        <v>27</v>
      </c>
      <c r="D20" s="30" t="s">
        <v>28</v>
      </c>
      <c r="F20" s="33">
        <f t="shared" si="3"/>
        <v>0</v>
      </c>
      <c r="G20" s="30">
        <v>16</v>
      </c>
      <c r="H20" s="33">
        <f t="shared" si="0"/>
        <v>0.8</v>
      </c>
      <c r="I20" s="30">
        <f>E20+G20</f>
        <v>16</v>
      </c>
      <c r="J20" s="33">
        <f t="shared" si="2"/>
        <v>0.4</v>
      </c>
    </row>
    <row r="21" spans="2:14" ht="16.5">
      <c r="B21" s="34" t="s">
        <v>26</v>
      </c>
      <c r="C21" s="30" t="s">
        <v>29</v>
      </c>
      <c r="D21" s="30" t="s">
        <v>30</v>
      </c>
      <c r="E21" s="30">
        <v>19</v>
      </c>
      <c r="F21" s="33">
        <f t="shared" si="3"/>
        <v>0.95</v>
      </c>
      <c r="G21" s="30">
        <v>19</v>
      </c>
      <c r="H21" s="33">
        <f t="shared" si="0"/>
        <v>0.95</v>
      </c>
      <c r="I21" s="30">
        <f t="shared" si="1"/>
        <v>38</v>
      </c>
      <c r="J21" s="33">
        <f t="shared" si="2"/>
        <v>0.95</v>
      </c>
    </row>
    <row r="22" spans="2:14" ht="16.5">
      <c r="B22" s="34" t="s">
        <v>26</v>
      </c>
      <c r="C22" s="30" t="s">
        <v>31</v>
      </c>
      <c r="D22" s="30" t="s">
        <v>32</v>
      </c>
      <c r="E22" s="30">
        <v>9</v>
      </c>
      <c r="F22" s="33">
        <f t="shared" si="3"/>
        <v>0.45</v>
      </c>
      <c r="G22" s="30">
        <v>8</v>
      </c>
      <c r="H22" s="33">
        <f t="shared" si="0"/>
        <v>0.4</v>
      </c>
      <c r="I22" s="30">
        <f t="shared" si="1"/>
        <v>17</v>
      </c>
      <c r="J22" s="33">
        <f t="shared" si="2"/>
        <v>0.42499999999999999</v>
      </c>
    </row>
    <row r="23" spans="2:14" ht="16.5">
      <c r="B23" s="34" t="s">
        <v>26</v>
      </c>
      <c r="C23" s="30" t="s">
        <v>31</v>
      </c>
      <c r="D23" s="30" t="s">
        <v>33</v>
      </c>
      <c r="E23" s="30">
        <v>6</v>
      </c>
      <c r="F23" s="33">
        <f t="shared" si="3"/>
        <v>0.3</v>
      </c>
      <c r="G23" s="30">
        <v>4</v>
      </c>
      <c r="H23" s="33">
        <f t="shared" si="0"/>
        <v>0.2</v>
      </c>
      <c r="I23" s="30">
        <f t="shared" si="1"/>
        <v>10</v>
      </c>
      <c r="J23" s="33">
        <f t="shared" si="2"/>
        <v>0.25</v>
      </c>
    </row>
    <row r="24" spans="2:14" ht="16.5">
      <c r="B24" s="34" t="s">
        <v>26</v>
      </c>
      <c r="C24" s="30" t="s">
        <v>31</v>
      </c>
      <c r="D24" s="30" t="s">
        <v>34</v>
      </c>
      <c r="E24" s="30">
        <v>3</v>
      </c>
      <c r="F24" s="33">
        <f t="shared" si="3"/>
        <v>0.15</v>
      </c>
      <c r="G24" s="30">
        <v>2</v>
      </c>
      <c r="H24" s="33">
        <f t="shared" si="0"/>
        <v>0.1</v>
      </c>
      <c r="I24" s="30">
        <f t="shared" si="1"/>
        <v>5</v>
      </c>
      <c r="J24" s="33">
        <f t="shared" si="2"/>
        <v>0.125</v>
      </c>
    </row>
    <row r="25" spans="2:14" ht="16.5">
      <c r="B25" s="34" t="s">
        <v>26</v>
      </c>
      <c r="C25" s="30" t="s">
        <v>31</v>
      </c>
      <c r="D25" s="30" t="s">
        <v>35</v>
      </c>
      <c r="E25" s="30">
        <v>0</v>
      </c>
      <c r="F25" s="33">
        <f t="shared" si="3"/>
        <v>0</v>
      </c>
      <c r="G25" s="30">
        <v>0</v>
      </c>
      <c r="H25" s="33">
        <f t="shared" si="0"/>
        <v>0</v>
      </c>
      <c r="I25" s="30">
        <f t="shared" si="1"/>
        <v>0</v>
      </c>
      <c r="J25" s="33">
        <f t="shared" si="2"/>
        <v>0</v>
      </c>
    </row>
    <row r="26" spans="2:14" ht="16.5">
      <c r="B26" s="34" t="s">
        <v>26</v>
      </c>
      <c r="C26" s="30" t="s">
        <v>31</v>
      </c>
      <c r="D26" s="30" t="s">
        <v>36</v>
      </c>
      <c r="E26" s="30">
        <v>0</v>
      </c>
      <c r="F26" s="33">
        <f t="shared" si="3"/>
        <v>0</v>
      </c>
      <c r="G26" s="30">
        <v>0</v>
      </c>
      <c r="H26" s="33">
        <f t="shared" si="0"/>
        <v>0</v>
      </c>
      <c r="I26" s="30">
        <f t="shared" si="1"/>
        <v>0</v>
      </c>
      <c r="J26" s="33">
        <f t="shared" si="2"/>
        <v>0</v>
      </c>
    </row>
    <row r="27" spans="2:14" ht="16.5">
      <c r="B27" s="34" t="s">
        <v>26</v>
      </c>
      <c r="C27" s="30" t="s">
        <v>31</v>
      </c>
      <c r="D27" s="30" t="s">
        <v>37</v>
      </c>
      <c r="E27" s="30">
        <v>0</v>
      </c>
      <c r="F27" s="33">
        <f t="shared" si="3"/>
        <v>0</v>
      </c>
      <c r="G27" s="30">
        <v>0</v>
      </c>
      <c r="H27" s="33">
        <f t="shared" si="0"/>
        <v>0</v>
      </c>
      <c r="I27" s="30">
        <f t="shared" si="1"/>
        <v>0</v>
      </c>
      <c r="J27" s="33">
        <f t="shared" si="2"/>
        <v>0</v>
      </c>
    </row>
    <row r="28" spans="2:14" ht="16.5">
      <c r="B28" s="34" t="s">
        <v>26</v>
      </c>
      <c r="C28" s="30" t="s">
        <v>31</v>
      </c>
      <c r="D28" s="30" t="s">
        <v>38</v>
      </c>
      <c r="E28" s="30">
        <v>1</v>
      </c>
      <c r="F28" s="33">
        <f t="shared" si="3"/>
        <v>0.05</v>
      </c>
      <c r="G28" s="30">
        <v>0</v>
      </c>
      <c r="H28" s="33">
        <f t="shared" si="0"/>
        <v>0</v>
      </c>
      <c r="I28" s="30">
        <f t="shared" si="1"/>
        <v>1</v>
      </c>
      <c r="J28" s="33">
        <f t="shared" si="2"/>
        <v>2.5000000000000001E-2</v>
      </c>
    </row>
    <row r="29" spans="2:14" ht="16.5">
      <c r="B29" s="34" t="s">
        <v>26</v>
      </c>
      <c r="C29" s="30" t="s">
        <v>39</v>
      </c>
      <c r="D29" s="30" t="s">
        <v>40</v>
      </c>
      <c r="E29" s="30">
        <v>19</v>
      </c>
      <c r="F29" s="33">
        <f t="shared" si="3"/>
        <v>0.95</v>
      </c>
      <c r="G29" s="30">
        <v>15</v>
      </c>
      <c r="H29" s="33">
        <f t="shared" si="0"/>
        <v>0.75</v>
      </c>
      <c r="I29" s="30">
        <f t="shared" si="1"/>
        <v>34</v>
      </c>
      <c r="J29" s="33">
        <f t="shared" si="2"/>
        <v>0.85</v>
      </c>
    </row>
    <row r="30" spans="2:14" ht="16.5">
      <c r="B30" s="34" t="s">
        <v>26</v>
      </c>
      <c r="C30" s="30" t="s">
        <v>41</v>
      </c>
      <c r="D30" s="30" t="s">
        <v>42</v>
      </c>
      <c r="E30" s="30">
        <v>19</v>
      </c>
      <c r="F30" s="33">
        <f t="shared" si="3"/>
        <v>0.95</v>
      </c>
      <c r="G30" s="30">
        <v>18</v>
      </c>
      <c r="H30" s="33">
        <f t="shared" si="0"/>
        <v>0.9</v>
      </c>
      <c r="I30" s="30">
        <f t="shared" si="1"/>
        <v>37</v>
      </c>
      <c r="J30" s="33">
        <f t="shared" si="2"/>
        <v>0.92500000000000004</v>
      </c>
    </row>
    <row r="31" spans="2:14" ht="16.5">
      <c r="B31" s="34" t="s">
        <v>43</v>
      </c>
      <c r="C31" s="30" t="s">
        <v>44</v>
      </c>
      <c r="D31" s="30" t="s">
        <v>45</v>
      </c>
      <c r="E31" s="30">
        <v>20</v>
      </c>
      <c r="F31" s="33">
        <f t="shared" si="3"/>
        <v>1</v>
      </c>
      <c r="G31" s="30">
        <v>20</v>
      </c>
      <c r="H31" s="33">
        <f t="shared" si="0"/>
        <v>1</v>
      </c>
      <c r="I31" s="30">
        <f t="shared" si="1"/>
        <v>40</v>
      </c>
      <c r="J31" s="33">
        <f t="shared" si="2"/>
        <v>1</v>
      </c>
    </row>
    <row r="32" spans="2:14" ht="16.5">
      <c r="B32" s="34" t="s">
        <v>43</v>
      </c>
      <c r="C32" s="30" t="s">
        <v>46</v>
      </c>
      <c r="D32" s="30" t="s">
        <v>47</v>
      </c>
      <c r="E32" s="30">
        <v>18</v>
      </c>
      <c r="F32" s="33">
        <f t="shared" si="3"/>
        <v>0.9</v>
      </c>
      <c r="G32" s="30">
        <v>17</v>
      </c>
      <c r="H32" s="33">
        <f t="shared" si="0"/>
        <v>0.85</v>
      </c>
      <c r="I32" s="30">
        <f t="shared" si="1"/>
        <v>35</v>
      </c>
      <c r="J32" s="33">
        <f t="shared" si="2"/>
        <v>0.875</v>
      </c>
    </row>
    <row r="33" spans="2:10" ht="16.5">
      <c r="B33" s="34" t="s">
        <v>43</v>
      </c>
      <c r="C33" s="30" t="s">
        <v>48</v>
      </c>
      <c r="D33" s="30" t="s">
        <v>49</v>
      </c>
      <c r="E33" s="30">
        <v>18</v>
      </c>
      <c r="F33" s="33">
        <f t="shared" si="3"/>
        <v>0.9</v>
      </c>
      <c r="G33" s="30">
        <v>12</v>
      </c>
      <c r="H33" s="33">
        <f t="shared" si="0"/>
        <v>0.6</v>
      </c>
      <c r="I33" s="30">
        <f t="shared" si="1"/>
        <v>30</v>
      </c>
      <c r="J33" s="33">
        <f t="shared" si="2"/>
        <v>0.75</v>
      </c>
    </row>
    <row r="34" spans="2:10" ht="16.5">
      <c r="B34" s="34" t="s">
        <v>43</v>
      </c>
      <c r="C34" s="30" t="s">
        <v>48</v>
      </c>
      <c r="D34" s="30" t="s">
        <v>50</v>
      </c>
      <c r="E34" s="30">
        <v>5</v>
      </c>
      <c r="F34" s="33">
        <f t="shared" si="3"/>
        <v>0.25</v>
      </c>
      <c r="G34" s="30">
        <v>0</v>
      </c>
      <c r="H34" s="33">
        <f t="shared" si="0"/>
        <v>0</v>
      </c>
      <c r="I34" s="30">
        <f t="shared" si="1"/>
        <v>5</v>
      </c>
      <c r="J34" s="33">
        <f t="shared" si="2"/>
        <v>0.125</v>
      </c>
    </row>
    <row r="35" spans="2:10" ht="16.5">
      <c r="B35" s="34" t="s">
        <v>43</v>
      </c>
      <c r="C35" s="30" t="s">
        <v>51</v>
      </c>
      <c r="D35" s="30" t="s">
        <v>52</v>
      </c>
      <c r="E35" s="30">
        <v>21</v>
      </c>
      <c r="F35" s="33">
        <f t="shared" si="3"/>
        <v>1.05</v>
      </c>
      <c r="G35" s="30">
        <v>18</v>
      </c>
      <c r="H35" s="33">
        <f t="shared" si="0"/>
        <v>0.9</v>
      </c>
      <c r="I35" s="30">
        <f t="shared" si="1"/>
        <v>39</v>
      </c>
      <c r="J35" s="33">
        <f t="shared" si="2"/>
        <v>0.97499999999999998</v>
      </c>
    </row>
    <row r="36" spans="2:10" ht="16.5">
      <c r="B36" s="34" t="s">
        <v>43</v>
      </c>
      <c r="C36" s="30" t="s">
        <v>54</v>
      </c>
      <c r="D36" s="30" t="s">
        <v>55</v>
      </c>
      <c r="E36" s="30">
        <v>18</v>
      </c>
      <c r="F36" s="33">
        <f t="shared" si="3"/>
        <v>0.9</v>
      </c>
      <c r="G36" s="30">
        <v>15</v>
      </c>
      <c r="H36" s="33">
        <f t="shared" si="0"/>
        <v>0.75</v>
      </c>
      <c r="I36" s="30">
        <f t="shared" si="1"/>
        <v>33</v>
      </c>
      <c r="J36" s="33">
        <f t="shared" si="2"/>
        <v>0.82499999999999996</v>
      </c>
    </row>
    <row r="37" spans="2:10" ht="16.5">
      <c r="B37" s="34" t="s">
        <v>56</v>
      </c>
      <c r="C37" s="30" t="s">
        <v>57</v>
      </c>
      <c r="D37" s="30" t="s">
        <v>58</v>
      </c>
      <c r="E37" s="30">
        <v>0</v>
      </c>
      <c r="F37" s="33">
        <f t="shared" si="3"/>
        <v>0</v>
      </c>
      <c r="G37" s="30">
        <v>0</v>
      </c>
      <c r="H37" s="33">
        <f t="shared" si="0"/>
        <v>0</v>
      </c>
      <c r="I37" s="30">
        <f t="shared" si="1"/>
        <v>0</v>
      </c>
      <c r="J37" s="33">
        <f t="shared" si="2"/>
        <v>0</v>
      </c>
    </row>
    <row r="38" spans="2:10" ht="16.5">
      <c r="B38" s="34" t="s">
        <v>56</v>
      </c>
      <c r="C38" s="30" t="s">
        <v>57</v>
      </c>
      <c r="D38" s="30" t="s">
        <v>59</v>
      </c>
      <c r="E38" s="30">
        <v>20</v>
      </c>
      <c r="F38" s="33">
        <f t="shared" si="3"/>
        <v>1</v>
      </c>
      <c r="G38" s="30">
        <v>18</v>
      </c>
      <c r="H38" s="33">
        <f t="shared" si="0"/>
        <v>0.9</v>
      </c>
      <c r="I38" s="30">
        <f t="shared" si="1"/>
        <v>38</v>
      </c>
      <c r="J38" s="33">
        <f t="shared" si="2"/>
        <v>0.95</v>
      </c>
    </row>
    <row r="39" spans="2:10" ht="16.5">
      <c r="B39" s="34" t="s">
        <v>56</v>
      </c>
      <c r="C39" s="30" t="s">
        <v>60</v>
      </c>
      <c r="D39" s="30" t="s">
        <v>61</v>
      </c>
      <c r="E39" s="30">
        <v>13</v>
      </c>
      <c r="F39" s="33">
        <f t="shared" si="3"/>
        <v>0.65</v>
      </c>
      <c r="G39" s="30">
        <v>12</v>
      </c>
      <c r="H39" s="33">
        <f t="shared" si="0"/>
        <v>0.6</v>
      </c>
      <c r="I39" s="30">
        <f t="shared" si="1"/>
        <v>25</v>
      </c>
      <c r="J39" s="33">
        <f t="shared" si="2"/>
        <v>0.625</v>
      </c>
    </row>
    <row r="40" spans="2:10" ht="16.5">
      <c r="B40" s="34" t="s">
        <v>56</v>
      </c>
      <c r="C40" s="30" t="s">
        <v>60</v>
      </c>
      <c r="D40" s="30" t="s">
        <v>62</v>
      </c>
      <c r="E40" s="30">
        <v>10</v>
      </c>
      <c r="F40" s="33">
        <f t="shared" si="3"/>
        <v>0.5</v>
      </c>
      <c r="G40" s="30">
        <v>7</v>
      </c>
      <c r="H40" s="33">
        <f t="shared" si="0"/>
        <v>0.35</v>
      </c>
      <c r="I40" s="30">
        <f t="shared" si="1"/>
        <v>17</v>
      </c>
      <c r="J40" s="33">
        <f t="shared" si="2"/>
        <v>0.42499999999999999</v>
      </c>
    </row>
    <row r="41" spans="2:10" ht="16.5">
      <c r="B41" s="34" t="s">
        <v>56</v>
      </c>
      <c r="C41" s="30" t="s">
        <v>63</v>
      </c>
      <c r="D41" s="30" t="s">
        <v>64</v>
      </c>
      <c r="E41" s="30">
        <v>18</v>
      </c>
      <c r="F41" s="33">
        <f t="shared" si="3"/>
        <v>0.9</v>
      </c>
      <c r="G41" s="30">
        <v>16</v>
      </c>
      <c r="H41" s="33">
        <f t="shared" si="0"/>
        <v>0.8</v>
      </c>
      <c r="I41" s="30">
        <f t="shared" si="1"/>
        <v>34</v>
      </c>
      <c r="J41" s="33">
        <f t="shared" si="2"/>
        <v>0.85</v>
      </c>
    </row>
    <row r="42" spans="2:10" ht="16.5">
      <c r="B42" s="34" t="s">
        <v>56</v>
      </c>
      <c r="C42" s="30" t="s">
        <v>63</v>
      </c>
      <c r="D42" s="30" t="s">
        <v>65</v>
      </c>
      <c r="E42" s="30">
        <v>17</v>
      </c>
      <c r="F42" s="33">
        <f t="shared" si="3"/>
        <v>0.85</v>
      </c>
      <c r="G42" s="30">
        <v>18</v>
      </c>
      <c r="H42" s="33">
        <f t="shared" si="0"/>
        <v>0.9</v>
      </c>
      <c r="I42" s="30">
        <f t="shared" si="1"/>
        <v>35</v>
      </c>
      <c r="J42" s="33">
        <f t="shared" si="2"/>
        <v>0.875</v>
      </c>
    </row>
    <row r="43" spans="2:10" ht="16.5">
      <c r="B43" s="34" t="s">
        <v>56</v>
      </c>
      <c r="C43" s="30" t="s">
        <v>66</v>
      </c>
      <c r="D43" s="30" t="s">
        <v>67</v>
      </c>
      <c r="E43" s="30">
        <v>19</v>
      </c>
      <c r="F43" s="33">
        <f t="shared" si="3"/>
        <v>0.95</v>
      </c>
      <c r="G43" s="30">
        <v>16</v>
      </c>
      <c r="H43" s="33">
        <f t="shared" si="0"/>
        <v>0.8</v>
      </c>
      <c r="I43" s="30">
        <f t="shared" si="1"/>
        <v>35</v>
      </c>
      <c r="J43" s="33">
        <f t="shared" si="2"/>
        <v>0.875</v>
      </c>
    </row>
    <row r="44" spans="2:10" ht="16.5">
      <c r="B44" s="34" t="s">
        <v>56</v>
      </c>
      <c r="C44" s="30" t="s">
        <v>68</v>
      </c>
      <c r="D44" s="30" t="s">
        <v>69</v>
      </c>
      <c r="E44" s="30">
        <v>19</v>
      </c>
      <c r="F44" s="33">
        <f t="shared" si="3"/>
        <v>0.95</v>
      </c>
      <c r="G44" s="30">
        <v>19</v>
      </c>
      <c r="H44" s="33">
        <f t="shared" si="0"/>
        <v>0.95</v>
      </c>
      <c r="I44" s="30">
        <f t="shared" si="1"/>
        <v>38</v>
      </c>
      <c r="J44" s="33">
        <f t="shared" si="2"/>
        <v>0.95</v>
      </c>
    </row>
    <row r="45" spans="2:10" ht="16.5">
      <c r="B45" s="34" t="s">
        <v>56</v>
      </c>
      <c r="C45" s="30" t="s">
        <v>70</v>
      </c>
      <c r="D45" s="30" t="s">
        <v>71</v>
      </c>
      <c r="E45" s="30">
        <v>19</v>
      </c>
      <c r="F45" s="33">
        <f t="shared" si="3"/>
        <v>0.95</v>
      </c>
      <c r="G45" s="30">
        <v>19</v>
      </c>
      <c r="H45" s="33">
        <f t="shared" si="0"/>
        <v>0.95</v>
      </c>
      <c r="I45" s="30">
        <f t="shared" si="1"/>
        <v>38</v>
      </c>
      <c r="J45" s="33">
        <f t="shared" si="2"/>
        <v>0.95</v>
      </c>
    </row>
    <row r="46" spans="2:10" ht="16.5">
      <c r="B46" s="34" t="s">
        <v>72</v>
      </c>
      <c r="C46" s="30" t="s">
        <v>73</v>
      </c>
      <c r="D46" s="30" t="s">
        <v>74</v>
      </c>
      <c r="E46" s="30">
        <v>19</v>
      </c>
      <c r="F46" s="33">
        <f t="shared" si="3"/>
        <v>0.95</v>
      </c>
      <c r="G46" s="30">
        <v>16</v>
      </c>
      <c r="H46" s="33">
        <f t="shared" si="0"/>
        <v>0.8</v>
      </c>
      <c r="I46" s="30">
        <f t="shared" si="1"/>
        <v>35</v>
      </c>
      <c r="J46" s="33">
        <f t="shared" si="2"/>
        <v>0.875</v>
      </c>
    </row>
    <row r="47" spans="2:10" ht="16.5">
      <c r="B47" s="34" t="s">
        <v>72</v>
      </c>
      <c r="C47" s="30" t="s">
        <v>73</v>
      </c>
      <c r="D47" s="30" t="s">
        <v>75</v>
      </c>
      <c r="E47" s="30">
        <v>0</v>
      </c>
      <c r="F47" s="33">
        <f t="shared" si="3"/>
        <v>0</v>
      </c>
      <c r="G47" s="30">
        <v>0</v>
      </c>
      <c r="H47" s="33">
        <f t="shared" si="0"/>
        <v>0</v>
      </c>
      <c r="I47" s="30">
        <f t="shared" si="1"/>
        <v>0</v>
      </c>
      <c r="J47" s="33">
        <f t="shared" si="2"/>
        <v>0</v>
      </c>
    </row>
    <row r="48" spans="2:10" ht="16.5">
      <c r="B48" s="34" t="s">
        <v>72</v>
      </c>
      <c r="C48" s="30" t="s">
        <v>76</v>
      </c>
      <c r="D48" s="30" t="s">
        <v>77</v>
      </c>
      <c r="E48" s="30">
        <v>19</v>
      </c>
      <c r="F48" s="33">
        <f t="shared" si="3"/>
        <v>0.95</v>
      </c>
      <c r="G48" s="30">
        <v>16</v>
      </c>
      <c r="H48" s="33">
        <f t="shared" si="0"/>
        <v>0.8</v>
      </c>
      <c r="I48" s="30">
        <f t="shared" si="1"/>
        <v>35</v>
      </c>
      <c r="J48" s="33">
        <f t="shared" si="2"/>
        <v>0.875</v>
      </c>
    </row>
    <row r="49" spans="2:10" ht="16.5">
      <c r="B49" s="34" t="s">
        <v>72</v>
      </c>
      <c r="C49" s="30" t="s">
        <v>76</v>
      </c>
      <c r="D49" s="30" t="s">
        <v>78</v>
      </c>
      <c r="E49" s="30">
        <v>0</v>
      </c>
      <c r="F49" s="33">
        <f t="shared" si="3"/>
        <v>0</v>
      </c>
      <c r="G49" s="30">
        <v>0</v>
      </c>
      <c r="H49" s="33">
        <f t="shared" si="0"/>
        <v>0</v>
      </c>
      <c r="I49" s="30">
        <f t="shared" si="1"/>
        <v>0</v>
      </c>
      <c r="J49" s="33">
        <f t="shared" si="2"/>
        <v>0</v>
      </c>
    </row>
    <row r="50" spans="2:10" ht="16.5">
      <c r="B50" s="34" t="s">
        <v>72</v>
      </c>
      <c r="C50" s="30" t="s">
        <v>76</v>
      </c>
      <c r="D50" s="30" t="s">
        <v>79</v>
      </c>
      <c r="E50" s="30">
        <v>0</v>
      </c>
      <c r="F50" s="33">
        <f t="shared" si="3"/>
        <v>0</v>
      </c>
      <c r="G50" s="30">
        <v>0</v>
      </c>
      <c r="H50" s="33">
        <f t="shared" si="0"/>
        <v>0</v>
      </c>
      <c r="I50" s="30">
        <f t="shared" si="1"/>
        <v>0</v>
      </c>
      <c r="J50" s="33">
        <f t="shared" si="2"/>
        <v>0</v>
      </c>
    </row>
    <row r="51" spans="2:10" ht="16.5">
      <c r="B51" s="34" t="s">
        <v>72</v>
      </c>
      <c r="C51" s="30" t="s">
        <v>76</v>
      </c>
      <c r="D51" s="30" t="s">
        <v>80</v>
      </c>
      <c r="E51" s="30">
        <v>0</v>
      </c>
      <c r="F51" s="33">
        <f t="shared" si="3"/>
        <v>0</v>
      </c>
      <c r="G51" s="30">
        <v>0</v>
      </c>
      <c r="H51" s="33">
        <f t="shared" si="0"/>
        <v>0</v>
      </c>
      <c r="I51" s="30">
        <f t="shared" si="1"/>
        <v>0</v>
      </c>
      <c r="J51" s="33">
        <f t="shared" si="2"/>
        <v>0</v>
      </c>
    </row>
    <row r="52" spans="2:10" ht="16.5">
      <c r="B52" s="34" t="s">
        <v>72</v>
      </c>
      <c r="C52" s="30" t="s">
        <v>76</v>
      </c>
      <c r="D52" s="30" t="s">
        <v>81</v>
      </c>
      <c r="E52" s="30">
        <v>0</v>
      </c>
      <c r="F52" s="33">
        <f t="shared" si="3"/>
        <v>0</v>
      </c>
      <c r="G52" s="30">
        <v>0</v>
      </c>
      <c r="H52" s="33">
        <f t="shared" si="0"/>
        <v>0</v>
      </c>
      <c r="I52" s="30">
        <f t="shared" si="1"/>
        <v>0</v>
      </c>
      <c r="J52" s="33">
        <f t="shared" si="2"/>
        <v>0</v>
      </c>
    </row>
    <row r="53" spans="2:10" ht="16.5">
      <c r="B53" s="34" t="s">
        <v>72</v>
      </c>
      <c r="C53" s="30" t="s">
        <v>82</v>
      </c>
      <c r="D53" s="30" t="s">
        <v>83</v>
      </c>
      <c r="E53" s="30">
        <v>12</v>
      </c>
      <c r="F53" s="33">
        <f t="shared" si="3"/>
        <v>0.6</v>
      </c>
      <c r="G53" s="30">
        <v>7</v>
      </c>
      <c r="H53" s="33">
        <f t="shared" si="0"/>
        <v>0.35</v>
      </c>
      <c r="I53" s="30">
        <f t="shared" si="1"/>
        <v>19</v>
      </c>
      <c r="J53" s="33">
        <f t="shared" si="2"/>
        <v>0.47499999999999998</v>
      </c>
    </row>
    <row r="54" spans="2:10" ht="16.5">
      <c r="B54" s="34" t="s">
        <v>72</v>
      </c>
      <c r="C54" s="30" t="s">
        <v>82</v>
      </c>
      <c r="D54" s="30" t="s">
        <v>84</v>
      </c>
      <c r="E54" s="30">
        <v>11</v>
      </c>
      <c r="F54" s="33">
        <f t="shared" si="3"/>
        <v>0.55000000000000004</v>
      </c>
      <c r="G54" s="30">
        <v>4</v>
      </c>
      <c r="H54" s="33">
        <f t="shared" si="0"/>
        <v>0.2</v>
      </c>
      <c r="I54" s="30">
        <f t="shared" si="1"/>
        <v>15</v>
      </c>
      <c r="J54" s="33">
        <f t="shared" si="2"/>
        <v>0.375</v>
      </c>
    </row>
    <row r="55" spans="2:10" ht="16.5">
      <c r="B55" s="34" t="s">
        <v>72</v>
      </c>
      <c r="C55" s="30" t="s">
        <v>85</v>
      </c>
      <c r="D55" s="30" t="s">
        <v>86</v>
      </c>
      <c r="E55" s="30">
        <v>13</v>
      </c>
      <c r="F55" s="33">
        <f t="shared" si="3"/>
        <v>0.65</v>
      </c>
      <c r="G55" s="30">
        <v>5</v>
      </c>
      <c r="H55" s="33">
        <f t="shared" si="0"/>
        <v>0.25</v>
      </c>
      <c r="I55" s="30">
        <f t="shared" si="1"/>
        <v>18</v>
      </c>
      <c r="J55" s="33">
        <f t="shared" si="2"/>
        <v>0.45</v>
      </c>
    </row>
    <row r="56" spans="2:10" ht="16.5">
      <c r="B56" s="34" t="s">
        <v>72</v>
      </c>
      <c r="C56" s="30" t="s">
        <v>85</v>
      </c>
      <c r="D56" s="30" t="s">
        <v>87</v>
      </c>
      <c r="E56" s="30">
        <v>10</v>
      </c>
      <c r="F56" s="33">
        <f t="shared" si="3"/>
        <v>0.5</v>
      </c>
      <c r="G56" s="30">
        <v>7</v>
      </c>
      <c r="H56" s="33">
        <f t="shared" si="0"/>
        <v>0.35</v>
      </c>
      <c r="I56" s="30">
        <f t="shared" si="1"/>
        <v>17</v>
      </c>
      <c r="J56" s="33">
        <f t="shared" si="2"/>
        <v>0.42499999999999999</v>
      </c>
    </row>
    <row r="57" spans="2:10" ht="16.5">
      <c r="B57" s="34" t="s">
        <v>72</v>
      </c>
      <c r="C57" s="30" t="s">
        <v>85</v>
      </c>
      <c r="D57" s="30" t="s">
        <v>88</v>
      </c>
      <c r="E57" s="30">
        <v>5</v>
      </c>
      <c r="F57" s="33">
        <f t="shared" si="3"/>
        <v>0.25</v>
      </c>
      <c r="G57" s="30">
        <v>5</v>
      </c>
      <c r="H57" s="33">
        <f t="shared" si="0"/>
        <v>0.25</v>
      </c>
      <c r="I57" s="30">
        <f t="shared" si="1"/>
        <v>10</v>
      </c>
      <c r="J57" s="33">
        <f t="shared" si="2"/>
        <v>0.25</v>
      </c>
    </row>
    <row r="58" spans="2:10" ht="16.5">
      <c r="B58" s="34" t="s">
        <v>72</v>
      </c>
      <c r="C58" s="30" t="s">
        <v>89</v>
      </c>
      <c r="D58" s="30" t="s">
        <v>90</v>
      </c>
      <c r="E58" s="30">
        <v>21</v>
      </c>
      <c r="F58" s="33">
        <f t="shared" si="3"/>
        <v>1.05</v>
      </c>
      <c r="G58" s="30">
        <v>19</v>
      </c>
      <c r="H58" s="33">
        <f t="shared" si="0"/>
        <v>0.95</v>
      </c>
      <c r="I58" s="30">
        <f t="shared" si="1"/>
        <v>40</v>
      </c>
      <c r="J58" s="33">
        <f t="shared" si="2"/>
        <v>1</v>
      </c>
    </row>
    <row r="59" spans="2:10" ht="16.5">
      <c r="B59" s="34" t="s">
        <v>72</v>
      </c>
      <c r="C59" s="30" t="s">
        <v>91</v>
      </c>
      <c r="D59" s="30" t="s">
        <v>92</v>
      </c>
      <c r="E59" s="30">
        <v>19</v>
      </c>
      <c r="F59" s="33">
        <f t="shared" si="3"/>
        <v>0.95</v>
      </c>
      <c r="G59" s="30">
        <v>16</v>
      </c>
      <c r="H59" s="33">
        <f t="shared" si="0"/>
        <v>0.8</v>
      </c>
      <c r="I59" s="30">
        <f t="shared" si="1"/>
        <v>35</v>
      </c>
      <c r="J59" s="33">
        <f t="shared" si="2"/>
        <v>0.875</v>
      </c>
    </row>
    <row r="60" spans="2:10" ht="16.5">
      <c r="B60" s="34" t="s">
        <v>72</v>
      </c>
      <c r="C60" s="30" t="s">
        <v>91</v>
      </c>
      <c r="D60" s="30" t="s">
        <v>93</v>
      </c>
      <c r="E60" s="30">
        <v>0</v>
      </c>
      <c r="F60" s="33">
        <f t="shared" si="3"/>
        <v>0</v>
      </c>
      <c r="G60" s="30">
        <v>0</v>
      </c>
      <c r="H60" s="33">
        <f t="shared" si="0"/>
        <v>0</v>
      </c>
      <c r="I60" s="30">
        <f t="shared" si="1"/>
        <v>0</v>
      </c>
      <c r="J60" s="33">
        <f t="shared" si="2"/>
        <v>0</v>
      </c>
    </row>
    <row r="61" spans="2:10" ht="16.5">
      <c r="B61" s="34" t="s">
        <v>94</v>
      </c>
      <c r="C61" s="30" t="s">
        <v>95</v>
      </c>
      <c r="D61" s="30" t="s">
        <v>96</v>
      </c>
      <c r="E61" s="30">
        <v>19</v>
      </c>
      <c r="F61" s="33">
        <f t="shared" si="3"/>
        <v>0.95</v>
      </c>
      <c r="G61" s="30">
        <v>17</v>
      </c>
      <c r="H61" s="33">
        <f t="shared" si="0"/>
        <v>0.85</v>
      </c>
      <c r="I61" s="30">
        <f t="shared" si="1"/>
        <v>36</v>
      </c>
      <c r="J61" s="33">
        <f t="shared" si="2"/>
        <v>0.9</v>
      </c>
    </row>
    <row r="62" spans="2:10" ht="16.5">
      <c r="B62" s="34" t="s">
        <v>97</v>
      </c>
      <c r="C62" s="30" t="s">
        <v>98</v>
      </c>
      <c r="D62" s="30" t="s">
        <v>99</v>
      </c>
      <c r="E62" s="30">
        <v>20</v>
      </c>
      <c r="F62" s="33">
        <f t="shared" si="3"/>
        <v>1</v>
      </c>
      <c r="G62" s="30">
        <v>16</v>
      </c>
      <c r="H62" s="33">
        <f t="shared" si="0"/>
        <v>0.8</v>
      </c>
      <c r="I62" s="30">
        <f t="shared" si="1"/>
        <v>36</v>
      </c>
      <c r="J62" s="33">
        <f t="shared" si="2"/>
        <v>0.9</v>
      </c>
    </row>
    <row r="63" spans="2:10" ht="16.5">
      <c r="B63" s="34" t="s">
        <v>97</v>
      </c>
      <c r="C63" s="30" t="s">
        <v>100</v>
      </c>
      <c r="D63" s="30" t="s">
        <v>101</v>
      </c>
      <c r="E63" s="30">
        <v>18</v>
      </c>
      <c r="F63" s="33">
        <f t="shared" si="3"/>
        <v>0.9</v>
      </c>
      <c r="G63" s="30">
        <v>9</v>
      </c>
      <c r="H63" s="33">
        <f t="shared" si="0"/>
        <v>0.45</v>
      </c>
      <c r="I63" s="30">
        <f t="shared" si="1"/>
        <v>27</v>
      </c>
      <c r="J63" s="33">
        <f t="shared" si="2"/>
        <v>0.67500000000000004</v>
      </c>
    </row>
    <row r="64" spans="2:10" ht="16.5">
      <c r="B64" s="34" t="s">
        <v>97</v>
      </c>
      <c r="C64" s="30" t="s">
        <v>102</v>
      </c>
      <c r="D64" s="30" t="s">
        <v>103</v>
      </c>
      <c r="E64" s="30">
        <v>11</v>
      </c>
      <c r="F64" s="33">
        <f t="shared" si="3"/>
        <v>0.55000000000000004</v>
      </c>
      <c r="G64" s="30">
        <v>6</v>
      </c>
      <c r="H64" s="33">
        <f t="shared" si="0"/>
        <v>0.3</v>
      </c>
      <c r="I64" s="30">
        <f t="shared" si="1"/>
        <v>17</v>
      </c>
      <c r="J64" s="33">
        <f t="shared" si="2"/>
        <v>0.42499999999999999</v>
      </c>
    </row>
    <row r="65" spans="2:10" ht="16.5">
      <c r="B65" s="34" t="s">
        <v>97</v>
      </c>
      <c r="C65" s="30" t="s">
        <v>102</v>
      </c>
      <c r="D65" s="30" t="s">
        <v>104</v>
      </c>
      <c r="E65" s="30">
        <v>11</v>
      </c>
      <c r="F65" s="33">
        <f t="shared" si="3"/>
        <v>0.55000000000000004</v>
      </c>
      <c r="G65" s="30">
        <v>7</v>
      </c>
      <c r="H65" s="33">
        <f t="shared" si="0"/>
        <v>0.35</v>
      </c>
      <c r="I65" s="30">
        <f t="shared" si="1"/>
        <v>18</v>
      </c>
      <c r="J65" s="33">
        <f t="shared" si="2"/>
        <v>0.45</v>
      </c>
    </row>
    <row r="66" spans="2:10" ht="16.5">
      <c r="B66" s="34" t="s">
        <v>97</v>
      </c>
      <c r="C66" s="30" t="s">
        <v>105</v>
      </c>
      <c r="D66" s="30" t="s">
        <v>106</v>
      </c>
      <c r="E66" s="30">
        <v>20</v>
      </c>
      <c r="F66" s="33">
        <f t="shared" si="3"/>
        <v>1</v>
      </c>
      <c r="G66" s="30">
        <v>16</v>
      </c>
      <c r="H66" s="33">
        <f t="shared" si="0"/>
        <v>0.8</v>
      </c>
      <c r="I66" s="30">
        <f t="shared" si="1"/>
        <v>36</v>
      </c>
      <c r="J66" s="33">
        <f t="shared" si="2"/>
        <v>0.9</v>
      </c>
    </row>
    <row r="67" spans="2:10" ht="16.5">
      <c r="B67" s="34" t="s">
        <v>97</v>
      </c>
      <c r="C67" s="30" t="s">
        <v>105</v>
      </c>
      <c r="D67" s="30" t="s">
        <v>107</v>
      </c>
      <c r="E67" s="30">
        <v>0</v>
      </c>
      <c r="F67" s="33">
        <f t="shared" si="3"/>
        <v>0</v>
      </c>
      <c r="G67" s="30">
        <v>0</v>
      </c>
      <c r="H67" s="33">
        <f t="shared" si="0"/>
        <v>0</v>
      </c>
      <c r="I67" s="30">
        <f t="shared" si="1"/>
        <v>0</v>
      </c>
      <c r="J67" s="33">
        <f t="shared" si="2"/>
        <v>0</v>
      </c>
    </row>
    <row r="68" spans="2:10" ht="16.5">
      <c r="B68" s="34" t="s">
        <v>108</v>
      </c>
      <c r="C68" s="30" t="s">
        <v>109</v>
      </c>
      <c r="D68" s="30" t="s">
        <v>110</v>
      </c>
      <c r="E68" s="30">
        <v>16</v>
      </c>
      <c r="F68" s="33">
        <f t="shared" si="3"/>
        <v>0.8</v>
      </c>
      <c r="G68" s="30">
        <v>12</v>
      </c>
      <c r="H68" s="33">
        <f t="shared" si="0"/>
        <v>0.6</v>
      </c>
      <c r="I68" s="30">
        <f t="shared" si="1"/>
        <v>28</v>
      </c>
      <c r="J68" s="33">
        <f t="shared" si="2"/>
        <v>0.7</v>
      </c>
    </row>
    <row r="69" spans="2:10" ht="16.5">
      <c r="B69" s="34" t="s">
        <v>108</v>
      </c>
      <c r="C69" s="30" t="s">
        <v>109</v>
      </c>
      <c r="D69" s="30" t="s">
        <v>111</v>
      </c>
      <c r="E69" s="30">
        <v>0</v>
      </c>
      <c r="F69" s="33">
        <f t="shared" si="3"/>
        <v>0</v>
      </c>
      <c r="G69" s="30">
        <v>0</v>
      </c>
      <c r="H69" s="33">
        <f t="shared" ref="H69:H90" si="4">G69/20</f>
        <v>0</v>
      </c>
      <c r="I69" s="30">
        <f t="shared" ref="I69:I98" si="5">E69+G69</f>
        <v>0</v>
      </c>
      <c r="J69" s="33">
        <f t="shared" ref="J69:J88" si="6">I69/40</f>
        <v>0</v>
      </c>
    </row>
    <row r="70" spans="2:10" ht="16.5">
      <c r="B70" s="34" t="s">
        <v>108</v>
      </c>
      <c r="C70" s="30" t="s">
        <v>112</v>
      </c>
      <c r="D70" s="30" t="s">
        <v>113</v>
      </c>
      <c r="E70" s="30">
        <v>15</v>
      </c>
      <c r="F70" s="33">
        <f t="shared" ref="F70:F90" si="7">E70/20</f>
        <v>0.75</v>
      </c>
      <c r="G70" s="30">
        <v>11</v>
      </c>
      <c r="H70" s="33">
        <f t="shared" si="4"/>
        <v>0.55000000000000004</v>
      </c>
      <c r="I70" s="30">
        <f t="shared" si="5"/>
        <v>26</v>
      </c>
      <c r="J70" s="33">
        <f t="shared" si="6"/>
        <v>0.65</v>
      </c>
    </row>
    <row r="71" spans="2:10" ht="16.5">
      <c r="B71" s="34" t="s">
        <v>108</v>
      </c>
      <c r="C71" s="30" t="s">
        <v>112</v>
      </c>
      <c r="D71" s="30" t="s">
        <v>114</v>
      </c>
      <c r="E71" s="30">
        <v>10</v>
      </c>
      <c r="F71" s="33">
        <f t="shared" si="7"/>
        <v>0.5</v>
      </c>
      <c r="G71" s="30">
        <v>3</v>
      </c>
      <c r="H71" s="33">
        <f t="shared" si="4"/>
        <v>0.15</v>
      </c>
      <c r="I71" s="30">
        <f t="shared" si="5"/>
        <v>13</v>
      </c>
      <c r="J71" s="33">
        <f t="shared" si="6"/>
        <v>0.32500000000000001</v>
      </c>
    </row>
    <row r="72" spans="2:10" ht="16.5">
      <c r="B72" s="34" t="s">
        <v>108</v>
      </c>
      <c r="C72" s="30" t="s">
        <v>115</v>
      </c>
      <c r="D72" s="30" t="s">
        <v>116</v>
      </c>
      <c r="E72" s="30">
        <v>19</v>
      </c>
      <c r="F72" s="33">
        <f t="shared" si="7"/>
        <v>0.95</v>
      </c>
      <c r="G72" s="30">
        <v>16</v>
      </c>
      <c r="H72" s="33">
        <f t="shared" si="4"/>
        <v>0.8</v>
      </c>
      <c r="I72" s="30">
        <f t="shared" si="5"/>
        <v>35</v>
      </c>
      <c r="J72" s="33">
        <f t="shared" si="6"/>
        <v>0.875</v>
      </c>
    </row>
    <row r="73" spans="2:10" ht="16.5">
      <c r="B73" s="34" t="s">
        <v>108</v>
      </c>
      <c r="C73" s="30" t="s">
        <v>117</v>
      </c>
      <c r="D73" s="30" t="s">
        <v>118</v>
      </c>
      <c r="E73" s="30">
        <v>19</v>
      </c>
      <c r="F73" s="33">
        <f t="shared" si="7"/>
        <v>0.95</v>
      </c>
      <c r="G73" s="30">
        <v>17</v>
      </c>
      <c r="H73" s="33">
        <f t="shared" si="4"/>
        <v>0.85</v>
      </c>
      <c r="I73" s="30">
        <f t="shared" si="5"/>
        <v>36</v>
      </c>
      <c r="J73" s="33">
        <f t="shared" si="6"/>
        <v>0.9</v>
      </c>
    </row>
    <row r="74" spans="2:10" ht="16.5">
      <c r="B74" s="34" t="s">
        <v>108</v>
      </c>
      <c r="C74" s="30" t="s">
        <v>119</v>
      </c>
      <c r="D74" s="30" t="s">
        <v>120</v>
      </c>
      <c r="E74" s="30">
        <v>20</v>
      </c>
      <c r="F74" s="33">
        <f t="shared" si="7"/>
        <v>1</v>
      </c>
      <c r="G74" s="30">
        <v>19</v>
      </c>
      <c r="H74" s="33">
        <f t="shared" si="4"/>
        <v>0.95</v>
      </c>
      <c r="I74" s="30">
        <f t="shared" si="5"/>
        <v>39</v>
      </c>
      <c r="J74" s="33">
        <f t="shared" si="6"/>
        <v>0.97499999999999998</v>
      </c>
    </row>
    <row r="75" spans="2:10" ht="16.5">
      <c r="B75" s="34" t="s">
        <v>108</v>
      </c>
      <c r="C75" s="30" t="s">
        <v>121</v>
      </c>
      <c r="D75" s="30" t="s">
        <v>122</v>
      </c>
      <c r="E75" s="30">
        <v>15</v>
      </c>
      <c r="F75" s="33">
        <f t="shared" si="7"/>
        <v>0.75</v>
      </c>
      <c r="G75" s="30">
        <v>14</v>
      </c>
      <c r="H75" s="33">
        <f t="shared" si="4"/>
        <v>0.7</v>
      </c>
      <c r="I75" s="30">
        <f t="shared" si="5"/>
        <v>29</v>
      </c>
      <c r="J75" s="33">
        <f t="shared" si="6"/>
        <v>0.72499999999999998</v>
      </c>
    </row>
    <row r="76" spans="2:10" ht="16.5">
      <c r="B76" s="34" t="s">
        <v>123</v>
      </c>
      <c r="C76" s="30" t="s">
        <v>124</v>
      </c>
      <c r="D76" s="30" t="s">
        <v>125</v>
      </c>
      <c r="E76" s="30">
        <v>20</v>
      </c>
      <c r="F76" s="33">
        <f t="shared" si="7"/>
        <v>1</v>
      </c>
      <c r="G76" s="30">
        <v>17</v>
      </c>
      <c r="H76" s="33">
        <f t="shared" si="4"/>
        <v>0.85</v>
      </c>
      <c r="I76" s="30">
        <f t="shared" si="5"/>
        <v>37</v>
      </c>
      <c r="J76" s="33">
        <f t="shared" si="6"/>
        <v>0.92500000000000004</v>
      </c>
    </row>
    <row r="77" spans="2:10" ht="16.5">
      <c r="B77" s="34" t="s">
        <v>123</v>
      </c>
      <c r="C77" s="30" t="s">
        <v>126</v>
      </c>
      <c r="D77" s="30" t="s">
        <v>127</v>
      </c>
      <c r="E77" s="30">
        <v>21</v>
      </c>
      <c r="F77" s="33">
        <f t="shared" si="7"/>
        <v>1.05</v>
      </c>
      <c r="G77" s="30">
        <v>17</v>
      </c>
      <c r="H77" s="33">
        <f t="shared" si="4"/>
        <v>0.85</v>
      </c>
      <c r="I77" s="30">
        <f t="shared" si="5"/>
        <v>38</v>
      </c>
      <c r="J77" s="33">
        <f t="shared" si="6"/>
        <v>0.95</v>
      </c>
    </row>
    <row r="78" spans="2:10" ht="16.5">
      <c r="B78" s="34" t="s">
        <v>123</v>
      </c>
      <c r="C78" s="30" t="s">
        <v>128</v>
      </c>
      <c r="D78" s="30" t="s">
        <v>129</v>
      </c>
      <c r="E78" s="30">
        <v>20</v>
      </c>
      <c r="F78" s="33">
        <f t="shared" si="7"/>
        <v>1</v>
      </c>
      <c r="G78" s="30">
        <v>18</v>
      </c>
      <c r="H78" s="33">
        <f t="shared" si="4"/>
        <v>0.9</v>
      </c>
      <c r="I78" s="30">
        <f t="shared" si="5"/>
        <v>38</v>
      </c>
      <c r="J78" s="33">
        <f t="shared" si="6"/>
        <v>0.95</v>
      </c>
    </row>
    <row r="79" spans="2:10" ht="16.5">
      <c r="B79" s="34" t="s">
        <v>123</v>
      </c>
      <c r="C79" s="30" t="s">
        <v>130</v>
      </c>
      <c r="D79" s="30" t="s">
        <v>131</v>
      </c>
      <c r="E79" s="30">
        <v>20</v>
      </c>
      <c r="F79" s="33">
        <f t="shared" si="7"/>
        <v>1</v>
      </c>
      <c r="G79" s="30">
        <v>14</v>
      </c>
      <c r="H79" s="33">
        <f t="shared" si="4"/>
        <v>0.7</v>
      </c>
      <c r="I79" s="30">
        <f t="shared" si="5"/>
        <v>34</v>
      </c>
      <c r="J79" s="33">
        <f t="shared" si="6"/>
        <v>0.85</v>
      </c>
    </row>
    <row r="80" spans="2:10" ht="16.5">
      <c r="B80" s="34" t="s">
        <v>123</v>
      </c>
      <c r="C80" s="30" t="s">
        <v>132</v>
      </c>
      <c r="D80" s="30" t="s">
        <v>133</v>
      </c>
      <c r="E80" s="30">
        <v>20</v>
      </c>
      <c r="F80" s="33">
        <f t="shared" si="7"/>
        <v>1</v>
      </c>
      <c r="G80" s="30">
        <v>18</v>
      </c>
      <c r="H80" s="33">
        <f t="shared" si="4"/>
        <v>0.9</v>
      </c>
      <c r="I80" s="30">
        <f t="shared" si="5"/>
        <v>38</v>
      </c>
      <c r="J80" s="33">
        <f t="shared" si="6"/>
        <v>0.95</v>
      </c>
    </row>
    <row r="81" spans="2:10" ht="16.5">
      <c r="B81" s="34" t="s">
        <v>134</v>
      </c>
      <c r="C81" s="30" t="s">
        <v>135</v>
      </c>
      <c r="D81" s="30" t="s">
        <v>136</v>
      </c>
      <c r="E81" s="30">
        <v>20</v>
      </c>
      <c r="F81" s="33">
        <f t="shared" si="7"/>
        <v>1</v>
      </c>
      <c r="G81" s="30">
        <v>18</v>
      </c>
      <c r="H81" s="33">
        <f t="shared" si="4"/>
        <v>0.9</v>
      </c>
      <c r="I81" s="30">
        <f t="shared" si="5"/>
        <v>38</v>
      </c>
      <c r="J81" s="33">
        <f t="shared" si="6"/>
        <v>0.95</v>
      </c>
    </row>
    <row r="82" spans="2:10" ht="16.5">
      <c r="B82" s="34" t="s">
        <v>134</v>
      </c>
      <c r="C82" s="30" t="s">
        <v>135</v>
      </c>
      <c r="D82" s="30" t="s">
        <v>137</v>
      </c>
      <c r="E82" s="30">
        <v>19</v>
      </c>
      <c r="F82" s="33">
        <f t="shared" si="7"/>
        <v>0.95</v>
      </c>
      <c r="G82" s="30">
        <v>16</v>
      </c>
      <c r="H82" s="33">
        <f t="shared" si="4"/>
        <v>0.8</v>
      </c>
      <c r="I82" s="30">
        <f t="shared" si="5"/>
        <v>35</v>
      </c>
      <c r="J82" s="33">
        <f t="shared" si="6"/>
        <v>0.875</v>
      </c>
    </row>
    <row r="83" spans="2:10" ht="16.5">
      <c r="B83" s="34" t="s">
        <v>134</v>
      </c>
      <c r="C83" s="30" t="s">
        <v>135</v>
      </c>
      <c r="D83" s="30" t="s">
        <v>138</v>
      </c>
      <c r="E83" s="30">
        <v>0</v>
      </c>
      <c r="F83" s="33">
        <f t="shared" si="7"/>
        <v>0</v>
      </c>
      <c r="G83" s="30">
        <v>0</v>
      </c>
      <c r="H83" s="33">
        <f t="shared" si="4"/>
        <v>0</v>
      </c>
      <c r="I83" s="30">
        <f t="shared" si="5"/>
        <v>0</v>
      </c>
      <c r="J83" s="33">
        <f t="shared" si="6"/>
        <v>0</v>
      </c>
    </row>
    <row r="84" spans="2:10" ht="16.5">
      <c r="B84" s="34" t="s">
        <v>134</v>
      </c>
      <c r="C84" s="30" t="s">
        <v>135</v>
      </c>
      <c r="D84" s="30" t="s">
        <v>139</v>
      </c>
      <c r="E84" s="30">
        <v>0</v>
      </c>
      <c r="F84" s="33">
        <f t="shared" si="7"/>
        <v>0</v>
      </c>
      <c r="G84" s="30">
        <v>0</v>
      </c>
      <c r="H84" s="33">
        <f t="shared" si="4"/>
        <v>0</v>
      </c>
      <c r="I84" s="30">
        <f t="shared" si="5"/>
        <v>0</v>
      </c>
      <c r="J84" s="33">
        <f t="shared" si="6"/>
        <v>0</v>
      </c>
    </row>
    <row r="85" spans="2:10" ht="16.5">
      <c r="B85" s="34" t="s">
        <v>134</v>
      </c>
      <c r="C85" s="30" t="s">
        <v>135</v>
      </c>
      <c r="D85" s="30" t="s">
        <v>140</v>
      </c>
      <c r="E85" s="30">
        <v>0</v>
      </c>
      <c r="F85" s="33">
        <f t="shared" si="7"/>
        <v>0</v>
      </c>
      <c r="G85" s="30">
        <v>0</v>
      </c>
      <c r="H85" s="33">
        <f t="shared" si="4"/>
        <v>0</v>
      </c>
      <c r="I85" s="30">
        <f t="shared" si="5"/>
        <v>0</v>
      </c>
      <c r="J85" s="33">
        <f t="shared" si="6"/>
        <v>0</v>
      </c>
    </row>
    <row r="86" spans="2:10" ht="16.5">
      <c r="B86" s="34" t="s">
        <v>134</v>
      </c>
      <c r="C86" s="30" t="s">
        <v>141</v>
      </c>
      <c r="D86" s="30" t="s">
        <v>142</v>
      </c>
      <c r="E86" s="30">
        <v>20</v>
      </c>
      <c r="F86" s="33">
        <f t="shared" si="7"/>
        <v>1</v>
      </c>
      <c r="G86" s="30">
        <v>16</v>
      </c>
      <c r="H86" s="33">
        <f t="shared" si="4"/>
        <v>0.8</v>
      </c>
      <c r="I86" s="30">
        <f t="shared" si="5"/>
        <v>36</v>
      </c>
      <c r="J86" s="33">
        <f t="shared" si="6"/>
        <v>0.9</v>
      </c>
    </row>
    <row r="87" spans="2:10" ht="16.5">
      <c r="B87" s="34" t="s">
        <v>134</v>
      </c>
      <c r="C87" s="30" t="s">
        <v>141</v>
      </c>
      <c r="D87" s="30" t="s">
        <v>143</v>
      </c>
      <c r="E87" s="30">
        <v>0</v>
      </c>
      <c r="F87" s="33">
        <f t="shared" si="7"/>
        <v>0</v>
      </c>
      <c r="G87" s="30">
        <v>0</v>
      </c>
      <c r="H87" s="33">
        <f t="shared" si="4"/>
        <v>0</v>
      </c>
      <c r="I87" s="30">
        <f t="shared" si="5"/>
        <v>0</v>
      </c>
      <c r="J87" s="33">
        <f t="shared" si="6"/>
        <v>0</v>
      </c>
    </row>
    <row r="88" spans="2:10" ht="16.5">
      <c r="B88" s="34" t="s">
        <v>134</v>
      </c>
      <c r="C88" s="30" t="s">
        <v>141</v>
      </c>
      <c r="D88" s="30" t="s">
        <v>144</v>
      </c>
      <c r="E88" s="30">
        <v>0</v>
      </c>
      <c r="F88" s="33">
        <f t="shared" si="7"/>
        <v>0</v>
      </c>
      <c r="G88" s="30">
        <v>0</v>
      </c>
      <c r="H88" s="33">
        <f t="shared" si="4"/>
        <v>0</v>
      </c>
      <c r="I88" s="30">
        <f t="shared" si="5"/>
        <v>0</v>
      </c>
      <c r="J88" s="33">
        <f t="shared" si="6"/>
        <v>0</v>
      </c>
    </row>
    <row r="89" spans="2:10" ht="16.5">
      <c r="B89" s="34" t="s">
        <v>134</v>
      </c>
      <c r="C89" s="30" t="s">
        <v>145</v>
      </c>
      <c r="D89" s="30" t="s">
        <v>146</v>
      </c>
      <c r="E89" s="30">
        <v>18</v>
      </c>
      <c r="F89" s="33">
        <f t="shared" si="7"/>
        <v>0.9</v>
      </c>
      <c r="G89" s="30">
        <v>16</v>
      </c>
      <c r="H89" s="33">
        <f t="shared" si="4"/>
        <v>0.8</v>
      </c>
      <c r="I89" s="30">
        <f t="shared" si="5"/>
        <v>34</v>
      </c>
      <c r="J89" s="33">
        <f>I89/40</f>
        <v>0.85</v>
      </c>
    </row>
    <row r="90" spans="2:10" ht="16.5">
      <c r="B90" s="34" t="s">
        <v>147</v>
      </c>
      <c r="C90" s="30" t="s">
        <v>148</v>
      </c>
      <c r="D90" s="30" t="s">
        <v>149</v>
      </c>
      <c r="E90" s="30">
        <v>20</v>
      </c>
      <c r="F90" s="33">
        <f t="shared" si="7"/>
        <v>1</v>
      </c>
      <c r="G90" s="30">
        <v>17</v>
      </c>
      <c r="H90" s="33">
        <f t="shared" si="4"/>
        <v>0.85</v>
      </c>
      <c r="I90" s="30">
        <f t="shared" si="5"/>
        <v>37</v>
      </c>
      <c r="J90" s="33">
        <f>I90/40</f>
        <v>0.92500000000000004</v>
      </c>
    </row>
    <row r="91" spans="2:10" ht="16.5">
      <c r="B91" s="35" t="s">
        <v>150</v>
      </c>
      <c r="C91" s="31" t="s">
        <v>151</v>
      </c>
      <c r="D91" s="32" t="s">
        <v>152</v>
      </c>
      <c r="E91" s="30">
        <v>5</v>
      </c>
      <c r="F91" s="33">
        <f>E91/15</f>
        <v>0.33333333333333331</v>
      </c>
      <c r="G91" s="30">
        <v>6</v>
      </c>
      <c r="H91" s="33">
        <f>G91/15</f>
        <v>0.4</v>
      </c>
      <c r="I91" s="30">
        <f t="shared" si="5"/>
        <v>11</v>
      </c>
      <c r="J91" s="33">
        <f t="shared" ref="J91:J98" si="8">I91/40</f>
        <v>0.27500000000000002</v>
      </c>
    </row>
    <row r="92" spans="2:10" ht="16.5">
      <c r="B92" s="36" t="s">
        <v>150</v>
      </c>
      <c r="C92" s="31" t="s">
        <v>151</v>
      </c>
      <c r="D92" s="31" t="s">
        <v>153</v>
      </c>
      <c r="E92" s="30">
        <v>5</v>
      </c>
      <c r="F92" s="33">
        <f t="shared" ref="F92:F98" si="9">E92/15</f>
        <v>0.33333333333333331</v>
      </c>
      <c r="G92" s="30">
        <v>1</v>
      </c>
      <c r="H92" s="33">
        <f t="shared" ref="H92:H98" si="10">G92/15</f>
        <v>6.6666666666666666E-2</v>
      </c>
      <c r="I92" s="30">
        <f t="shared" si="5"/>
        <v>6</v>
      </c>
      <c r="J92" s="33">
        <f t="shared" si="8"/>
        <v>0.15</v>
      </c>
    </row>
    <row r="93" spans="2:10" ht="16.5">
      <c r="B93" s="36" t="s">
        <v>150</v>
      </c>
      <c r="C93" s="31" t="s">
        <v>151</v>
      </c>
      <c r="D93" s="31" t="s">
        <v>154</v>
      </c>
      <c r="E93" s="30">
        <v>5</v>
      </c>
      <c r="F93" s="33">
        <f t="shared" si="9"/>
        <v>0.33333333333333331</v>
      </c>
      <c r="G93" s="30">
        <v>5</v>
      </c>
      <c r="H93" s="33">
        <f t="shared" si="10"/>
        <v>0.33333333333333331</v>
      </c>
      <c r="I93" s="30">
        <f t="shared" si="5"/>
        <v>10</v>
      </c>
      <c r="J93" s="33">
        <f t="shared" si="8"/>
        <v>0.25</v>
      </c>
    </row>
    <row r="94" spans="2:10" ht="16.5">
      <c r="B94" s="36" t="s">
        <v>150</v>
      </c>
      <c r="C94" s="31" t="s">
        <v>155</v>
      </c>
      <c r="D94" s="31" t="s">
        <v>156</v>
      </c>
      <c r="E94" s="30">
        <v>15</v>
      </c>
      <c r="F94" s="33">
        <f t="shared" si="9"/>
        <v>1</v>
      </c>
      <c r="G94" s="30">
        <v>14</v>
      </c>
      <c r="H94" s="33">
        <f t="shared" si="10"/>
        <v>0.93333333333333335</v>
      </c>
      <c r="I94" s="30">
        <f t="shared" si="5"/>
        <v>29</v>
      </c>
      <c r="J94" s="33">
        <f t="shared" si="8"/>
        <v>0.72499999999999998</v>
      </c>
    </row>
    <row r="95" spans="2:10" ht="16.5">
      <c r="B95" s="36" t="s">
        <v>150</v>
      </c>
      <c r="C95" s="31" t="s">
        <v>157</v>
      </c>
      <c r="D95" s="31" t="s">
        <v>158</v>
      </c>
      <c r="E95" s="30">
        <v>5</v>
      </c>
      <c r="F95" s="33">
        <f t="shared" si="9"/>
        <v>0.33333333333333331</v>
      </c>
      <c r="G95" s="30">
        <v>7</v>
      </c>
      <c r="H95" s="33">
        <f t="shared" si="10"/>
        <v>0.46666666666666667</v>
      </c>
      <c r="I95" s="30">
        <f t="shared" si="5"/>
        <v>12</v>
      </c>
      <c r="J95" s="33">
        <f t="shared" si="8"/>
        <v>0.3</v>
      </c>
    </row>
    <row r="96" spans="2:10" ht="16.5">
      <c r="B96" s="36" t="s">
        <v>150</v>
      </c>
      <c r="C96" s="31" t="s">
        <v>157</v>
      </c>
      <c r="D96" s="31" t="s">
        <v>159</v>
      </c>
      <c r="E96" s="30">
        <v>7</v>
      </c>
      <c r="F96" s="33">
        <f t="shared" si="9"/>
        <v>0.46666666666666667</v>
      </c>
      <c r="G96" s="30">
        <v>5</v>
      </c>
      <c r="H96" s="33">
        <f t="shared" si="10"/>
        <v>0.33333333333333331</v>
      </c>
      <c r="I96" s="30">
        <f t="shared" si="5"/>
        <v>12</v>
      </c>
      <c r="J96" s="33">
        <f t="shared" si="8"/>
        <v>0.3</v>
      </c>
    </row>
    <row r="97" spans="2:10" ht="16.5">
      <c r="B97" s="36" t="s">
        <v>150</v>
      </c>
      <c r="C97" s="31" t="s">
        <v>160</v>
      </c>
      <c r="D97" s="31" t="s">
        <v>161</v>
      </c>
      <c r="E97" s="30">
        <v>12</v>
      </c>
      <c r="F97" s="33">
        <f t="shared" si="9"/>
        <v>0.8</v>
      </c>
      <c r="G97" s="30">
        <v>12</v>
      </c>
      <c r="H97" s="33">
        <f t="shared" si="10"/>
        <v>0.8</v>
      </c>
      <c r="I97" s="30">
        <f t="shared" si="5"/>
        <v>24</v>
      </c>
      <c r="J97" s="33">
        <f t="shared" si="8"/>
        <v>0.6</v>
      </c>
    </row>
    <row r="98" spans="2:10" ht="16.5">
      <c r="B98" s="36" t="s">
        <v>150</v>
      </c>
      <c r="C98" s="31" t="s">
        <v>162</v>
      </c>
      <c r="D98" s="31" t="s">
        <v>163</v>
      </c>
      <c r="E98" s="30">
        <v>10</v>
      </c>
      <c r="F98" s="33">
        <f t="shared" si="9"/>
        <v>0.66666666666666663</v>
      </c>
      <c r="G98" s="30">
        <v>6</v>
      </c>
      <c r="H98" s="33">
        <f t="shared" si="10"/>
        <v>0.4</v>
      </c>
      <c r="I98" s="30">
        <f t="shared" si="5"/>
        <v>16</v>
      </c>
      <c r="J98" s="33">
        <f t="shared" si="8"/>
        <v>0.4</v>
      </c>
    </row>
  </sheetData>
  <autoFilter ref="B2:J98" xr:uid="{63D8F993-BF66-433F-8A3D-6DFDBB0970CF}">
    <filterColumn colId="0">
      <filters>
        <filter val="R1"/>
      </filters>
    </filterColumn>
  </autoFilter>
  <mergeCells count="1">
    <mergeCell ref="K2:P2"/>
  </mergeCells>
  <conditionalFormatting sqref="O4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J4:J9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6B6B-3493-400B-B09C-849251D7EF47}">
  <dimension ref="B2:P99"/>
  <sheetViews>
    <sheetView topLeftCell="P5" workbookViewId="0">
      <selection activeCell="P5" sqref="P5"/>
    </sheetView>
  </sheetViews>
  <sheetFormatPr defaultRowHeight="15" outlineLevelRow="1" outlineLevelCol="1"/>
  <cols>
    <col min="2" max="2" width="21.5703125" customWidth="1"/>
    <col min="3" max="3" width="33.42578125" customWidth="1"/>
    <col min="4" max="4" width="52" customWidth="1"/>
    <col min="5" max="5" width="9.28515625" customWidth="1" outlineLevel="1"/>
    <col min="6" max="6" width="7.5703125" customWidth="1" outlineLevel="1"/>
    <col min="7" max="7" width="4.42578125" customWidth="1" outlineLevel="1"/>
    <col min="8" max="8" width="4.85546875" customWidth="1" outlineLevel="1"/>
    <col min="9" max="9" width="8.140625" customWidth="1" outlineLevel="1"/>
    <col min="10" max="10" width="17" customWidth="1"/>
    <col min="11" max="11" width="5.7109375" customWidth="1"/>
    <col min="12" max="12" width="5.140625" customWidth="1"/>
  </cols>
  <sheetData>
    <row r="2" spans="2:16" ht="25.5" customHeight="1" outlineLevel="1">
      <c r="B2" s="28" t="s">
        <v>587</v>
      </c>
      <c r="C2" s="28"/>
      <c r="D2" s="28" t="s">
        <v>588</v>
      </c>
      <c r="E2" s="28"/>
      <c r="F2" s="28"/>
      <c r="G2" s="28"/>
      <c r="H2" s="28"/>
      <c r="I2" s="28"/>
      <c r="J2" s="28">
        <v>2026</v>
      </c>
      <c r="K2" s="392"/>
      <c r="L2" s="393"/>
      <c r="M2" s="393"/>
      <c r="N2" s="393"/>
      <c r="O2" s="393"/>
      <c r="P2" s="393"/>
    </row>
    <row r="3" spans="2:16" ht="30" customHeight="1" outlineLevel="1">
      <c r="B3" s="29" t="s">
        <v>0</v>
      </c>
      <c r="C3" s="29" t="s">
        <v>1</v>
      </c>
      <c r="D3" s="29" t="s">
        <v>2</v>
      </c>
      <c r="E3" s="37" t="s">
        <v>3</v>
      </c>
      <c r="F3" s="37" t="s">
        <v>171</v>
      </c>
      <c r="G3" s="37" t="s">
        <v>4</v>
      </c>
      <c r="H3" s="37" t="s">
        <v>171</v>
      </c>
      <c r="I3" s="37" t="s">
        <v>173</v>
      </c>
      <c r="J3" s="38" t="s">
        <v>174</v>
      </c>
      <c r="K3" s="1"/>
      <c r="L3" s="1"/>
      <c r="M3" s="1"/>
      <c r="N3" s="1"/>
    </row>
    <row r="4" spans="2:16" ht="16.5">
      <c r="B4" s="34" t="s">
        <v>5</v>
      </c>
      <c r="C4" s="30" t="s">
        <v>6</v>
      </c>
      <c r="D4" s="30" t="s">
        <v>7</v>
      </c>
      <c r="E4" s="30">
        <v>12</v>
      </c>
      <c r="F4" s="33"/>
      <c r="G4" s="30">
        <v>13</v>
      </c>
      <c r="H4" s="33"/>
      <c r="I4" s="30"/>
      <c r="J4" s="33">
        <f>I4/40</f>
        <v>0</v>
      </c>
      <c r="K4" s="26"/>
      <c r="L4" s="26"/>
      <c r="M4" s="26"/>
      <c r="N4" s="26"/>
    </row>
    <row r="5" spans="2:16" ht="16.5">
      <c r="B5" s="34" t="s">
        <v>5</v>
      </c>
      <c r="C5" s="30" t="s">
        <v>6</v>
      </c>
      <c r="D5" s="30" t="s">
        <v>8</v>
      </c>
      <c r="E5" s="30">
        <v>5</v>
      </c>
      <c r="F5" s="33"/>
      <c r="G5" s="30">
        <v>6</v>
      </c>
      <c r="H5" s="33"/>
      <c r="I5" s="30"/>
      <c r="J5" s="33">
        <f t="shared" ref="J5:J69" si="0">I5/40</f>
        <v>0</v>
      </c>
      <c r="K5" s="26"/>
      <c r="L5" s="26"/>
      <c r="M5" s="26"/>
      <c r="N5" s="26"/>
    </row>
    <row r="6" spans="2:16" ht="16.5">
      <c r="B6" s="34" t="s">
        <v>5</v>
      </c>
      <c r="C6" s="30" t="s">
        <v>9</v>
      </c>
      <c r="D6" s="30" t="s">
        <v>10</v>
      </c>
      <c r="E6" s="30">
        <v>12</v>
      </c>
      <c r="F6" s="33"/>
      <c r="G6" s="30">
        <v>13</v>
      </c>
      <c r="H6" s="33"/>
      <c r="I6" s="30"/>
      <c r="J6" s="33">
        <f t="shared" si="0"/>
        <v>0</v>
      </c>
      <c r="K6" s="26"/>
      <c r="L6" s="26"/>
      <c r="M6" s="26"/>
      <c r="N6" s="26"/>
    </row>
    <row r="7" spans="2:16" ht="16.5">
      <c r="B7" s="34" t="s">
        <v>5</v>
      </c>
      <c r="C7" s="30" t="s">
        <v>9</v>
      </c>
      <c r="D7" s="30" t="s">
        <v>11</v>
      </c>
      <c r="E7" s="30">
        <v>6</v>
      </c>
      <c r="F7" s="33"/>
      <c r="G7" s="30">
        <v>5</v>
      </c>
      <c r="H7" s="33"/>
      <c r="I7" s="30"/>
      <c r="J7" s="33">
        <f t="shared" si="0"/>
        <v>0</v>
      </c>
      <c r="K7" s="26"/>
      <c r="L7" s="26"/>
      <c r="M7" s="26"/>
      <c r="N7" s="26"/>
    </row>
    <row r="8" spans="2:16" ht="16.5">
      <c r="B8" s="34" t="s">
        <v>5</v>
      </c>
      <c r="C8" s="30" t="s">
        <v>9</v>
      </c>
      <c r="D8" s="30" t="s">
        <v>12</v>
      </c>
      <c r="E8" s="30">
        <v>0</v>
      </c>
      <c r="F8" s="33"/>
      <c r="G8" s="30">
        <v>0</v>
      </c>
      <c r="H8" s="33"/>
      <c r="I8" s="30"/>
      <c r="J8" s="33">
        <f t="shared" si="0"/>
        <v>0</v>
      </c>
      <c r="K8" s="26"/>
      <c r="L8" s="26"/>
      <c r="M8" s="26"/>
      <c r="N8" s="26"/>
      <c r="P8" s="27"/>
    </row>
    <row r="9" spans="2:16" ht="16.5">
      <c r="B9" s="34" t="s">
        <v>5</v>
      </c>
      <c r="C9" s="30" t="s">
        <v>9</v>
      </c>
      <c r="D9" s="30" t="s">
        <v>13</v>
      </c>
      <c r="E9" s="30">
        <v>0</v>
      </c>
      <c r="F9" s="33"/>
      <c r="G9" s="30">
        <v>0</v>
      </c>
      <c r="H9" s="33"/>
      <c r="I9" s="30"/>
      <c r="J9" s="33">
        <f t="shared" si="0"/>
        <v>0</v>
      </c>
      <c r="K9" s="26"/>
      <c r="L9" s="26"/>
      <c r="M9" s="26"/>
      <c r="N9" s="26"/>
    </row>
    <row r="10" spans="2:16" ht="16.5">
      <c r="B10" s="34" t="s">
        <v>5</v>
      </c>
      <c r="C10" s="30" t="s">
        <v>9</v>
      </c>
      <c r="D10" s="30" t="s">
        <v>14</v>
      </c>
      <c r="E10" s="30">
        <v>0</v>
      </c>
      <c r="F10" s="33"/>
      <c r="G10" s="30">
        <v>0</v>
      </c>
      <c r="H10" s="33"/>
      <c r="I10" s="30"/>
      <c r="J10" s="33">
        <f t="shared" si="0"/>
        <v>0</v>
      </c>
      <c r="K10" s="26"/>
      <c r="L10" s="26"/>
      <c r="M10" s="26"/>
      <c r="N10" s="26"/>
    </row>
    <row r="11" spans="2:16" ht="16.5">
      <c r="B11" s="34" t="s">
        <v>5</v>
      </c>
      <c r="C11" s="30" t="s">
        <v>15</v>
      </c>
      <c r="D11" s="30" t="s">
        <v>16</v>
      </c>
      <c r="E11" s="30">
        <v>15</v>
      </c>
      <c r="F11" s="33"/>
      <c r="G11" s="30">
        <v>17</v>
      </c>
      <c r="H11" s="33"/>
      <c r="I11" s="30"/>
      <c r="J11" s="33">
        <f t="shared" si="0"/>
        <v>0</v>
      </c>
      <c r="K11" s="26"/>
      <c r="L11" s="26"/>
      <c r="M11" s="26"/>
      <c r="N11" s="26"/>
    </row>
    <row r="12" spans="2:16" ht="16.5">
      <c r="B12" s="34" t="s">
        <v>5</v>
      </c>
      <c r="C12" s="30" t="s">
        <v>15</v>
      </c>
      <c r="D12" s="30" t="s">
        <v>17</v>
      </c>
      <c r="E12" s="30">
        <v>2</v>
      </c>
      <c r="F12" s="33"/>
      <c r="G12" s="30">
        <v>0</v>
      </c>
      <c r="H12" s="33"/>
      <c r="I12" s="30"/>
      <c r="J12" s="33">
        <f t="shared" si="0"/>
        <v>0</v>
      </c>
      <c r="K12" s="26"/>
      <c r="L12" s="26"/>
      <c r="M12" s="26"/>
      <c r="N12" s="26"/>
    </row>
    <row r="13" spans="2:16" ht="16.5">
      <c r="B13" s="34" t="s">
        <v>5</v>
      </c>
      <c r="C13" s="30" t="s">
        <v>15</v>
      </c>
      <c r="D13" s="30" t="s">
        <v>18</v>
      </c>
      <c r="E13" s="30">
        <v>0</v>
      </c>
      <c r="F13" s="33"/>
      <c r="G13" s="30">
        <v>0</v>
      </c>
      <c r="H13" s="33"/>
      <c r="I13" s="30"/>
      <c r="J13" s="33">
        <f t="shared" si="0"/>
        <v>0</v>
      </c>
      <c r="K13" s="26"/>
      <c r="L13" s="26"/>
      <c r="M13" s="26"/>
      <c r="N13" s="26"/>
    </row>
    <row r="14" spans="2:16" ht="16.5">
      <c r="B14" s="34" t="s">
        <v>5</v>
      </c>
      <c r="C14" s="30" t="s">
        <v>15</v>
      </c>
      <c r="D14" s="30" t="s">
        <v>19</v>
      </c>
      <c r="E14" s="30">
        <v>0</v>
      </c>
      <c r="F14" s="33"/>
      <c r="G14" s="30">
        <v>0</v>
      </c>
      <c r="H14" s="33"/>
      <c r="I14" s="30"/>
      <c r="J14" s="33">
        <f t="shared" si="0"/>
        <v>0</v>
      </c>
      <c r="K14" s="26"/>
      <c r="L14" s="26"/>
      <c r="M14" s="26"/>
      <c r="N14" s="26"/>
    </row>
    <row r="15" spans="2:16" ht="16.5">
      <c r="B15" s="34" t="s">
        <v>5</v>
      </c>
      <c r="C15" s="30" t="s">
        <v>15</v>
      </c>
      <c r="D15" s="30" t="s">
        <v>20</v>
      </c>
      <c r="E15" s="30">
        <v>0</v>
      </c>
      <c r="F15" s="33"/>
      <c r="G15" s="30">
        <v>0</v>
      </c>
      <c r="H15" s="33"/>
      <c r="I15" s="30"/>
      <c r="J15" s="33">
        <f t="shared" si="0"/>
        <v>0</v>
      </c>
      <c r="K15" s="26"/>
      <c r="L15" s="26"/>
      <c r="M15" s="26"/>
      <c r="N15" s="26"/>
    </row>
    <row r="16" spans="2:16" ht="16.5">
      <c r="B16" s="34" t="s">
        <v>5</v>
      </c>
      <c r="C16" s="30" t="s">
        <v>15</v>
      </c>
      <c r="D16" s="30" t="s">
        <v>21</v>
      </c>
      <c r="E16" s="30">
        <v>0</v>
      </c>
      <c r="F16" s="33"/>
      <c r="G16" s="30">
        <v>0</v>
      </c>
      <c r="H16" s="33"/>
      <c r="I16" s="30"/>
      <c r="J16" s="33">
        <f t="shared" si="0"/>
        <v>0</v>
      </c>
      <c r="K16" s="26"/>
      <c r="L16" s="26"/>
      <c r="M16" s="26"/>
      <c r="N16" s="26"/>
    </row>
    <row r="17" spans="2:14" ht="16.5">
      <c r="B17" s="34" t="s">
        <v>5</v>
      </c>
      <c r="C17" s="30" t="s">
        <v>22</v>
      </c>
      <c r="D17" s="30" t="s">
        <v>23</v>
      </c>
      <c r="E17" s="30">
        <v>17</v>
      </c>
      <c r="F17" s="33"/>
      <c r="G17" s="30">
        <v>17</v>
      </c>
      <c r="H17" s="33"/>
      <c r="I17" s="30"/>
      <c r="J17" s="33">
        <f t="shared" si="0"/>
        <v>0</v>
      </c>
      <c r="K17" s="26"/>
      <c r="L17" s="26"/>
      <c r="M17" s="26"/>
      <c r="N17" s="26"/>
    </row>
    <row r="18" spans="2:14" ht="16.5">
      <c r="B18" s="34" t="s">
        <v>5</v>
      </c>
      <c r="C18" s="30" t="s">
        <v>22</v>
      </c>
      <c r="D18" s="30" t="s">
        <v>24</v>
      </c>
      <c r="E18" s="30">
        <v>0</v>
      </c>
      <c r="F18" s="33"/>
      <c r="G18" s="30">
        <v>0</v>
      </c>
      <c r="H18" s="33"/>
      <c r="I18" s="30"/>
      <c r="J18" s="33">
        <f t="shared" si="0"/>
        <v>0</v>
      </c>
      <c r="K18" s="26"/>
      <c r="L18" s="26"/>
      <c r="M18" s="26"/>
      <c r="N18" s="26"/>
    </row>
    <row r="19" spans="2:14" ht="16.5">
      <c r="B19" s="34" t="s">
        <v>5</v>
      </c>
      <c r="C19" s="30" t="s">
        <v>22</v>
      </c>
      <c r="D19" s="30" t="s">
        <v>25</v>
      </c>
      <c r="E19" s="30">
        <v>0</v>
      </c>
      <c r="F19" s="33"/>
      <c r="G19" s="30">
        <v>0</v>
      </c>
      <c r="H19" s="33"/>
      <c r="I19" s="30"/>
      <c r="J19" s="33">
        <f t="shared" si="0"/>
        <v>0</v>
      </c>
      <c r="K19" s="26"/>
      <c r="L19" s="26"/>
      <c r="M19" s="26"/>
      <c r="N19" s="26"/>
    </row>
    <row r="20" spans="2:14" ht="16.5">
      <c r="B20" s="34" t="s">
        <v>26</v>
      </c>
      <c r="C20" s="30" t="s">
        <v>27</v>
      </c>
      <c r="D20" s="30" t="s">
        <v>28</v>
      </c>
      <c r="E20" s="30">
        <v>17</v>
      </c>
      <c r="F20" s="33"/>
      <c r="G20" s="30">
        <v>17</v>
      </c>
      <c r="H20" s="33"/>
      <c r="I20" s="30"/>
      <c r="J20" s="33">
        <f t="shared" si="0"/>
        <v>0</v>
      </c>
    </row>
    <row r="21" spans="2:14" ht="16.5">
      <c r="B21" s="34" t="s">
        <v>26</v>
      </c>
      <c r="C21" s="30" t="s">
        <v>29</v>
      </c>
      <c r="D21" s="30" t="s">
        <v>30</v>
      </c>
      <c r="E21" s="30">
        <v>18</v>
      </c>
      <c r="F21" s="33"/>
      <c r="G21" s="30">
        <v>18</v>
      </c>
      <c r="H21" s="33"/>
      <c r="I21" s="30"/>
      <c r="J21" s="33">
        <f t="shared" si="0"/>
        <v>0</v>
      </c>
    </row>
    <row r="22" spans="2:14" ht="16.5">
      <c r="B22" s="34" t="s">
        <v>26</v>
      </c>
      <c r="C22" s="30" t="s">
        <v>31</v>
      </c>
      <c r="D22" s="30" t="s">
        <v>32</v>
      </c>
      <c r="E22" s="30">
        <v>9</v>
      </c>
      <c r="F22" s="33"/>
      <c r="G22" s="30">
        <v>7</v>
      </c>
      <c r="H22" s="33"/>
      <c r="I22" s="30"/>
      <c r="J22" s="33">
        <f t="shared" si="0"/>
        <v>0</v>
      </c>
    </row>
    <row r="23" spans="2:14" ht="16.5">
      <c r="B23" s="34" t="s">
        <v>26</v>
      </c>
      <c r="C23" s="30" t="s">
        <v>31</v>
      </c>
      <c r="D23" s="30" t="s">
        <v>33</v>
      </c>
      <c r="E23" s="30">
        <v>3</v>
      </c>
      <c r="F23" s="33"/>
      <c r="G23" s="30">
        <v>0</v>
      </c>
      <c r="H23" s="33"/>
      <c r="I23" s="30"/>
      <c r="J23" s="33">
        <f t="shared" si="0"/>
        <v>0</v>
      </c>
    </row>
    <row r="24" spans="2:14" ht="16.5">
      <c r="B24" s="34" t="s">
        <v>26</v>
      </c>
      <c r="C24" s="30" t="s">
        <v>31</v>
      </c>
      <c r="D24" s="30" t="s">
        <v>34</v>
      </c>
      <c r="E24" s="30">
        <v>2</v>
      </c>
      <c r="F24" s="33"/>
      <c r="G24" s="30">
        <v>3</v>
      </c>
      <c r="H24" s="33"/>
      <c r="I24" s="30"/>
      <c r="J24" s="33">
        <f t="shared" si="0"/>
        <v>0</v>
      </c>
    </row>
    <row r="25" spans="2:14" ht="16.5">
      <c r="B25" s="34" t="s">
        <v>26</v>
      </c>
      <c r="C25" s="30" t="s">
        <v>31</v>
      </c>
      <c r="D25" s="30" t="s">
        <v>35</v>
      </c>
      <c r="E25" s="30"/>
      <c r="F25" s="33"/>
      <c r="G25" s="30"/>
      <c r="H25" s="33"/>
      <c r="I25" s="30"/>
      <c r="J25" s="33">
        <f t="shared" si="0"/>
        <v>0</v>
      </c>
    </row>
    <row r="26" spans="2:14" ht="16.5">
      <c r="B26" s="34" t="s">
        <v>26</v>
      </c>
      <c r="C26" s="30" t="s">
        <v>31</v>
      </c>
      <c r="D26" s="30" t="s">
        <v>36</v>
      </c>
      <c r="E26" s="30"/>
      <c r="F26" s="33"/>
      <c r="G26" s="30"/>
      <c r="H26" s="33"/>
      <c r="I26" s="30"/>
      <c r="J26" s="33">
        <f t="shared" si="0"/>
        <v>0</v>
      </c>
    </row>
    <row r="27" spans="2:14" ht="16.5">
      <c r="B27" s="34" t="s">
        <v>26</v>
      </c>
      <c r="C27" s="30" t="s">
        <v>31</v>
      </c>
      <c r="D27" s="30" t="s">
        <v>37</v>
      </c>
      <c r="E27" s="30"/>
      <c r="F27" s="33"/>
      <c r="G27" s="30">
        <v>1</v>
      </c>
      <c r="H27" s="33"/>
      <c r="I27" s="30"/>
      <c r="J27" s="33">
        <f t="shared" si="0"/>
        <v>0</v>
      </c>
    </row>
    <row r="28" spans="2:14" ht="16.5">
      <c r="B28" s="34" t="s">
        <v>26</v>
      </c>
      <c r="C28" s="30" t="s">
        <v>31</v>
      </c>
      <c r="D28" s="30" t="s">
        <v>38</v>
      </c>
      <c r="E28" s="30">
        <v>1</v>
      </c>
      <c r="F28" s="33"/>
      <c r="G28" s="30"/>
      <c r="H28" s="33"/>
      <c r="I28" s="30"/>
      <c r="J28" s="33">
        <f t="shared" si="0"/>
        <v>0</v>
      </c>
    </row>
    <row r="29" spans="2:14" ht="16.5">
      <c r="B29" s="34" t="s">
        <v>26</v>
      </c>
      <c r="C29" s="30" t="s">
        <v>39</v>
      </c>
      <c r="D29" s="30" t="s">
        <v>40</v>
      </c>
      <c r="E29" s="30">
        <v>18</v>
      </c>
      <c r="F29" s="33"/>
      <c r="G29" s="30">
        <v>17</v>
      </c>
      <c r="H29" s="33"/>
      <c r="I29" s="30"/>
      <c r="J29" s="33">
        <f t="shared" si="0"/>
        <v>0</v>
      </c>
    </row>
    <row r="30" spans="2:14" ht="16.5">
      <c r="B30" s="34" t="s">
        <v>26</v>
      </c>
      <c r="C30" s="30" t="s">
        <v>41</v>
      </c>
      <c r="D30" s="30" t="s">
        <v>42</v>
      </c>
      <c r="E30" s="30">
        <v>16</v>
      </c>
      <c r="F30" s="33"/>
      <c r="G30" s="30">
        <v>14</v>
      </c>
      <c r="H30" s="33"/>
      <c r="I30" s="30"/>
      <c r="J30" s="33">
        <f t="shared" si="0"/>
        <v>0</v>
      </c>
    </row>
    <row r="31" spans="2:14" ht="16.5">
      <c r="B31" s="34" t="s">
        <v>43</v>
      </c>
      <c r="C31" s="30" t="s">
        <v>44</v>
      </c>
      <c r="D31" s="30" t="s">
        <v>45</v>
      </c>
      <c r="E31" s="30">
        <v>18</v>
      </c>
      <c r="F31" s="33"/>
      <c r="G31" s="30">
        <v>18</v>
      </c>
      <c r="H31" s="33"/>
      <c r="I31" s="30"/>
      <c r="J31" s="33">
        <f t="shared" si="0"/>
        <v>0</v>
      </c>
    </row>
    <row r="32" spans="2:14" ht="16.5">
      <c r="B32" s="34" t="s">
        <v>43</v>
      </c>
      <c r="C32" s="30" t="s">
        <v>46</v>
      </c>
      <c r="D32" s="30" t="s">
        <v>47</v>
      </c>
      <c r="E32" s="30">
        <v>18</v>
      </c>
      <c r="F32" s="33"/>
      <c r="G32" s="30">
        <v>18</v>
      </c>
      <c r="H32" s="33"/>
      <c r="I32" s="30"/>
      <c r="J32" s="33">
        <f t="shared" si="0"/>
        <v>0</v>
      </c>
    </row>
    <row r="33" spans="2:10" ht="16.5">
      <c r="B33" s="34" t="s">
        <v>43</v>
      </c>
      <c r="C33" s="30" t="s">
        <v>48</v>
      </c>
      <c r="D33" s="30" t="s">
        <v>49</v>
      </c>
      <c r="E33" s="30">
        <v>18</v>
      </c>
      <c r="F33" s="33"/>
      <c r="G33" s="30">
        <v>18</v>
      </c>
      <c r="H33" s="33"/>
      <c r="I33" s="30"/>
      <c r="J33" s="33">
        <f t="shared" si="0"/>
        <v>0</v>
      </c>
    </row>
    <row r="34" spans="2:10" ht="16.5">
      <c r="B34" s="34" t="s">
        <v>43</v>
      </c>
      <c r="C34" s="30" t="s">
        <v>48</v>
      </c>
      <c r="D34" s="30" t="s">
        <v>50</v>
      </c>
      <c r="E34" s="30">
        <v>1</v>
      </c>
      <c r="F34" s="33"/>
      <c r="G34" s="30">
        <v>0</v>
      </c>
      <c r="H34" s="33"/>
      <c r="I34" s="30"/>
      <c r="J34" s="33">
        <f t="shared" si="0"/>
        <v>0</v>
      </c>
    </row>
    <row r="35" spans="2:10" ht="16.5">
      <c r="B35" s="34" t="s">
        <v>43</v>
      </c>
      <c r="C35" s="30" t="s">
        <v>51</v>
      </c>
      <c r="D35" s="30" t="s">
        <v>52</v>
      </c>
      <c r="E35" s="30">
        <v>18</v>
      </c>
      <c r="F35" s="33"/>
      <c r="G35" s="30">
        <v>18</v>
      </c>
      <c r="H35" s="33"/>
      <c r="I35" s="30"/>
      <c r="J35" s="33">
        <f t="shared" si="0"/>
        <v>0</v>
      </c>
    </row>
    <row r="36" spans="2:10" ht="16.5">
      <c r="B36" s="34" t="s">
        <v>43</v>
      </c>
      <c r="C36" s="30" t="s">
        <v>51</v>
      </c>
      <c r="D36" s="30" t="s">
        <v>53</v>
      </c>
      <c r="E36" s="30">
        <v>3</v>
      </c>
      <c r="F36" s="33"/>
      <c r="G36" s="30">
        <v>1</v>
      </c>
      <c r="H36" s="33"/>
      <c r="I36" s="30"/>
      <c r="J36" s="33"/>
    </row>
    <row r="37" spans="2:10" ht="16.5">
      <c r="B37" s="34" t="s">
        <v>43</v>
      </c>
      <c r="C37" s="30" t="s">
        <v>54</v>
      </c>
      <c r="D37" s="30" t="s">
        <v>55</v>
      </c>
      <c r="E37" s="30">
        <v>18</v>
      </c>
      <c r="F37" s="33"/>
      <c r="G37" s="30">
        <v>18</v>
      </c>
      <c r="H37" s="33"/>
      <c r="I37" s="30"/>
      <c r="J37" s="33">
        <f t="shared" si="0"/>
        <v>0</v>
      </c>
    </row>
    <row r="38" spans="2:10" ht="16.5">
      <c r="B38" s="34" t="s">
        <v>56</v>
      </c>
      <c r="C38" s="30" t="s">
        <v>57</v>
      </c>
      <c r="D38" s="30" t="s">
        <v>58</v>
      </c>
      <c r="E38" s="30">
        <v>0</v>
      </c>
      <c r="F38" s="33"/>
      <c r="G38" s="30">
        <v>0</v>
      </c>
      <c r="H38" s="33"/>
      <c r="I38" s="30"/>
      <c r="J38" s="33">
        <f t="shared" si="0"/>
        <v>0</v>
      </c>
    </row>
    <row r="39" spans="2:10" ht="16.5">
      <c r="B39" s="34" t="s">
        <v>56</v>
      </c>
      <c r="C39" s="30" t="s">
        <v>57</v>
      </c>
      <c r="D39" s="30" t="s">
        <v>59</v>
      </c>
      <c r="E39" s="30">
        <v>18</v>
      </c>
      <c r="F39" s="33"/>
      <c r="G39" s="30">
        <v>17</v>
      </c>
      <c r="H39" s="33"/>
      <c r="I39" s="30"/>
      <c r="J39" s="33">
        <f t="shared" si="0"/>
        <v>0</v>
      </c>
    </row>
    <row r="40" spans="2:10" ht="16.5">
      <c r="B40" s="34" t="s">
        <v>56</v>
      </c>
      <c r="C40" s="30" t="s">
        <v>60</v>
      </c>
      <c r="D40" s="30" t="s">
        <v>61</v>
      </c>
      <c r="E40" s="30">
        <v>6</v>
      </c>
      <c r="F40" s="33"/>
      <c r="G40" s="30">
        <v>5</v>
      </c>
      <c r="H40" s="33"/>
      <c r="I40" s="30"/>
      <c r="J40" s="33">
        <f t="shared" si="0"/>
        <v>0</v>
      </c>
    </row>
    <row r="41" spans="2:10" ht="16.5">
      <c r="B41" s="34" t="s">
        <v>56</v>
      </c>
      <c r="C41" s="30" t="s">
        <v>60</v>
      </c>
      <c r="D41" s="30" t="s">
        <v>62</v>
      </c>
      <c r="E41" s="30">
        <v>10</v>
      </c>
      <c r="F41" s="33"/>
      <c r="G41" s="30">
        <v>10</v>
      </c>
      <c r="H41" s="33"/>
      <c r="I41" s="30"/>
      <c r="J41" s="33">
        <f t="shared" si="0"/>
        <v>0</v>
      </c>
    </row>
    <row r="42" spans="2:10" ht="16.5">
      <c r="B42" s="34" t="s">
        <v>56</v>
      </c>
      <c r="C42" s="30" t="s">
        <v>63</v>
      </c>
      <c r="D42" s="30" t="s">
        <v>64</v>
      </c>
      <c r="E42" s="30">
        <v>17</v>
      </c>
      <c r="F42" s="33"/>
      <c r="G42" s="30">
        <v>18</v>
      </c>
      <c r="H42" s="33"/>
      <c r="I42" s="30"/>
      <c r="J42" s="33">
        <f t="shared" si="0"/>
        <v>0</v>
      </c>
    </row>
    <row r="43" spans="2:10" ht="16.5">
      <c r="B43" s="34" t="s">
        <v>56</v>
      </c>
      <c r="C43" s="30" t="s">
        <v>63</v>
      </c>
      <c r="D43" s="30" t="s">
        <v>65</v>
      </c>
      <c r="E43" s="30">
        <v>16</v>
      </c>
      <c r="F43" s="33"/>
      <c r="G43" s="30">
        <v>14</v>
      </c>
      <c r="H43" s="33"/>
      <c r="I43" s="30"/>
      <c r="J43" s="33">
        <f t="shared" si="0"/>
        <v>0</v>
      </c>
    </row>
    <row r="44" spans="2:10" ht="16.5">
      <c r="B44" s="34" t="s">
        <v>56</v>
      </c>
      <c r="C44" s="30" t="s">
        <v>66</v>
      </c>
      <c r="D44" s="30" t="s">
        <v>67</v>
      </c>
      <c r="E44" s="30">
        <v>16</v>
      </c>
      <c r="F44" s="33"/>
      <c r="G44" s="30">
        <v>14</v>
      </c>
      <c r="H44" s="33"/>
      <c r="I44" s="30"/>
      <c r="J44" s="33">
        <f t="shared" si="0"/>
        <v>0</v>
      </c>
    </row>
    <row r="45" spans="2:10" ht="16.5">
      <c r="B45" s="34" t="s">
        <v>56</v>
      </c>
      <c r="C45" s="30" t="s">
        <v>68</v>
      </c>
      <c r="D45" s="30" t="s">
        <v>69</v>
      </c>
      <c r="E45" s="30">
        <v>18</v>
      </c>
      <c r="F45" s="33"/>
      <c r="G45" s="30">
        <v>18</v>
      </c>
      <c r="H45" s="33"/>
      <c r="I45" s="30"/>
      <c r="J45" s="33">
        <f t="shared" si="0"/>
        <v>0</v>
      </c>
    </row>
    <row r="46" spans="2:10" ht="16.5">
      <c r="B46" s="34" t="s">
        <v>56</v>
      </c>
      <c r="C46" s="30" t="s">
        <v>70</v>
      </c>
      <c r="D46" s="30" t="s">
        <v>71</v>
      </c>
      <c r="E46" s="30">
        <v>18</v>
      </c>
      <c r="F46" s="33"/>
      <c r="G46" s="30">
        <v>18</v>
      </c>
      <c r="H46" s="33"/>
      <c r="I46" s="30"/>
      <c r="J46" s="33">
        <f t="shared" si="0"/>
        <v>0</v>
      </c>
    </row>
    <row r="47" spans="2:10" ht="16.5">
      <c r="B47" s="34" t="s">
        <v>72</v>
      </c>
      <c r="C47" s="30" t="s">
        <v>73</v>
      </c>
      <c r="D47" s="30" t="s">
        <v>74</v>
      </c>
      <c r="E47" s="30">
        <v>16</v>
      </c>
      <c r="F47" s="33"/>
      <c r="G47" s="30">
        <v>17</v>
      </c>
      <c r="H47" s="33"/>
      <c r="I47" s="30"/>
      <c r="J47" s="33">
        <f t="shared" si="0"/>
        <v>0</v>
      </c>
    </row>
    <row r="48" spans="2:10" ht="16.5">
      <c r="B48" s="34" t="s">
        <v>72</v>
      </c>
      <c r="C48" s="30" t="s">
        <v>73</v>
      </c>
      <c r="D48" s="30" t="s">
        <v>75</v>
      </c>
      <c r="E48" s="30">
        <v>0</v>
      </c>
      <c r="F48" s="33"/>
      <c r="G48" s="30">
        <v>0</v>
      </c>
      <c r="H48" s="33"/>
      <c r="I48" s="30"/>
      <c r="J48" s="33">
        <f t="shared" si="0"/>
        <v>0</v>
      </c>
    </row>
    <row r="49" spans="2:10" ht="16.5">
      <c r="B49" s="34" t="s">
        <v>72</v>
      </c>
      <c r="C49" s="30" t="s">
        <v>76</v>
      </c>
      <c r="D49" s="30" t="s">
        <v>77</v>
      </c>
      <c r="E49" s="30">
        <v>18</v>
      </c>
      <c r="F49" s="33"/>
      <c r="G49" s="30">
        <v>17</v>
      </c>
      <c r="H49" s="33"/>
      <c r="I49" s="30"/>
      <c r="J49" s="33">
        <f t="shared" si="0"/>
        <v>0</v>
      </c>
    </row>
    <row r="50" spans="2:10" ht="16.5">
      <c r="B50" s="34" t="s">
        <v>72</v>
      </c>
      <c r="C50" s="30" t="s">
        <v>76</v>
      </c>
      <c r="D50" s="30" t="s">
        <v>78</v>
      </c>
      <c r="E50" s="30">
        <v>0</v>
      </c>
      <c r="F50" s="33"/>
      <c r="G50" s="30">
        <v>0</v>
      </c>
      <c r="H50" s="33"/>
      <c r="I50" s="30"/>
      <c r="J50" s="33">
        <f t="shared" si="0"/>
        <v>0</v>
      </c>
    </row>
    <row r="51" spans="2:10" ht="16.5">
      <c r="B51" s="34" t="s">
        <v>72</v>
      </c>
      <c r="C51" s="30" t="s">
        <v>76</v>
      </c>
      <c r="D51" s="30" t="s">
        <v>79</v>
      </c>
      <c r="E51" s="30">
        <v>0</v>
      </c>
      <c r="F51" s="33"/>
      <c r="G51" s="30">
        <v>0</v>
      </c>
      <c r="H51" s="33"/>
      <c r="I51" s="30"/>
      <c r="J51" s="33">
        <f t="shared" si="0"/>
        <v>0</v>
      </c>
    </row>
    <row r="52" spans="2:10" ht="16.5">
      <c r="B52" s="34" t="s">
        <v>72</v>
      </c>
      <c r="C52" s="30" t="s">
        <v>76</v>
      </c>
      <c r="D52" s="30" t="s">
        <v>80</v>
      </c>
      <c r="E52" s="30">
        <v>0</v>
      </c>
      <c r="F52" s="33"/>
      <c r="G52" s="30">
        <v>0</v>
      </c>
      <c r="H52" s="33"/>
      <c r="I52" s="30"/>
      <c r="J52" s="33">
        <f t="shared" si="0"/>
        <v>0</v>
      </c>
    </row>
    <row r="53" spans="2:10" ht="16.5">
      <c r="B53" s="34" t="s">
        <v>72</v>
      </c>
      <c r="C53" s="30" t="s">
        <v>76</v>
      </c>
      <c r="D53" s="30" t="s">
        <v>81</v>
      </c>
      <c r="E53" s="30">
        <v>0</v>
      </c>
      <c r="F53" s="33"/>
      <c r="G53" s="30">
        <v>0</v>
      </c>
      <c r="H53" s="33"/>
      <c r="I53" s="30"/>
      <c r="J53" s="33">
        <f t="shared" si="0"/>
        <v>0</v>
      </c>
    </row>
    <row r="54" spans="2:10" ht="16.5">
      <c r="B54" s="34" t="s">
        <v>72</v>
      </c>
      <c r="C54" s="30" t="s">
        <v>82</v>
      </c>
      <c r="D54" s="30" t="s">
        <v>83</v>
      </c>
      <c r="E54" s="30">
        <v>3</v>
      </c>
      <c r="F54" s="33"/>
      <c r="G54" s="30">
        <v>0</v>
      </c>
      <c r="H54" s="33"/>
      <c r="I54" s="30"/>
      <c r="J54" s="33">
        <f t="shared" si="0"/>
        <v>0</v>
      </c>
    </row>
    <row r="55" spans="2:10" ht="16.5">
      <c r="B55" s="34" t="s">
        <v>72</v>
      </c>
      <c r="C55" s="30" t="s">
        <v>82</v>
      </c>
      <c r="D55" s="30" t="s">
        <v>84</v>
      </c>
      <c r="E55" s="30">
        <v>14</v>
      </c>
      <c r="F55" s="33"/>
      <c r="G55" s="30">
        <v>13</v>
      </c>
      <c r="H55" s="33"/>
      <c r="I55" s="30"/>
      <c r="J55" s="33">
        <f t="shared" si="0"/>
        <v>0</v>
      </c>
    </row>
    <row r="56" spans="2:10" ht="16.5">
      <c r="B56" s="34" t="s">
        <v>72</v>
      </c>
      <c r="C56" s="30" t="s">
        <v>85</v>
      </c>
      <c r="D56" s="30" t="s">
        <v>86</v>
      </c>
      <c r="E56" s="30">
        <v>9</v>
      </c>
      <c r="F56" s="33"/>
      <c r="G56" s="30">
        <v>10</v>
      </c>
      <c r="H56" s="33"/>
      <c r="I56" s="30"/>
      <c r="J56" s="33">
        <f t="shared" si="0"/>
        <v>0</v>
      </c>
    </row>
    <row r="57" spans="2:10" ht="16.5">
      <c r="B57" s="34" t="s">
        <v>72</v>
      </c>
      <c r="C57" s="30" t="s">
        <v>85</v>
      </c>
      <c r="D57" s="30" t="s">
        <v>87</v>
      </c>
      <c r="E57" s="30">
        <v>5</v>
      </c>
      <c r="F57" s="33"/>
      <c r="G57" s="30">
        <v>1</v>
      </c>
      <c r="H57" s="33"/>
      <c r="I57" s="30"/>
      <c r="J57" s="33">
        <f t="shared" si="0"/>
        <v>0</v>
      </c>
    </row>
    <row r="58" spans="2:10" ht="16.5">
      <c r="B58" s="34" t="s">
        <v>72</v>
      </c>
      <c r="C58" s="30" t="s">
        <v>85</v>
      </c>
      <c r="D58" s="30" t="s">
        <v>88</v>
      </c>
      <c r="E58" s="30">
        <v>1</v>
      </c>
      <c r="F58" s="33"/>
      <c r="G58" s="30">
        <v>1</v>
      </c>
      <c r="H58" s="33"/>
      <c r="I58" s="30"/>
      <c r="J58" s="33">
        <f t="shared" si="0"/>
        <v>0</v>
      </c>
    </row>
    <row r="59" spans="2:10" ht="16.5">
      <c r="B59" s="34" t="s">
        <v>72</v>
      </c>
      <c r="C59" s="30" t="s">
        <v>89</v>
      </c>
      <c r="D59" s="30" t="s">
        <v>90</v>
      </c>
      <c r="E59" s="30">
        <v>13</v>
      </c>
      <c r="F59" s="33"/>
      <c r="G59" s="30">
        <v>14</v>
      </c>
      <c r="H59" s="33"/>
      <c r="I59" s="30"/>
      <c r="J59" s="33">
        <f t="shared" si="0"/>
        <v>0</v>
      </c>
    </row>
    <row r="60" spans="2:10" ht="16.5">
      <c r="B60" s="34" t="s">
        <v>72</v>
      </c>
      <c r="C60" s="30" t="s">
        <v>91</v>
      </c>
      <c r="D60" s="30" t="s">
        <v>92</v>
      </c>
      <c r="E60" s="30">
        <v>12</v>
      </c>
      <c r="F60" s="33"/>
      <c r="G60" s="30">
        <v>11</v>
      </c>
      <c r="H60" s="33"/>
      <c r="I60" s="30"/>
      <c r="J60" s="33">
        <f t="shared" si="0"/>
        <v>0</v>
      </c>
    </row>
    <row r="61" spans="2:10" ht="16.5">
      <c r="B61" s="34" t="s">
        <v>72</v>
      </c>
      <c r="C61" s="30" t="s">
        <v>91</v>
      </c>
      <c r="D61" s="30" t="s">
        <v>93</v>
      </c>
      <c r="E61" s="30">
        <v>0</v>
      </c>
      <c r="F61" s="33"/>
      <c r="G61" s="30">
        <v>0</v>
      </c>
      <c r="H61" s="33"/>
      <c r="I61" s="30"/>
      <c r="J61" s="33">
        <f t="shared" si="0"/>
        <v>0</v>
      </c>
    </row>
    <row r="62" spans="2:10" ht="16.5">
      <c r="B62" s="34" t="s">
        <v>94</v>
      </c>
      <c r="C62" s="30" t="s">
        <v>95</v>
      </c>
      <c r="D62" s="30" t="s">
        <v>96</v>
      </c>
      <c r="E62" s="30">
        <v>18</v>
      </c>
      <c r="F62" s="33"/>
      <c r="G62" s="30">
        <v>18</v>
      </c>
      <c r="H62" s="33"/>
      <c r="I62" s="30"/>
      <c r="J62" s="33">
        <f t="shared" si="0"/>
        <v>0</v>
      </c>
    </row>
    <row r="63" spans="2:10" ht="16.5">
      <c r="B63" s="34" t="s">
        <v>97</v>
      </c>
      <c r="C63" s="30" t="s">
        <v>98</v>
      </c>
      <c r="D63" s="30" t="s">
        <v>99</v>
      </c>
      <c r="E63" s="30">
        <v>12</v>
      </c>
      <c r="F63" s="33"/>
      <c r="G63" s="30">
        <v>9</v>
      </c>
      <c r="H63" s="33"/>
      <c r="I63" s="30"/>
      <c r="J63" s="33">
        <f t="shared" si="0"/>
        <v>0</v>
      </c>
    </row>
    <row r="64" spans="2:10" ht="16.5">
      <c r="B64" s="34" t="s">
        <v>97</v>
      </c>
      <c r="C64" s="30" t="s">
        <v>100</v>
      </c>
      <c r="D64" s="30" t="s">
        <v>101</v>
      </c>
      <c r="E64" s="30">
        <v>8</v>
      </c>
      <c r="F64" s="33"/>
      <c r="G64" s="30"/>
      <c r="H64" s="33"/>
      <c r="I64" s="30"/>
      <c r="J64" s="33">
        <f t="shared" si="0"/>
        <v>0</v>
      </c>
    </row>
    <row r="65" spans="2:10" ht="16.5">
      <c r="B65" s="34" t="s">
        <v>97</v>
      </c>
      <c r="C65" s="30" t="s">
        <v>102</v>
      </c>
      <c r="D65" s="30" t="s">
        <v>103</v>
      </c>
      <c r="E65" s="30"/>
      <c r="F65" s="33"/>
      <c r="G65" s="30"/>
      <c r="H65" s="33"/>
      <c r="I65" s="30"/>
      <c r="J65" s="33">
        <f t="shared" si="0"/>
        <v>0</v>
      </c>
    </row>
    <row r="66" spans="2:10" ht="16.5">
      <c r="B66" s="34" t="s">
        <v>97</v>
      </c>
      <c r="C66" s="30" t="s">
        <v>102</v>
      </c>
      <c r="D66" s="30" t="s">
        <v>104</v>
      </c>
      <c r="E66" s="30"/>
      <c r="F66" s="33"/>
      <c r="G66" s="30"/>
      <c r="H66" s="33"/>
      <c r="I66" s="30"/>
      <c r="J66" s="33">
        <f t="shared" si="0"/>
        <v>0</v>
      </c>
    </row>
    <row r="67" spans="2:10" ht="16.5">
      <c r="B67" s="34" t="s">
        <v>97</v>
      </c>
      <c r="C67" s="30" t="s">
        <v>105</v>
      </c>
      <c r="D67" s="30" t="s">
        <v>106</v>
      </c>
      <c r="E67" s="30"/>
      <c r="F67" s="33"/>
      <c r="G67" s="30"/>
      <c r="H67" s="33"/>
      <c r="I67" s="30"/>
      <c r="J67" s="33">
        <f t="shared" si="0"/>
        <v>0</v>
      </c>
    </row>
    <row r="68" spans="2:10" ht="16.5">
      <c r="B68" s="34" t="s">
        <v>97</v>
      </c>
      <c r="C68" s="30" t="s">
        <v>105</v>
      </c>
      <c r="D68" s="30" t="s">
        <v>107</v>
      </c>
      <c r="E68" s="30"/>
      <c r="F68" s="33"/>
      <c r="G68" s="30"/>
      <c r="H68" s="33"/>
      <c r="I68" s="30"/>
      <c r="J68" s="33">
        <f t="shared" si="0"/>
        <v>0</v>
      </c>
    </row>
    <row r="69" spans="2:10" ht="16.5">
      <c r="B69" s="34" t="s">
        <v>108</v>
      </c>
      <c r="C69" s="30" t="s">
        <v>109</v>
      </c>
      <c r="D69" s="30" t="s">
        <v>110</v>
      </c>
      <c r="E69" s="30"/>
      <c r="F69" s="33"/>
      <c r="G69" s="30"/>
      <c r="H69" s="33"/>
      <c r="I69" s="30"/>
      <c r="J69" s="33">
        <f t="shared" si="0"/>
        <v>0</v>
      </c>
    </row>
    <row r="70" spans="2:10" ht="16.5">
      <c r="B70" s="34" t="s">
        <v>108</v>
      </c>
      <c r="C70" s="30" t="s">
        <v>109</v>
      </c>
      <c r="D70" s="30" t="s">
        <v>111</v>
      </c>
      <c r="E70" s="30"/>
      <c r="F70" s="33"/>
      <c r="G70" s="30"/>
      <c r="H70" s="33"/>
      <c r="I70" s="30"/>
      <c r="J70" s="33">
        <f t="shared" ref="J70:J89" si="1">I70/40</f>
        <v>0</v>
      </c>
    </row>
    <row r="71" spans="2:10" ht="16.5">
      <c r="B71" s="34" t="s">
        <v>108</v>
      </c>
      <c r="C71" s="30" t="s">
        <v>112</v>
      </c>
      <c r="D71" s="30" t="s">
        <v>113</v>
      </c>
      <c r="E71" s="30"/>
      <c r="F71" s="33"/>
      <c r="G71" s="30"/>
      <c r="H71" s="33"/>
      <c r="I71" s="30"/>
      <c r="J71" s="33">
        <f t="shared" si="1"/>
        <v>0</v>
      </c>
    </row>
    <row r="72" spans="2:10" ht="16.5">
      <c r="B72" s="34" t="s">
        <v>108</v>
      </c>
      <c r="C72" s="30" t="s">
        <v>112</v>
      </c>
      <c r="D72" s="30" t="s">
        <v>114</v>
      </c>
      <c r="E72" s="30"/>
      <c r="F72" s="33"/>
      <c r="G72" s="30"/>
      <c r="H72" s="33"/>
      <c r="I72" s="30"/>
      <c r="J72" s="33">
        <f t="shared" si="1"/>
        <v>0</v>
      </c>
    </row>
    <row r="73" spans="2:10" ht="16.5">
      <c r="B73" s="34" t="s">
        <v>108</v>
      </c>
      <c r="C73" s="30" t="s">
        <v>115</v>
      </c>
      <c r="D73" s="30" t="s">
        <v>116</v>
      </c>
      <c r="E73" s="30"/>
      <c r="F73" s="33"/>
      <c r="G73" s="30"/>
      <c r="H73" s="33"/>
      <c r="I73" s="30"/>
      <c r="J73" s="33">
        <f t="shared" si="1"/>
        <v>0</v>
      </c>
    </row>
    <row r="74" spans="2:10" ht="16.5">
      <c r="B74" s="34" t="s">
        <v>108</v>
      </c>
      <c r="C74" s="30" t="s">
        <v>117</v>
      </c>
      <c r="D74" s="30" t="s">
        <v>118</v>
      </c>
      <c r="E74" s="30"/>
      <c r="F74" s="33"/>
      <c r="G74" s="30"/>
      <c r="H74" s="33"/>
      <c r="I74" s="30"/>
      <c r="J74" s="33">
        <f t="shared" si="1"/>
        <v>0</v>
      </c>
    </row>
    <row r="75" spans="2:10" ht="16.5">
      <c r="B75" s="34" t="s">
        <v>108</v>
      </c>
      <c r="C75" s="30" t="s">
        <v>119</v>
      </c>
      <c r="D75" s="30" t="s">
        <v>120</v>
      </c>
      <c r="E75" s="30"/>
      <c r="F75" s="33"/>
      <c r="G75" s="30"/>
      <c r="H75" s="33"/>
      <c r="I75" s="30"/>
      <c r="J75" s="33">
        <f t="shared" si="1"/>
        <v>0</v>
      </c>
    </row>
    <row r="76" spans="2:10" ht="16.5">
      <c r="B76" s="34" t="s">
        <v>108</v>
      </c>
      <c r="C76" s="30" t="s">
        <v>121</v>
      </c>
      <c r="D76" s="30" t="s">
        <v>122</v>
      </c>
      <c r="E76" s="30"/>
      <c r="F76" s="33"/>
      <c r="G76" s="30"/>
      <c r="H76" s="33"/>
      <c r="I76" s="30"/>
      <c r="J76" s="33">
        <f t="shared" si="1"/>
        <v>0</v>
      </c>
    </row>
    <row r="77" spans="2:10" ht="16.5">
      <c r="B77" s="34" t="s">
        <v>123</v>
      </c>
      <c r="C77" s="30" t="s">
        <v>124</v>
      </c>
      <c r="D77" s="30" t="s">
        <v>125</v>
      </c>
      <c r="E77" s="30"/>
      <c r="F77" s="33"/>
      <c r="G77" s="30"/>
      <c r="H77" s="33"/>
      <c r="I77" s="30"/>
      <c r="J77" s="33">
        <f t="shared" si="1"/>
        <v>0</v>
      </c>
    </row>
    <row r="78" spans="2:10" ht="16.5">
      <c r="B78" s="34" t="s">
        <v>123</v>
      </c>
      <c r="C78" s="30" t="s">
        <v>126</v>
      </c>
      <c r="D78" s="30" t="s">
        <v>127</v>
      </c>
      <c r="E78" s="30"/>
      <c r="F78" s="33"/>
      <c r="G78" s="30"/>
      <c r="H78" s="33"/>
      <c r="I78" s="30"/>
      <c r="J78" s="33">
        <f t="shared" si="1"/>
        <v>0</v>
      </c>
    </row>
    <row r="79" spans="2:10" ht="16.5">
      <c r="B79" s="34" t="s">
        <v>123</v>
      </c>
      <c r="C79" s="30" t="s">
        <v>128</v>
      </c>
      <c r="D79" s="30" t="s">
        <v>129</v>
      </c>
      <c r="E79" s="30"/>
      <c r="F79" s="33"/>
      <c r="G79" s="30"/>
      <c r="H79" s="33"/>
      <c r="I79" s="30"/>
      <c r="J79" s="33">
        <f t="shared" si="1"/>
        <v>0</v>
      </c>
    </row>
    <row r="80" spans="2:10" ht="16.5">
      <c r="B80" s="34" t="s">
        <v>123</v>
      </c>
      <c r="C80" s="30" t="s">
        <v>130</v>
      </c>
      <c r="D80" s="30" t="s">
        <v>131</v>
      </c>
      <c r="E80" s="30"/>
      <c r="F80" s="33"/>
      <c r="G80" s="30"/>
      <c r="H80" s="33"/>
      <c r="I80" s="30"/>
      <c r="J80" s="33">
        <f t="shared" si="1"/>
        <v>0</v>
      </c>
    </row>
    <row r="81" spans="2:10" ht="16.5">
      <c r="B81" s="34" t="s">
        <v>123</v>
      </c>
      <c r="C81" s="30" t="s">
        <v>132</v>
      </c>
      <c r="D81" s="30" t="s">
        <v>133</v>
      </c>
      <c r="E81" s="30"/>
      <c r="F81" s="33"/>
      <c r="G81" s="30"/>
      <c r="H81" s="33"/>
      <c r="I81" s="30"/>
      <c r="J81" s="33">
        <f t="shared" si="1"/>
        <v>0</v>
      </c>
    </row>
    <row r="82" spans="2:10" ht="16.5">
      <c r="B82" s="34" t="s">
        <v>134</v>
      </c>
      <c r="C82" s="30" t="s">
        <v>135</v>
      </c>
      <c r="D82" s="30" t="s">
        <v>136</v>
      </c>
      <c r="E82" s="30"/>
      <c r="F82" s="33"/>
      <c r="G82" s="30"/>
      <c r="H82" s="33"/>
      <c r="I82" s="30"/>
      <c r="J82" s="33">
        <f t="shared" si="1"/>
        <v>0</v>
      </c>
    </row>
    <row r="83" spans="2:10" ht="16.5">
      <c r="B83" s="34" t="s">
        <v>134</v>
      </c>
      <c r="C83" s="30" t="s">
        <v>135</v>
      </c>
      <c r="D83" s="30" t="s">
        <v>137</v>
      </c>
      <c r="E83" s="30"/>
      <c r="F83" s="33"/>
      <c r="G83" s="30"/>
      <c r="H83" s="33"/>
      <c r="I83" s="30"/>
      <c r="J83" s="33">
        <f t="shared" si="1"/>
        <v>0</v>
      </c>
    </row>
    <row r="84" spans="2:10" ht="16.5">
      <c r="B84" s="34" t="s">
        <v>134</v>
      </c>
      <c r="C84" s="30" t="s">
        <v>135</v>
      </c>
      <c r="D84" s="30" t="s">
        <v>138</v>
      </c>
      <c r="E84" s="30"/>
      <c r="F84" s="33"/>
      <c r="G84" s="30"/>
      <c r="H84" s="33"/>
      <c r="I84" s="30"/>
      <c r="J84" s="33">
        <f t="shared" si="1"/>
        <v>0</v>
      </c>
    </row>
    <row r="85" spans="2:10" ht="16.5">
      <c r="B85" s="34" t="s">
        <v>134</v>
      </c>
      <c r="C85" s="30" t="s">
        <v>135</v>
      </c>
      <c r="D85" s="30" t="s">
        <v>139</v>
      </c>
      <c r="E85" s="30"/>
      <c r="F85" s="33"/>
      <c r="G85" s="30"/>
      <c r="H85" s="33"/>
      <c r="I85" s="30"/>
      <c r="J85" s="33">
        <f t="shared" si="1"/>
        <v>0</v>
      </c>
    </row>
    <row r="86" spans="2:10" ht="16.5">
      <c r="B86" s="34" t="s">
        <v>134</v>
      </c>
      <c r="C86" s="30" t="s">
        <v>135</v>
      </c>
      <c r="D86" s="30" t="s">
        <v>140</v>
      </c>
      <c r="E86" s="30"/>
      <c r="F86" s="33"/>
      <c r="G86" s="30"/>
      <c r="H86" s="33"/>
      <c r="I86" s="30"/>
      <c r="J86" s="33">
        <f t="shared" si="1"/>
        <v>0</v>
      </c>
    </row>
    <row r="87" spans="2:10" ht="16.5">
      <c r="B87" s="34" t="s">
        <v>134</v>
      </c>
      <c r="C87" s="30" t="s">
        <v>141</v>
      </c>
      <c r="D87" s="30" t="s">
        <v>142</v>
      </c>
      <c r="E87" s="30"/>
      <c r="F87" s="33"/>
      <c r="G87" s="30"/>
      <c r="H87" s="33"/>
      <c r="I87" s="30"/>
      <c r="J87" s="33">
        <f t="shared" si="1"/>
        <v>0</v>
      </c>
    </row>
    <row r="88" spans="2:10" ht="16.5">
      <c r="B88" s="34" t="s">
        <v>134</v>
      </c>
      <c r="C88" s="30" t="s">
        <v>141</v>
      </c>
      <c r="D88" s="30" t="s">
        <v>143</v>
      </c>
      <c r="E88" s="30"/>
      <c r="F88" s="33"/>
      <c r="G88" s="30"/>
      <c r="H88" s="33"/>
      <c r="I88" s="30"/>
      <c r="J88" s="33">
        <f t="shared" si="1"/>
        <v>0</v>
      </c>
    </row>
    <row r="89" spans="2:10" ht="16.5">
      <c r="B89" s="34" t="s">
        <v>134</v>
      </c>
      <c r="C89" s="30" t="s">
        <v>141</v>
      </c>
      <c r="D89" s="30" t="s">
        <v>144</v>
      </c>
      <c r="E89" s="30"/>
      <c r="F89" s="33"/>
      <c r="G89" s="30"/>
      <c r="H89" s="33"/>
      <c r="I89" s="30"/>
      <c r="J89" s="33">
        <f t="shared" si="1"/>
        <v>0</v>
      </c>
    </row>
    <row r="90" spans="2:10" ht="16.5">
      <c r="B90" s="34" t="s">
        <v>134</v>
      </c>
      <c r="C90" s="30" t="s">
        <v>145</v>
      </c>
      <c r="D90" s="30" t="s">
        <v>146</v>
      </c>
      <c r="E90" s="30"/>
      <c r="F90" s="33"/>
      <c r="G90" s="30"/>
      <c r="H90" s="33"/>
      <c r="I90" s="30"/>
      <c r="J90" s="33">
        <f>I90/40</f>
        <v>0</v>
      </c>
    </row>
    <row r="91" spans="2:10" ht="16.5">
      <c r="B91" s="34" t="s">
        <v>147</v>
      </c>
      <c r="C91" s="30" t="s">
        <v>148</v>
      </c>
      <c r="D91" s="30" t="s">
        <v>149</v>
      </c>
      <c r="E91" s="30"/>
      <c r="F91" s="33"/>
      <c r="G91" s="30"/>
      <c r="H91" s="33"/>
      <c r="I91" s="30"/>
      <c r="J91" s="33">
        <f>I91/40</f>
        <v>0</v>
      </c>
    </row>
    <row r="92" spans="2:10" ht="16.5">
      <c r="B92" s="35" t="s">
        <v>150</v>
      </c>
      <c r="C92" s="31" t="s">
        <v>151</v>
      </c>
      <c r="D92" s="32" t="s">
        <v>152</v>
      </c>
      <c r="E92" s="30"/>
      <c r="F92" s="33"/>
      <c r="G92" s="30"/>
      <c r="H92" s="33"/>
      <c r="I92" s="30"/>
      <c r="J92" s="33">
        <f t="shared" ref="J92:J99" si="2">I92/40</f>
        <v>0</v>
      </c>
    </row>
    <row r="93" spans="2:10" ht="16.5">
      <c r="B93" s="36" t="s">
        <v>150</v>
      </c>
      <c r="C93" s="31" t="s">
        <v>151</v>
      </c>
      <c r="D93" s="31" t="s">
        <v>153</v>
      </c>
      <c r="E93" s="30"/>
      <c r="F93" s="33"/>
      <c r="G93" s="30"/>
      <c r="H93" s="33"/>
      <c r="I93" s="30"/>
      <c r="J93" s="33">
        <f t="shared" si="2"/>
        <v>0</v>
      </c>
    </row>
    <row r="94" spans="2:10" ht="16.5">
      <c r="B94" s="36" t="s">
        <v>150</v>
      </c>
      <c r="C94" s="31" t="s">
        <v>151</v>
      </c>
      <c r="D94" s="31" t="s">
        <v>154</v>
      </c>
      <c r="E94" s="30"/>
      <c r="F94" s="33"/>
      <c r="G94" s="30"/>
      <c r="H94" s="33"/>
      <c r="I94" s="30"/>
      <c r="J94" s="33">
        <f t="shared" si="2"/>
        <v>0</v>
      </c>
    </row>
    <row r="95" spans="2:10" ht="16.5">
      <c r="B95" s="36" t="s">
        <v>150</v>
      </c>
      <c r="C95" s="31" t="s">
        <v>155</v>
      </c>
      <c r="D95" s="31" t="s">
        <v>156</v>
      </c>
      <c r="E95" s="30"/>
      <c r="F95" s="33"/>
      <c r="G95" s="30"/>
      <c r="H95" s="33"/>
      <c r="I95" s="30"/>
      <c r="J95" s="33">
        <f t="shared" si="2"/>
        <v>0</v>
      </c>
    </row>
    <row r="96" spans="2:10" ht="16.5">
      <c r="B96" s="36" t="s">
        <v>150</v>
      </c>
      <c r="C96" s="31" t="s">
        <v>157</v>
      </c>
      <c r="D96" s="31" t="s">
        <v>158</v>
      </c>
      <c r="E96" s="30"/>
      <c r="F96" s="33"/>
      <c r="G96" s="30"/>
      <c r="H96" s="33"/>
      <c r="I96" s="30"/>
      <c r="J96" s="33">
        <f t="shared" si="2"/>
        <v>0</v>
      </c>
    </row>
    <row r="97" spans="2:10" ht="16.5">
      <c r="B97" s="36" t="s">
        <v>150</v>
      </c>
      <c r="C97" s="31" t="s">
        <v>157</v>
      </c>
      <c r="D97" s="31" t="s">
        <v>159</v>
      </c>
      <c r="E97" s="30"/>
      <c r="F97" s="33"/>
      <c r="G97" s="30"/>
      <c r="H97" s="33"/>
      <c r="I97" s="30"/>
      <c r="J97" s="33">
        <f t="shared" si="2"/>
        <v>0</v>
      </c>
    </row>
    <row r="98" spans="2:10" ht="16.5">
      <c r="B98" s="36" t="s">
        <v>150</v>
      </c>
      <c r="C98" s="31" t="s">
        <v>160</v>
      </c>
      <c r="D98" s="31" t="s">
        <v>161</v>
      </c>
      <c r="E98" s="30"/>
      <c r="F98" s="33"/>
      <c r="G98" s="30"/>
      <c r="H98" s="33"/>
      <c r="I98" s="30"/>
      <c r="J98" s="33">
        <f t="shared" si="2"/>
        <v>0</v>
      </c>
    </row>
    <row r="99" spans="2:10" ht="16.5">
      <c r="B99" s="36" t="s">
        <v>150</v>
      </c>
      <c r="C99" s="31" t="s">
        <v>162</v>
      </c>
      <c r="D99" s="31" t="s">
        <v>163</v>
      </c>
      <c r="E99" s="30"/>
      <c r="F99" s="33"/>
      <c r="G99" s="30"/>
      <c r="H99" s="33"/>
      <c r="I99" s="30"/>
      <c r="J99" s="33">
        <f t="shared" si="2"/>
        <v>0</v>
      </c>
    </row>
  </sheetData>
  <mergeCells count="1">
    <mergeCell ref="K2:P2"/>
  </mergeCells>
  <conditionalFormatting sqref="O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J4:J99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6FF4-EBA1-4A88-8781-F5D5AA94E51C}">
  <sheetPr filterMode="1"/>
  <dimension ref="A1:BJ101"/>
  <sheetViews>
    <sheetView workbookViewId="0">
      <pane xSplit="3" topLeftCell="S1" activePane="topRight" state="frozen"/>
      <selection pane="topRight" activeCell="O56" sqref="O56"/>
    </sheetView>
  </sheetViews>
  <sheetFormatPr defaultColWidth="8.7109375" defaultRowHeight="15" outlineLevelCol="1"/>
  <cols>
    <col min="1" max="1" width="26.5703125" customWidth="1"/>
    <col min="2" max="2" width="51.140625" customWidth="1"/>
    <col min="3" max="3" width="30" customWidth="1"/>
    <col min="4" max="4" width="8.85546875" customWidth="1" outlineLevel="1"/>
    <col min="5" max="5" width="10.85546875" customWidth="1" outlineLevel="1"/>
    <col min="6" max="6" width="9.7109375" customWidth="1" outlineLevel="1"/>
    <col min="7" max="7" width="9" customWidth="1" outlineLevel="1"/>
    <col min="8" max="8" width="10" customWidth="1" outlineLevel="1"/>
    <col min="9" max="9" width="8" customWidth="1" outlineLevel="1"/>
    <col min="10" max="10" width="9.5703125" customWidth="1" outlineLevel="1"/>
    <col min="11" max="11" width="8" customWidth="1" outlineLevel="1"/>
    <col min="12" max="12" width="9.7109375" customWidth="1" outlineLevel="1"/>
    <col min="13" max="13" width="8" customWidth="1" outlineLevel="1"/>
    <col min="14" max="14" width="9.42578125" customWidth="1" outlineLevel="1"/>
    <col min="15" max="15" width="8" customWidth="1" outlineLevel="1"/>
    <col min="16" max="16" width="9.5703125" customWidth="1" outlineLevel="1"/>
    <col min="17" max="17" width="8" customWidth="1" outlineLevel="1"/>
    <col min="18" max="18" width="10" customWidth="1" outlineLevel="1"/>
    <col min="19" max="19" width="8" customWidth="1" outlineLevel="1"/>
    <col min="20" max="20" width="10.28515625" customWidth="1" outlineLevel="1"/>
    <col min="21" max="21" width="8" customWidth="1" outlineLevel="1"/>
    <col min="22" max="22" width="9.42578125" customWidth="1" outlineLevel="1"/>
    <col min="23" max="23" width="8" customWidth="1" outlineLevel="1"/>
    <col min="24" max="24" width="9" customWidth="1" outlineLevel="1"/>
    <col min="25" max="25" width="8" customWidth="1" outlineLevel="1"/>
    <col min="26" max="26" width="9.7109375" customWidth="1" outlineLevel="1"/>
    <col min="27" max="27" width="8" customWidth="1" outlineLevel="1"/>
    <col min="28" max="28" width="9.140625" customWidth="1" outlineLevel="1"/>
    <col min="29" max="29" width="8" customWidth="1" outlineLevel="1"/>
    <col min="30" max="30" width="8.85546875" customWidth="1" outlineLevel="1"/>
    <col min="31" max="31" width="8" customWidth="1" outlineLevel="1"/>
    <col min="32" max="32" width="9.140625" customWidth="1" outlineLevel="1"/>
    <col min="33" max="33" width="11.7109375" customWidth="1" outlineLevel="1"/>
    <col min="34" max="34" width="10.5703125" customWidth="1" outlineLevel="1"/>
    <col min="35" max="35" width="8" customWidth="1" outlineLevel="1"/>
    <col min="36" max="36" width="8.5703125" customWidth="1" outlineLevel="1"/>
    <col min="37" max="37" width="8" customWidth="1" outlineLevel="1"/>
    <col min="38" max="38" width="9.42578125" customWidth="1" outlineLevel="1"/>
    <col min="39" max="39" width="8" customWidth="1" outlineLevel="1"/>
    <col min="40" max="40" width="9.42578125" customWidth="1" outlineLevel="1"/>
    <col min="41" max="41" width="8" customWidth="1" outlineLevel="1"/>
    <col min="42" max="42" width="10.7109375" customWidth="1" outlineLevel="1"/>
    <col min="43" max="43" width="8" customWidth="1" outlineLevel="1"/>
    <col min="44" max="44" width="10.28515625" customWidth="1" outlineLevel="1"/>
    <col min="45" max="45" width="8" customWidth="1" outlineLevel="1"/>
    <col min="46" max="46" width="12.140625" customWidth="1" outlineLevel="1"/>
    <col min="47" max="47" width="8" customWidth="1" outlineLevel="1"/>
    <col min="48" max="48" width="10.5703125" customWidth="1" outlineLevel="1"/>
    <col min="49" max="49" width="8" customWidth="1" outlineLevel="1"/>
    <col min="50" max="50" width="9" customWidth="1" outlineLevel="1"/>
    <col min="51" max="51" width="8" customWidth="1" outlineLevel="1"/>
    <col min="52" max="52" width="9" customWidth="1" outlineLevel="1"/>
    <col min="53" max="53" width="8" customWidth="1" outlineLevel="1"/>
    <col min="54" max="54" width="9.5703125" customWidth="1" outlineLevel="1"/>
    <col min="55" max="55" width="8" customWidth="1" outlineLevel="1"/>
    <col min="56" max="56" width="9.5703125" customWidth="1" outlineLevel="1"/>
    <col min="57" max="57" width="8" customWidth="1" outlineLevel="1"/>
    <col min="58" max="58" width="8.85546875" customWidth="1" outlineLevel="1"/>
    <col min="59" max="59" width="8" customWidth="1" outlineLevel="1"/>
    <col min="60" max="60" width="12.5703125" customWidth="1"/>
    <col min="61" max="61" width="13.7109375" customWidth="1"/>
    <col min="62" max="62" width="13.42578125" customWidth="1"/>
  </cols>
  <sheetData>
    <row r="1" spans="1:62">
      <c r="A1" s="389" t="s">
        <v>589</v>
      </c>
      <c r="B1" s="389" t="s">
        <v>590</v>
      </c>
      <c r="C1" s="389" t="s">
        <v>591</v>
      </c>
      <c r="D1" s="52">
        <v>46054</v>
      </c>
      <c r="F1" s="52">
        <v>46055</v>
      </c>
      <c r="H1" s="52">
        <v>46056</v>
      </c>
      <c r="J1" s="52">
        <v>46057</v>
      </c>
      <c r="L1" s="52">
        <v>46058</v>
      </c>
      <c r="N1" s="52">
        <v>46059</v>
      </c>
      <c r="P1" s="52">
        <v>46060</v>
      </c>
      <c r="R1" s="52">
        <v>46061</v>
      </c>
      <c r="T1" s="52">
        <v>46062</v>
      </c>
      <c r="V1" s="52">
        <v>46063</v>
      </c>
      <c r="X1" s="52">
        <v>46064</v>
      </c>
      <c r="Z1" s="52">
        <v>46065</v>
      </c>
      <c r="AB1" s="52">
        <v>46066</v>
      </c>
      <c r="AD1" s="52">
        <v>46067</v>
      </c>
      <c r="AF1" s="52">
        <v>46068</v>
      </c>
      <c r="AH1" s="52">
        <v>46069</v>
      </c>
      <c r="AJ1" s="52">
        <v>46070</v>
      </c>
      <c r="AL1" s="52">
        <v>46071</v>
      </c>
      <c r="AN1" s="52">
        <v>46072</v>
      </c>
      <c r="AP1" s="52">
        <v>46073</v>
      </c>
      <c r="AR1" s="52">
        <v>46074</v>
      </c>
      <c r="AT1" s="52">
        <v>46075</v>
      </c>
      <c r="AV1" s="52">
        <v>46076</v>
      </c>
      <c r="AX1" s="52">
        <v>46077</v>
      </c>
      <c r="AZ1" s="52">
        <v>46078</v>
      </c>
      <c r="BB1" s="52">
        <v>46079</v>
      </c>
      <c r="BD1" s="52">
        <v>46080</v>
      </c>
      <c r="BF1" s="52">
        <v>46081</v>
      </c>
      <c r="BH1" s="71" t="s">
        <v>592</v>
      </c>
      <c r="BI1" s="71" t="s">
        <v>593</v>
      </c>
      <c r="BJ1" s="71" t="s">
        <v>594</v>
      </c>
    </row>
    <row r="2" spans="1:62" hidden="1">
      <c r="A2" s="394"/>
      <c r="B2" s="394"/>
      <c r="C2" s="394"/>
      <c r="D2" s="54" t="s">
        <v>595</v>
      </c>
      <c r="E2" s="54" t="s">
        <v>596</v>
      </c>
      <c r="F2" s="57" t="s">
        <v>595</v>
      </c>
      <c r="G2" s="57" t="s">
        <v>596</v>
      </c>
      <c r="H2" t="s">
        <v>595</v>
      </c>
      <c r="I2" t="s">
        <v>596</v>
      </c>
      <c r="J2" t="s">
        <v>595</v>
      </c>
      <c r="K2" t="s">
        <v>596</v>
      </c>
      <c r="L2" t="s">
        <v>595</v>
      </c>
      <c r="M2" t="s">
        <v>596</v>
      </c>
      <c r="N2" t="s">
        <v>595</v>
      </c>
      <c r="O2" t="s">
        <v>596</v>
      </c>
      <c r="P2" s="56" t="s">
        <v>595</v>
      </c>
      <c r="Q2" s="56" t="s">
        <v>596</v>
      </c>
      <c r="R2" s="54" t="s">
        <v>595</v>
      </c>
      <c r="S2" s="54" t="s">
        <v>596</v>
      </c>
      <c r="T2" t="s">
        <v>595</v>
      </c>
      <c r="U2" t="s">
        <v>596</v>
      </c>
      <c r="V2" t="s">
        <v>595</v>
      </c>
      <c r="W2" t="s">
        <v>596</v>
      </c>
      <c r="X2" t="s">
        <v>595</v>
      </c>
      <c r="Y2" t="s">
        <v>596</v>
      </c>
      <c r="Z2" t="s">
        <v>595</v>
      </c>
      <c r="AA2" t="s">
        <v>596</v>
      </c>
      <c r="AB2" t="s">
        <v>595</v>
      </c>
      <c r="AC2" t="s">
        <v>596</v>
      </c>
      <c r="AD2" s="56" t="s">
        <v>595</v>
      </c>
      <c r="AE2" s="56" t="s">
        <v>596</v>
      </c>
      <c r="AF2" s="54" t="s">
        <v>595</v>
      </c>
      <c r="AG2" s="54" t="s">
        <v>596</v>
      </c>
      <c r="AH2" t="s">
        <v>595</v>
      </c>
      <c r="AI2" t="s">
        <v>596</v>
      </c>
      <c r="AJ2" t="s">
        <v>595</v>
      </c>
      <c r="AK2" t="s">
        <v>596</v>
      </c>
      <c r="AL2" t="s">
        <v>595</v>
      </c>
      <c r="AM2" t="s">
        <v>596</v>
      </c>
      <c r="AN2" t="s">
        <v>595</v>
      </c>
      <c r="AO2" t="s">
        <v>596</v>
      </c>
      <c r="AP2" t="s">
        <v>595</v>
      </c>
      <c r="AQ2" t="s">
        <v>596</v>
      </c>
      <c r="AR2" s="56" t="s">
        <v>595</v>
      </c>
      <c r="AS2" s="56" t="s">
        <v>596</v>
      </c>
      <c r="AT2" s="54" t="s">
        <v>595</v>
      </c>
      <c r="AU2" s="54" t="s">
        <v>596</v>
      </c>
      <c r="AV2" t="s">
        <v>595</v>
      </c>
      <c r="AW2" t="s">
        <v>596</v>
      </c>
      <c r="AX2" t="s">
        <v>595</v>
      </c>
      <c r="AY2" t="s">
        <v>596</v>
      </c>
      <c r="AZ2" t="s">
        <v>595</v>
      </c>
      <c r="BA2" t="s">
        <v>596</v>
      </c>
      <c r="BB2" t="s">
        <v>595</v>
      </c>
      <c r="BC2" t="s">
        <v>596</v>
      </c>
      <c r="BD2" t="s">
        <v>595</v>
      </c>
      <c r="BE2" t="s">
        <v>596</v>
      </c>
      <c r="BF2" s="56" t="s">
        <v>595</v>
      </c>
      <c r="BG2" s="56" t="s">
        <v>596</v>
      </c>
      <c r="BH2" t="s">
        <v>597</v>
      </c>
      <c r="BI2" t="s">
        <v>598</v>
      </c>
      <c r="BJ2" t="s">
        <v>599</v>
      </c>
    </row>
    <row r="3" spans="1:62" hidden="1">
      <c r="A3" s="59" t="s">
        <v>5</v>
      </c>
      <c r="B3" s="60" t="s">
        <v>6</v>
      </c>
      <c r="C3" s="60" t="s">
        <v>7</v>
      </c>
      <c r="D3" s="54"/>
      <c r="E3" s="54"/>
      <c r="F3" s="57"/>
      <c r="G3" s="57"/>
      <c r="H3" s="67">
        <v>0.35694444444444445</v>
      </c>
      <c r="I3" s="68"/>
      <c r="J3" s="53">
        <v>0.35694444444444445</v>
      </c>
      <c r="K3" s="53">
        <v>0.23958333333333334</v>
      </c>
      <c r="L3" s="53">
        <v>0.35486111111111113</v>
      </c>
      <c r="M3" s="53">
        <v>0.1673611111111111</v>
      </c>
      <c r="N3" s="53">
        <v>0.3576388888888889</v>
      </c>
      <c r="O3" s="53">
        <v>0.1673611111111111</v>
      </c>
      <c r="P3" s="69">
        <v>0.35486111111111113</v>
      </c>
      <c r="Q3" s="56"/>
      <c r="R3" s="54"/>
      <c r="S3" s="54"/>
      <c r="T3" s="53">
        <v>0.35486111111111113</v>
      </c>
      <c r="U3" s="53">
        <v>0.16597222222222222</v>
      </c>
      <c r="V3" s="53">
        <v>0.35694444444444445</v>
      </c>
      <c r="W3" s="53">
        <v>0.16666666666666666</v>
      </c>
      <c r="X3" s="53">
        <v>0.3576388888888889</v>
      </c>
      <c r="Y3" s="53">
        <v>0.16805555555555557</v>
      </c>
      <c r="Z3" s="53"/>
      <c r="AA3" s="53">
        <v>0.1736111111111111</v>
      </c>
      <c r="AC3" s="53">
        <v>0.15069444444444444</v>
      </c>
      <c r="AD3" s="56"/>
      <c r="AE3" s="56"/>
      <c r="AF3" s="54"/>
      <c r="AG3" s="54"/>
      <c r="AH3" s="53">
        <v>0.35694444444444445</v>
      </c>
      <c r="AI3" s="53">
        <v>0.16666666666666666</v>
      </c>
      <c r="AJ3" s="53">
        <v>0.35555555555555557</v>
      </c>
      <c r="AK3" s="53">
        <v>0.19305555555555556</v>
      </c>
      <c r="AL3" s="53">
        <v>0.35625000000000001</v>
      </c>
      <c r="AM3" s="53">
        <v>0.18124999999999999</v>
      </c>
      <c r="AN3" s="53">
        <v>0.35625000000000001</v>
      </c>
      <c r="AO3" s="53">
        <v>0.16041666666666668</v>
      </c>
      <c r="AP3" s="53">
        <v>0.35486111111111113</v>
      </c>
      <c r="AQ3" s="53">
        <v>0.16527777777777777</v>
      </c>
      <c r="AR3" s="56"/>
      <c r="AS3" s="56"/>
      <c r="AT3" s="54"/>
      <c r="AU3" s="54"/>
      <c r="AV3" s="53">
        <v>0.35555555555555557</v>
      </c>
      <c r="AW3" s="53">
        <v>0.18680555555555556</v>
      </c>
      <c r="AX3" s="53">
        <v>0.3527777777777778</v>
      </c>
      <c r="AZ3" s="53">
        <v>0.35694444444444445</v>
      </c>
      <c r="BA3" s="53">
        <v>0.18472222222222223</v>
      </c>
      <c r="BB3" s="53">
        <v>0.35555555555555557</v>
      </c>
      <c r="BC3" s="53">
        <v>0.18263888888888888</v>
      </c>
      <c r="BD3" s="53">
        <v>0.35902777777777778</v>
      </c>
      <c r="BE3" s="53">
        <v>0.17916666666666667</v>
      </c>
      <c r="BF3" s="56"/>
      <c r="BG3" s="56"/>
      <c r="BH3">
        <f t="shared" ref="BH3" si="0">SUM(IF(AND(D3&lt;&gt;"",WEEKDAY(D$1,2)&lt;6),1,0),IF(AND(F3&lt;&gt;"",WEEKDAY(F$1,2)&lt;6),1,0),IF(AND(H3&lt;&gt;"",WEEKDAY(H$1,2)&lt;6),1,0),IF(AND(J3&lt;&gt;"",WEEKDAY(J$1,2)&lt;6),1,0),IF(AND(L3&lt;&gt;"",WEEKDAY(L$1,2)&lt;6),1,0),IF(AND(N3&lt;&gt;"",WEEKDAY(N$1,2)&lt;6),1,0),IF(AND(P3&lt;&gt;"",WEEKDAY(P$1,2)&lt;6),1,0),IF(AND(R3&lt;&gt;"",WEEKDAY(R$1,2)&lt;6),1,0),IF(AND(T3&lt;&gt;"",WEEKDAY(T$1,2)&lt;6),1,0),IF(AND(V3&lt;&gt;"",WEEKDAY(V$1,2)&lt;6),1,0),IF(AND(X3&lt;&gt;"",WEEKDAY(X$1,2)&lt;6),1,0),IF(AND(Z3&lt;&gt;"",WEEKDAY(Z$1,2)&lt;6),1,0),IF(AND(AB3&lt;&gt;"",WEEKDAY(AB$1,2)&lt;6),1,0),IF(AND(AD3&lt;&gt;"",WEEKDAY(AD$1,2)&lt;6),1,0),IF(AND(AF3&lt;&gt;"",WEEKDAY(AF$1,2)&lt;6),1,0),IF(AND(AH3&lt;&gt;"",WEEKDAY(AH$1,2)&lt;6),1,0),IF(AND(AJ3&lt;&gt;"",WEEKDAY(AJ$1,2)&lt;6),1,0),IF(AND(AL3&lt;&gt;"",WEEKDAY(AL$1,2)&lt;6),1,0),IF(AND(AN3&lt;&gt;"",WEEKDAY(AN$1,2)&lt;6),1,0),IF(AND(AP3&lt;&gt;"",WEEKDAY(AP$1,2)&lt;6),1,0),IF(AND(AR3&lt;&gt;"",WEEKDAY(AR$1,2)&lt;6),1,0),IF(AND(AT3&lt;&gt;"",WEEKDAY(AT$1,2)&lt;6),1,0),IF(AND(AV3&lt;&gt;"",WEEKDAY(AV$1,2)&lt;6),1,0),IF(AND(AX3&lt;&gt;"",WEEKDAY(AX$1,2)&lt;6),1,0),IF(AND(AZ3&lt;&gt;"",WEEKDAY(AZ$1,2)&lt;6),1,0),IF(AND(BB3&lt;&gt;"",WEEKDAY(BB$1,2)&lt;6),1,0),IF(AND(BD3&lt;&gt;"",WEEKDAY(BD$1,2)&lt;6),1,0),IF(AND(BF3&lt;&gt;"",WEEKDAY(BF$1,2)&lt;6),1,0))</f>
        <v>17</v>
      </c>
      <c r="BI3">
        <f t="shared" ref="BI3" si="1">SUM(IF(AND(E3&lt;&gt;"",WEEKDAY(D$1,2)&lt;6),1,0),IF(AND(G3&lt;&gt;"",WEEKDAY(F$1,2)&lt;6),1,0),IF(AND(I3&lt;&gt;"",WEEKDAY(H$1,2)&lt;6),1,0),IF(AND(K3&lt;&gt;"",WEEKDAY(J$1,2)&lt;6),1,0),IF(AND(M3&lt;&gt;"",WEEKDAY(L$1,2)&lt;6),1,0),IF(AND(O3&lt;&gt;"",WEEKDAY(N$1,2)&lt;6),1,0),IF(AND(Q3&lt;&gt;"",WEEKDAY(P$1,2)&lt;6),1,0),IF(AND(S3&lt;&gt;"",WEEKDAY(R$1,2)&lt;6),1,0),IF(AND(U3&lt;&gt;"",WEEKDAY(T$1,2)&lt;6),1,0),IF(AND(W3&lt;&gt;"",WEEKDAY(V$1,2)&lt;6),1,0),IF(AND(Y3&lt;&gt;"",WEEKDAY(X$1,2)&lt;6),1,0),IF(AND(AA3&lt;&gt;"",WEEKDAY(Z$1,2)&lt;6),1,0),IF(AND(AC3&lt;&gt;"",WEEKDAY(AB$1,2)&lt;6),1,0),IF(AND(AE3&lt;&gt;"",WEEKDAY(AD$1,2)&lt;6),1,0),IF(AND(AG3&lt;&gt;"",WEEKDAY(AF$1,2)&lt;6),1,0),IF(AND(AI3&lt;&gt;"",WEEKDAY(AH$1,2)&lt;6),1,0),IF(AND(AK3&lt;&gt;"",WEEKDAY(AJ$1,2)&lt;6),1,0),IF(AND(AM3&lt;&gt;"",WEEKDAY(AL$1,2)&lt;6),1,0),IF(AND(AO3&lt;&gt;"",WEEKDAY(AN$1,2)&lt;6),1,0),IF(AND(AQ3&lt;&gt;"",WEEKDAY(AP$1,2)&lt;6),1,0),IF(AND(AS3&lt;&gt;"",WEEKDAY(AR$1,2)&lt;6),1,0),IF(AND(AU3&lt;&gt;"",WEEKDAY(AT$1,2)&lt;6),1,0),IF(AND(AW3&lt;&gt;"",WEEKDAY(AV$1,2)&lt;6),1,0),IF(AND(AY3&lt;&gt;"",WEEKDAY(AX$1,2)&lt;6),1,0),IF(AND(BA3&lt;&gt;"",WEEKDAY(AZ$1,2)&lt;6),1,0),IF(AND(BC3&lt;&gt;"",WEEKDAY(BB$1,2)&lt;6),1,0),IF(AND(BE3&lt;&gt;"",WEEKDAY(BD$1,2)&lt;6),1,0),IF(AND(BG3&lt;&gt;"",WEEKDAY(BF$1,2)&lt;6),1,0))</f>
        <v>17</v>
      </c>
      <c r="BJ3">
        <f t="shared" ref="BJ3" si="2">SUM(IF(AND((D3&lt;&gt;"" )+(E3&lt;&gt;""),WEEKDAY(D$1,2)=6),1,0),IF(AND((F3&lt;&gt;"" )+(G3&lt;&gt;""),WEEKDAY(F$1,2)=6),1,0),IF(AND((H3&lt;&gt;"" )+(I3&lt;&gt;""),WEEKDAY(H$1,2)=6),1,0),IF(AND((J3&lt;&gt;"" )+(K3&lt;&gt;""),WEEKDAY(J$1,2)=6),1,0),IF(AND((L3&lt;&gt;"" )+(M3&lt;&gt;""),WEEKDAY(L$1,2)=6),1,0),IF(AND((N3&lt;&gt;"" )+(O3&lt;&gt;""),WEEKDAY(N$1,2)=6),1,0),IF(AND((P3&lt;&gt;"" )+(Q3&lt;&gt;""),WEEKDAY(P$1,2)=6),1,0),IF(AND((R3&lt;&gt;"" )+(S3&lt;&gt;""),WEEKDAY(R$1,2)=6),1,0),IF(AND((T3&lt;&gt;"" )+(U3&lt;&gt;""),WEEKDAY(T$1,2)=6),1,0),IF(AND((V3&lt;&gt;"" )+(W3&lt;&gt;""),WEEKDAY(V$1,2)=6),1,0),IF(AND((X3&lt;&gt;"" )+(Y3&lt;&gt;""),WEEKDAY(X$1,2)=6),1,0),IF(AND((Z3&lt;&gt;"" )+(AA3&lt;&gt;""),WEEKDAY(Z$1,2)=6),1,0),IF(AND((AB3&lt;&gt;"" )+(AC3&lt;&gt;""),WEEKDAY(AB$1,2)=6),1,0),IF(AND((AD3&lt;&gt;"" )+(AE3&lt;&gt;""),WEEKDAY(AD$1,2)=6),1,0),IF(AND((AF3&lt;&gt;"" )+(AG3&lt;&gt;""),WEEKDAY(AF$1,2)=6),1,0),IF(AND((AH3&lt;&gt;"" )+(AI3&lt;&gt;""),WEEKDAY(AH$1,2)=6),1,0),IF(AND((AJ3&lt;&gt;"" )+(AK3&lt;&gt;""),WEEKDAY(AJ$1,2)=6),1,0),IF(AND((AL3&lt;&gt;"" )+(AM3&lt;&gt;""),WEEKDAY(AL$1,2)=6),1,0),IF(AND((AN3&lt;&gt;"" )+(AO3&lt;&gt;""),WEEKDAY(AN$1,2)=6),1,0),IF(AND((AP3&lt;&gt;"" )+(AQ3&lt;&gt;""),WEEKDAY(AP$1,2)=6),1,0),IF(AND((AR3&lt;&gt;"" )+(AS3&lt;&gt;""),WEEKDAY(AR$1,2)=6),1,0),IF(AND((AT3&lt;&gt;"" )+(AU3&lt;&gt;""),WEEKDAY(AT$1,2)=6),1,0),IF(AND((AV3&lt;&gt;"" )+(AW3&lt;&gt;""),WEEKDAY(AV$1,2)=6),1,0),IF(AND((AX3&lt;&gt;"" )+(AY3&lt;&gt;""),WEEKDAY(AX$1,2)=6),1,0),IF(AND((AZ3&lt;&gt;"" )+(BA3&lt;&gt;""),WEEKDAY(AZ$1,2)=6),1,0),IF(AND((BB3&lt;&gt;"" )+(BC3&lt;&gt;""),WEEKDAY(BB$1,2)=6),1,0),IF(AND((BD3&lt;&gt;"" )+(BE3&lt;&gt;""),WEEKDAY(BD$1,2)=6),1,0),IF(AND((BF3&lt;&gt;"" )+(BG3&lt;&gt;""),WEEKDAY(BF$1,2)=6),1,0))</f>
        <v>1</v>
      </c>
    </row>
    <row r="4" spans="1:62" hidden="1">
      <c r="A4" s="59" t="s">
        <v>5</v>
      </c>
      <c r="B4" s="60" t="s">
        <v>6</v>
      </c>
      <c r="C4" s="60" t="s">
        <v>8</v>
      </c>
      <c r="D4" s="55"/>
      <c r="E4" s="55"/>
      <c r="F4" s="58"/>
      <c r="G4" s="58"/>
      <c r="H4" s="53"/>
      <c r="P4" s="56"/>
      <c r="Q4" s="56"/>
      <c r="R4" s="54"/>
      <c r="S4" s="54"/>
      <c r="Z4" s="53">
        <v>0.35625000000000001</v>
      </c>
      <c r="AB4" s="53">
        <v>0.3527777777777778</v>
      </c>
      <c r="AD4" s="56"/>
      <c r="AE4" s="56"/>
      <c r="AF4" s="54"/>
      <c r="AG4" s="54"/>
      <c r="AR4" s="69">
        <v>0.35902777777777778</v>
      </c>
      <c r="AS4" s="69">
        <v>0.5395833333333333</v>
      </c>
      <c r="AT4" s="54"/>
      <c r="AU4" s="54"/>
      <c r="AX4" s="53"/>
      <c r="BF4" s="56"/>
      <c r="BG4" s="56"/>
      <c r="BH4">
        <f t="shared" ref="BH4:BH67" si="3">SUM(IF(AND(D4&lt;&gt;"",WEEKDAY(D$1,2)&lt;6),1,0),IF(AND(F4&lt;&gt;"",WEEKDAY(F$1,2)&lt;6),1,0),IF(AND(H4&lt;&gt;"",WEEKDAY(H$1,2)&lt;6),1,0),IF(AND(J4&lt;&gt;"",WEEKDAY(J$1,2)&lt;6),1,0),IF(AND(L4&lt;&gt;"",WEEKDAY(L$1,2)&lt;6),1,0),IF(AND(N4&lt;&gt;"",WEEKDAY(N$1,2)&lt;6),1,0),IF(AND(P4&lt;&gt;"",WEEKDAY(P$1,2)&lt;6),1,0),IF(AND(R4&lt;&gt;"",WEEKDAY(R$1,2)&lt;6),1,0),IF(AND(T4&lt;&gt;"",WEEKDAY(T$1,2)&lt;6),1,0),IF(AND(V4&lt;&gt;"",WEEKDAY(V$1,2)&lt;6),1,0),IF(AND(X4&lt;&gt;"",WEEKDAY(X$1,2)&lt;6),1,0),IF(AND(Z4&lt;&gt;"",WEEKDAY(Z$1,2)&lt;6),1,0),IF(AND(AB4&lt;&gt;"",WEEKDAY(AB$1,2)&lt;6),1,0),IF(AND(AD4&lt;&gt;"",WEEKDAY(AD$1,2)&lt;6),1,0),IF(AND(AF4&lt;&gt;"",WEEKDAY(AF$1,2)&lt;6),1,0),IF(AND(AH4&lt;&gt;"",WEEKDAY(AH$1,2)&lt;6),1,0),IF(AND(AJ4&lt;&gt;"",WEEKDAY(AJ$1,2)&lt;6),1,0),IF(AND(AL4&lt;&gt;"",WEEKDAY(AL$1,2)&lt;6),1,0),IF(AND(AN4&lt;&gt;"",WEEKDAY(AN$1,2)&lt;6),1,0),IF(AND(AP4&lt;&gt;"",WEEKDAY(AP$1,2)&lt;6),1,0),IF(AND(AR4&lt;&gt;"",WEEKDAY(AR$1,2)&lt;6),1,0),IF(AND(AT4&lt;&gt;"",WEEKDAY(AT$1,2)&lt;6),1,0),IF(AND(AV4&lt;&gt;"",WEEKDAY(AV$1,2)&lt;6),1,0),IF(AND(AX4&lt;&gt;"",WEEKDAY(AX$1,2)&lt;6),1,0),IF(AND(AZ4&lt;&gt;"",WEEKDAY(AZ$1,2)&lt;6),1,0),IF(AND(BB4&lt;&gt;"",WEEKDAY(BB$1,2)&lt;6),1,0),IF(AND(BD4&lt;&gt;"",WEEKDAY(BD$1,2)&lt;6),1,0),IF(AND(BF4&lt;&gt;"",WEEKDAY(BF$1,2)&lt;6),1,0))</f>
        <v>2</v>
      </c>
      <c r="BI4">
        <f t="shared" ref="BI4:BI67" si="4">SUM(IF(AND(E4&lt;&gt;"",WEEKDAY(D$1,2)&lt;6),1,0),IF(AND(G4&lt;&gt;"",WEEKDAY(F$1,2)&lt;6),1,0),IF(AND(I4&lt;&gt;"",WEEKDAY(H$1,2)&lt;6),1,0),IF(AND(K4&lt;&gt;"",WEEKDAY(J$1,2)&lt;6),1,0),IF(AND(M4&lt;&gt;"",WEEKDAY(L$1,2)&lt;6),1,0),IF(AND(O4&lt;&gt;"",WEEKDAY(N$1,2)&lt;6),1,0),IF(AND(Q4&lt;&gt;"",WEEKDAY(P$1,2)&lt;6),1,0),IF(AND(S4&lt;&gt;"",WEEKDAY(R$1,2)&lt;6),1,0),IF(AND(U4&lt;&gt;"",WEEKDAY(T$1,2)&lt;6),1,0),IF(AND(W4&lt;&gt;"",WEEKDAY(V$1,2)&lt;6),1,0),IF(AND(Y4&lt;&gt;"",WEEKDAY(X$1,2)&lt;6),1,0),IF(AND(AA4&lt;&gt;"",WEEKDAY(Z$1,2)&lt;6),1,0),IF(AND(AC4&lt;&gt;"",WEEKDAY(AB$1,2)&lt;6),1,0),IF(AND(AE4&lt;&gt;"",WEEKDAY(AD$1,2)&lt;6),1,0),IF(AND(AG4&lt;&gt;"",WEEKDAY(AF$1,2)&lt;6),1,0),IF(AND(AI4&lt;&gt;"",WEEKDAY(AH$1,2)&lt;6),1,0),IF(AND(AK4&lt;&gt;"",WEEKDAY(AJ$1,2)&lt;6),1,0),IF(AND(AM4&lt;&gt;"",WEEKDAY(AL$1,2)&lt;6),1,0),IF(AND(AO4&lt;&gt;"",WEEKDAY(AN$1,2)&lt;6),1,0),IF(AND(AQ4&lt;&gt;"",WEEKDAY(AP$1,2)&lt;6),1,0),IF(AND(AS4&lt;&gt;"",WEEKDAY(AR$1,2)&lt;6),1,0),IF(AND(AU4&lt;&gt;"",WEEKDAY(AT$1,2)&lt;6),1,0),IF(AND(AW4&lt;&gt;"",WEEKDAY(AV$1,2)&lt;6),1,0),IF(AND(AY4&lt;&gt;"",WEEKDAY(AX$1,2)&lt;6),1,0),IF(AND(BA4&lt;&gt;"",WEEKDAY(AZ$1,2)&lt;6),1,0),IF(AND(BC4&lt;&gt;"",WEEKDAY(BB$1,2)&lt;6),1,0),IF(AND(BE4&lt;&gt;"",WEEKDAY(BD$1,2)&lt;6),1,0),IF(AND(BG4&lt;&gt;"",WEEKDAY(BF$1,2)&lt;6),1,0))</f>
        <v>0</v>
      </c>
      <c r="BJ4">
        <f t="shared" ref="BJ4:BJ67" si="5">SUM(IF(AND((D4&lt;&gt;"" )+(E4&lt;&gt;""),WEEKDAY(D$1,2)=6),1,0),IF(AND((F4&lt;&gt;"" )+(G4&lt;&gt;""),WEEKDAY(F$1,2)=6),1,0),IF(AND((H4&lt;&gt;"" )+(I4&lt;&gt;""),WEEKDAY(H$1,2)=6),1,0),IF(AND((J4&lt;&gt;"" )+(K4&lt;&gt;""),WEEKDAY(J$1,2)=6),1,0),IF(AND((L4&lt;&gt;"" )+(M4&lt;&gt;""),WEEKDAY(L$1,2)=6),1,0),IF(AND((N4&lt;&gt;"" )+(O4&lt;&gt;""),WEEKDAY(N$1,2)=6),1,0),IF(AND((P4&lt;&gt;"" )+(Q4&lt;&gt;""),WEEKDAY(P$1,2)=6),1,0),IF(AND((R4&lt;&gt;"" )+(S4&lt;&gt;""),WEEKDAY(R$1,2)=6),1,0),IF(AND((T4&lt;&gt;"" )+(U4&lt;&gt;""),WEEKDAY(T$1,2)=6),1,0),IF(AND((V4&lt;&gt;"" )+(W4&lt;&gt;""),WEEKDAY(V$1,2)=6),1,0),IF(AND((X4&lt;&gt;"" )+(Y4&lt;&gt;""),WEEKDAY(X$1,2)=6),1,0),IF(AND((Z4&lt;&gt;"" )+(AA4&lt;&gt;""),WEEKDAY(Z$1,2)=6),1,0),IF(AND((AB4&lt;&gt;"" )+(AC4&lt;&gt;""),WEEKDAY(AB$1,2)=6),1,0),IF(AND((AD4&lt;&gt;"" )+(AE4&lt;&gt;""),WEEKDAY(AD$1,2)=6),1,0),IF(AND((AF4&lt;&gt;"" )+(AG4&lt;&gt;""),WEEKDAY(AF$1,2)=6),1,0),IF(AND((AH4&lt;&gt;"" )+(AI4&lt;&gt;""),WEEKDAY(AH$1,2)=6),1,0),IF(AND((AJ4&lt;&gt;"" )+(AK4&lt;&gt;""),WEEKDAY(AJ$1,2)=6),1,0),IF(AND((AL4&lt;&gt;"" )+(AM4&lt;&gt;""),WEEKDAY(AL$1,2)=6),1,0),IF(AND((AN4&lt;&gt;"" )+(AO4&lt;&gt;""),WEEKDAY(AN$1,2)=6),1,0),IF(AND((AP4&lt;&gt;"" )+(AQ4&lt;&gt;""),WEEKDAY(AP$1,2)=6),1,0),IF(AND((AR4&lt;&gt;"" )+(AS4&lt;&gt;""),WEEKDAY(AR$1,2)=6),1,0),IF(AND((AT4&lt;&gt;"" )+(AU4&lt;&gt;""),WEEKDAY(AT$1,2)=6),1,0),IF(AND((AV4&lt;&gt;"" )+(AW4&lt;&gt;""),WEEKDAY(AV$1,2)=6),1,0),IF(AND((AX4&lt;&gt;"" )+(AY4&lt;&gt;""),WEEKDAY(AX$1,2)=6),1,0),IF(AND((AZ4&lt;&gt;"" )+(BA4&lt;&gt;""),WEEKDAY(AZ$1,2)=6),1,0),IF(AND((BB4&lt;&gt;"" )+(BC4&lt;&gt;""),WEEKDAY(BB$1,2)=6),1,0),IF(AND((BD4&lt;&gt;"" )+(BE4&lt;&gt;""),WEEKDAY(BD$1,2)=6),1,0),IF(AND((BF4&lt;&gt;"" )+(BG4&lt;&gt;""),WEEKDAY(BF$1,2)=6),1,0))</f>
        <v>1</v>
      </c>
    </row>
    <row r="5" spans="1:62" hidden="1">
      <c r="A5" s="59" t="s">
        <v>5</v>
      </c>
      <c r="B5" s="60" t="s">
        <v>9</v>
      </c>
      <c r="C5" s="60" t="s">
        <v>10</v>
      </c>
      <c r="D5" s="54"/>
      <c r="E5" s="54"/>
      <c r="F5" s="57"/>
      <c r="G5" s="57"/>
      <c r="H5" s="53">
        <v>0.35555555555555557</v>
      </c>
      <c r="J5" s="53">
        <v>0.35347222222222224</v>
      </c>
      <c r="K5" s="53">
        <v>0.16666666666666666</v>
      </c>
      <c r="L5" s="53">
        <v>0.35833333333333334</v>
      </c>
      <c r="M5" s="53">
        <v>0.18611111111111112</v>
      </c>
      <c r="N5" s="53">
        <v>0.36458333333333331</v>
      </c>
      <c r="O5" s="53">
        <v>0.17777777777777778</v>
      </c>
      <c r="P5" s="69">
        <v>0.34930555555555554</v>
      </c>
      <c r="Q5" s="56"/>
      <c r="R5" s="54"/>
      <c r="S5" s="54"/>
      <c r="T5" s="53">
        <v>0.35486111111111113</v>
      </c>
      <c r="U5" s="53">
        <v>0.15763888888888888</v>
      </c>
      <c r="V5" s="53">
        <v>0.3527777777777778</v>
      </c>
      <c r="W5" s="53">
        <v>0.14374999999999999</v>
      </c>
      <c r="Y5" s="53">
        <v>0.2</v>
      </c>
      <c r="Z5" s="53">
        <v>0.3611111111111111</v>
      </c>
      <c r="AA5" s="53">
        <v>0.16597222222222222</v>
      </c>
      <c r="AB5" s="53">
        <v>0.35555555555555557</v>
      </c>
      <c r="AC5" s="53">
        <v>0.16180555555555556</v>
      </c>
      <c r="AD5" s="56"/>
      <c r="AE5" s="56"/>
      <c r="AF5" s="54"/>
      <c r="AG5" s="54"/>
      <c r="AH5" s="53">
        <v>0.35347222222222224</v>
      </c>
      <c r="AI5" s="53">
        <v>0.19027777777777777</v>
      </c>
      <c r="AJ5" s="53">
        <v>0.34861111111111109</v>
      </c>
      <c r="AK5" s="53">
        <v>0.16041666666666668</v>
      </c>
      <c r="AL5" s="53">
        <v>0.36180555555555555</v>
      </c>
      <c r="AM5" s="53">
        <v>0.1361111111111111</v>
      </c>
      <c r="AN5" s="53">
        <v>0.34791666666666665</v>
      </c>
      <c r="AO5" s="53">
        <v>0.17499999999999999</v>
      </c>
      <c r="AP5" s="53">
        <v>0.34930555555555554</v>
      </c>
      <c r="AQ5" s="53">
        <v>0.19583333333333333</v>
      </c>
      <c r="AR5" s="69">
        <v>0.34513888888888888</v>
      </c>
      <c r="AS5" s="56"/>
      <c r="AT5" s="54"/>
      <c r="AU5" s="54"/>
      <c r="AV5" s="53">
        <v>0.33611111111111114</v>
      </c>
      <c r="AW5" s="53">
        <v>0.14791666666666667</v>
      </c>
      <c r="AX5" s="53">
        <v>0.35625000000000001</v>
      </c>
      <c r="BA5" s="53">
        <v>0.15277777777777779</v>
      </c>
      <c r="BD5" s="53">
        <v>0.38333333333333336</v>
      </c>
      <c r="BE5" s="53">
        <v>0.19722222222222222</v>
      </c>
      <c r="BF5" s="56"/>
      <c r="BG5" s="56"/>
      <c r="BH5">
        <f t="shared" si="3"/>
        <v>16</v>
      </c>
      <c r="BI5">
        <f t="shared" si="4"/>
        <v>16</v>
      </c>
      <c r="BJ5">
        <f t="shared" si="5"/>
        <v>2</v>
      </c>
    </row>
    <row r="6" spans="1:62" hidden="1">
      <c r="A6" s="59" t="s">
        <v>5</v>
      </c>
      <c r="B6" s="60" t="s">
        <v>9</v>
      </c>
      <c r="C6" s="60" t="s">
        <v>11</v>
      </c>
      <c r="D6" s="54"/>
      <c r="E6" s="54"/>
      <c r="F6" s="57"/>
      <c r="G6" s="57"/>
      <c r="I6" s="53">
        <v>0.1423611111111111</v>
      </c>
      <c r="P6" s="56"/>
      <c r="Q6" s="56"/>
      <c r="R6" s="54"/>
      <c r="S6" s="54"/>
      <c r="X6" s="53">
        <v>0.36805555555555558</v>
      </c>
      <c r="AD6" s="56"/>
      <c r="AE6" s="56"/>
      <c r="AF6" s="54"/>
      <c r="AG6" s="54"/>
      <c r="AR6" s="56"/>
      <c r="AS6" s="56"/>
      <c r="AT6" s="54"/>
      <c r="AU6" s="54"/>
      <c r="AZ6" s="53">
        <v>0.34305555555555556</v>
      </c>
      <c r="BF6" s="56"/>
      <c r="BG6" s="56"/>
      <c r="BH6">
        <f t="shared" si="3"/>
        <v>2</v>
      </c>
      <c r="BI6">
        <f t="shared" si="4"/>
        <v>1</v>
      </c>
      <c r="BJ6">
        <f t="shared" si="5"/>
        <v>0</v>
      </c>
    </row>
    <row r="7" spans="1:62" hidden="1">
      <c r="A7" s="59" t="s">
        <v>5</v>
      </c>
      <c r="B7" s="60" t="s">
        <v>9</v>
      </c>
      <c r="C7" s="60" t="s">
        <v>12</v>
      </c>
      <c r="D7" s="54"/>
      <c r="E7" s="54"/>
      <c r="F7" s="57"/>
      <c r="G7" s="57"/>
      <c r="P7" s="56"/>
      <c r="Q7" s="56"/>
      <c r="R7" s="54"/>
      <c r="S7" s="54"/>
      <c r="AD7" s="56"/>
      <c r="AE7" s="56"/>
      <c r="AF7" s="54"/>
      <c r="AG7" s="54"/>
      <c r="AR7" s="56"/>
      <c r="AS7" s="56"/>
      <c r="AT7" s="54"/>
      <c r="AU7" s="54"/>
      <c r="BB7" s="53">
        <v>0.34097222222222223</v>
      </c>
      <c r="BF7" s="56"/>
      <c r="BG7" s="56"/>
      <c r="BH7">
        <f t="shared" si="3"/>
        <v>1</v>
      </c>
      <c r="BI7">
        <f t="shared" si="4"/>
        <v>0</v>
      </c>
      <c r="BJ7">
        <f t="shared" si="5"/>
        <v>0</v>
      </c>
    </row>
    <row r="8" spans="1:62" hidden="1">
      <c r="A8" s="59" t="s">
        <v>5</v>
      </c>
      <c r="B8" s="60" t="s">
        <v>9</v>
      </c>
      <c r="C8" s="60" t="s">
        <v>13</v>
      </c>
      <c r="D8" s="54"/>
      <c r="E8" s="54"/>
      <c r="F8" s="57"/>
      <c r="G8" s="57"/>
      <c r="P8" s="56"/>
      <c r="Q8" s="56"/>
      <c r="R8" s="54"/>
      <c r="S8" s="54"/>
      <c r="AD8" s="56"/>
      <c r="AE8" s="56"/>
      <c r="AF8" s="54"/>
      <c r="AG8" s="54"/>
      <c r="AR8" s="56"/>
      <c r="AS8" s="56"/>
      <c r="AT8" s="54"/>
      <c r="AU8" s="54"/>
      <c r="BF8" s="56"/>
      <c r="BG8" s="56"/>
      <c r="BH8">
        <f t="shared" si="3"/>
        <v>0</v>
      </c>
      <c r="BI8">
        <f t="shared" si="4"/>
        <v>0</v>
      </c>
      <c r="BJ8">
        <f t="shared" si="5"/>
        <v>0</v>
      </c>
    </row>
    <row r="9" spans="1:62" hidden="1">
      <c r="A9" s="59" t="s">
        <v>5</v>
      </c>
      <c r="B9" s="60" t="s">
        <v>9</v>
      </c>
      <c r="C9" s="60" t="s">
        <v>14</v>
      </c>
      <c r="D9" s="54"/>
      <c r="E9" s="54"/>
      <c r="F9" s="57"/>
      <c r="G9" s="57"/>
      <c r="P9" s="56"/>
      <c r="Q9" s="56"/>
      <c r="R9" s="54"/>
      <c r="S9" s="54"/>
      <c r="AD9" s="56"/>
      <c r="AE9" s="56"/>
      <c r="AF9" s="54"/>
      <c r="AG9" s="54"/>
      <c r="AR9" s="56"/>
      <c r="AS9" s="56"/>
      <c r="AT9" s="54"/>
      <c r="AU9" s="54"/>
      <c r="BF9" s="56"/>
      <c r="BG9" s="56"/>
      <c r="BH9">
        <f t="shared" si="3"/>
        <v>0</v>
      </c>
      <c r="BI9">
        <f t="shared" si="4"/>
        <v>0</v>
      </c>
      <c r="BJ9">
        <f t="shared" si="5"/>
        <v>0</v>
      </c>
    </row>
    <row r="10" spans="1:62" hidden="1">
      <c r="A10" s="59" t="s">
        <v>5</v>
      </c>
      <c r="B10" s="60" t="s">
        <v>15</v>
      </c>
      <c r="C10" s="60" t="s">
        <v>16</v>
      </c>
      <c r="D10" s="54"/>
      <c r="E10" s="54"/>
      <c r="F10" s="57"/>
      <c r="G10" s="57"/>
      <c r="H10" s="53">
        <v>0.36527777777777776</v>
      </c>
      <c r="I10" s="53">
        <v>0.15555555555555556</v>
      </c>
      <c r="J10" s="53">
        <v>0.35902777777777778</v>
      </c>
      <c r="K10" s="53">
        <v>0.15138888888888888</v>
      </c>
      <c r="L10" s="53">
        <v>0.37361111111111112</v>
      </c>
      <c r="M10" s="53">
        <v>0.16666666666666666</v>
      </c>
      <c r="N10" s="53">
        <v>0.35416666666666669</v>
      </c>
      <c r="O10" s="53">
        <v>0.12916666666666668</v>
      </c>
      <c r="P10" s="56"/>
      <c r="Q10" s="56"/>
      <c r="R10" s="54"/>
      <c r="S10" s="54"/>
      <c r="T10" s="53">
        <v>0.35972222222222222</v>
      </c>
      <c r="U10" s="53">
        <v>0.15972222222222221</v>
      </c>
      <c r="V10" s="53">
        <v>0.35972222222222222</v>
      </c>
      <c r="W10" s="53">
        <v>0.15972222222222221</v>
      </c>
      <c r="X10" s="53">
        <v>0.36319444444444443</v>
      </c>
      <c r="Y10" s="53">
        <v>0.15625</v>
      </c>
      <c r="Z10" s="53">
        <v>0.3611111111111111</v>
      </c>
      <c r="AA10" s="53">
        <v>0.1763888888888889</v>
      </c>
      <c r="AB10" s="53">
        <v>0.36180555555555555</v>
      </c>
      <c r="AC10" s="53">
        <v>0.15902777777777777</v>
      </c>
      <c r="AD10" s="56"/>
      <c r="AE10" s="56"/>
      <c r="AF10" s="54"/>
      <c r="AG10" s="54"/>
      <c r="AH10" s="53">
        <v>0.34166666666666667</v>
      </c>
      <c r="AI10" s="53">
        <v>0.18541666666666667</v>
      </c>
      <c r="AJ10" s="53">
        <v>0.33958333333333335</v>
      </c>
      <c r="AM10" s="53">
        <v>0.17430555555555555</v>
      </c>
      <c r="AO10" s="53">
        <v>0.17499999999999999</v>
      </c>
      <c r="AP10" s="53">
        <v>0.34513888888888888</v>
      </c>
      <c r="AQ10" s="53">
        <v>0.13333333333333333</v>
      </c>
      <c r="AR10" s="56"/>
      <c r="AS10" s="56"/>
      <c r="AT10" s="54"/>
      <c r="AU10" s="54"/>
      <c r="AV10" s="53">
        <v>0.3576388888888889</v>
      </c>
      <c r="AW10" s="53">
        <v>0.15138888888888888</v>
      </c>
      <c r="AX10" s="53">
        <v>0.38055555555555554</v>
      </c>
      <c r="AY10" s="53">
        <v>0.18888888888888888</v>
      </c>
      <c r="AZ10" s="53">
        <v>0.34583333333333333</v>
      </c>
      <c r="BA10" s="53">
        <v>0.1423611111111111</v>
      </c>
      <c r="BB10" s="53">
        <v>0.3659722222222222</v>
      </c>
      <c r="BD10" s="53">
        <v>0.35902777777777778</v>
      </c>
      <c r="BE10" s="53">
        <v>0.16388888888888889</v>
      </c>
      <c r="BF10" s="56"/>
      <c r="BG10" s="56"/>
      <c r="BH10">
        <f t="shared" si="3"/>
        <v>17</v>
      </c>
      <c r="BI10">
        <f t="shared" si="4"/>
        <v>17</v>
      </c>
      <c r="BJ10">
        <f t="shared" si="5"/>
        <v>0</v>
      </c>
    </row>
    <row r="11" spans="1:62" hidden="1">
      <c r="A11" s="59" t="s">
        <v>5</v>
      </c>
      <c r="B11" s="60" t="s">
        <v>15</v>
      </c>
      <c r="C11" s="60" t="s">
        <v>17</v>
      </c>
      <c r="D11" s="54"/>
      <c r="E11" s="54"/>
      <c r="F11" s="57"/>
      <c r="G11" s="57"/>
      <c r="P11" s="56"/>
      <c r="Q11" s="56"/>
      <c r="R11" s="54"/>
      <c r="S11" s="54"/>
      <c r="AD11" s="56"/>
      <c r="AE11" s="56"/>
      <c r="AF11" s="54"/>
      <c r="AG11" s="54"/>
      <c r="AK11" s="53">
        <v>0.16597222222222222</v>
      </c>
      <c r="AL11" s="53">
        <v>0.35694444444444445</v>
      </c>
      <c r="AN11" s="53">
        <v>0.34166666666666667</v>
      </c>
      <c r="AR11" s="56"/>
      <c r="AS11" s="56"/>
      <c r="AT11" s="54"/>
      <c r="AU11" s="54"/>
      <c r="AV11" s="53">
        <v>0.33680555555555558</v>
      </c>
      <c r="BF11" s="56"/>
      <c r="BG11" s="56"/>
      <c r="BH11">
        <f t="shared" si="3"/>
        <v>3</v>
      </c>
      <c r="BI11">
        <f t="shared" si="4"/>
        <v>1</v>
      </c>
      <c r="BJ11">
        <f t="shared" si="5"/>
        <v>0</v>
      </c>
    </row>
    <row r="12" spans="1:62" hidden="1">
      <c r="A12" s="59" t="s">
        <v>5</v>
      </c>
      <c r="B12" s="60" t="s">
        <v>15</v>
      </c>
      <c r="C12" s="60" t="s">
        <v>18</v>
      </c>
      <c r="D12" s="54"/>
      <c r="E12" s="54"/>
      <c r="F12" s="57"/>
      <c r="G12" s="57"/>
      <c r="P12" s="56"/>
      <c r="Q12" s="56"/>
      <c r="R12" s="54"/>
      <c r="S12" s="54"/>
      <c r="AD12" s="56"/>
      <c r="AE12" s="56"/>
      <c r="AF12" s="54"/>
      <c r="AG12" s="54"/>
      <c r="AR12" s="56"/>
      <c r="AS12" s="56"/>
      <c r="AT12" s="54"/>
      <c r="AU12" s="54"/>
      <c r="BF12" s="56"/>
      <c r="BG12" s="56"/>
      <c r="BH12">
        <f t="shared" si="3"/>
        <v>0</v>
      </c>
      <c r="BI12">
        <f t="shared" si="4"/>
        <v>0</v>
      </c>
      <c r="BJ12">
        <f t="shared" si="5"/>
        <v>0</v>
      </c>
    </row>
    <row r="13" spans="1:62" hidden="1">
      <c r="A13" s="59" t="s">
        <v>5</v>
      </c>
      <c r="B13" s="60" t="s">
        <v>15</v>
      </c>
      <c r="C13" s="60" t="s">
        <v>19</v>
      </c>
      <c r="D13" s="54"/>
      <c r="E13" s="54"/>
      <c r="F13" s="57"/>
      <c r="G13" s="57"/>
      <c r="P13" s="56"/>
      <c r="Q13" s="56"/>
      <c r="R13" s="54"/>
      <c r="S13" s="54"/>
      <c r="AD13" s="56"/>
      <c r="AE13" s="56"/>
      <c r="AF13" s="54"/>
      <c r="AG13" s="54"/>
      <c r="AR13" s="56"/>
      <c r="AS13" s="56"/>
      <c r="AT13" s="54"/>
      <c r="AU13" s="54"/>
      <c r="BF13" s="56"/>
      <c r="BG13" s="56"/>
      <c r="BH13">
        <f t="shared" si="3"/>
        <v>0</v>
      </c>
      <c r="BI13">
        <f t="shared" si="4"/>
        <v>0</v>
      </c>
      <c r="BJ13">
        <f t="shared" si="5"/>
        <v>0</v>
      </c>
    </row>
    <row r="14" spans="1:62" hidden="1">
      <c r="A14" s="59" t="s">
        <v>5</v>
      </c>
      <c r="B14" s="60" t="s">
        <v>15</v>
      </c>
      <c r="C14" s="60" t="s">
        <v>20</v>
      </c>
      <c r="D14" s="54"/>
      <c r="E14" s="54"/>
      <c r="F14" s="57"/>
      <c r="G14" s="57"/>
      <c r="P14" s="56"/>
      <c r="Q14" s="56"/>
      <c r="R14" s="54"/>
      <c r="S14" s="54"/>
      <c r="AD14" s="56"/>
      <c r="AE14" s="56"/>
      <c r="AF14" s="54"/>
      <c r="AG14" s="54"/>
      <c r="AR14" s="56"/>
      <c r="AS14" s="56"/>
      <c r="AT14" s="54"/>
      <c r="AU14" s="54"/>
      <c r="BF14" s="56"/>
      <c r="BG14" s="56"/>
      <c r="BH14">
        <f t="shared" si="3"/>
        <v>0</v>
      </c>
      <c r="BI14">
        <f t="shared" si="4"/>
        <v>0</v>
      </c>
      <c r="BJ14">
        <f t="shared" si="5"/>
        <v>0</v>
      </c>
    </row>
    <row r="15" spans="1:62" hidden="1">
      <c r="A15" s="59" t="s">
        <v>5</v>
      </c>
      <c r="B15" s="60" t="s">
        <v>15</v>
      </c>
      <c r="C15" s="60" t="s">
        <v>21</v>
      </c>
      <c r="D15" s="54"/>
      <c r="E15" s="54"/>
      <c r="F15" s="57"/>
      <c r="G15" s="57"/>
      <c r="P15" s="56"/>
      <c r="Q15" s="56"/>
      <c r="R15" s="54"/>
      <c r="S15" s="54"/>
      <c r="AD15" s="56"/>
      <c r="AE15" s="56"/>
      <c r="AF15" s="54"/>
      <c r="AG15" s="54"/>
      <c r="AR15" s="56"/>
      <c r="AS15" s="56"/>
      <c r="AT15" s="54"/>
      <c r="AU15" s="54"/>
      <c r="BF15" s="56"/>
      <c r="BG15" s="56"/>
      <c r="BH15">
        <f t="shared" si="3"/>
        <v>0</v>
      </c>
      <c r="BI15">
        <f t="shared" si="4"/>
        <v>0</v>
      </c>
      <c r="BJ15">
        <f t="shared" si="5"/>
        <v>0</v>
      </c>
    </row>
    <row r="16" spans="1:62" hidden="1">
      <c r="A16" s="59" t="s">
        <v>5</v>
      </c>
      <c r="B16" s="60" t="s">
        <v>22</v>
      </c>
      <c r="C16" s="60" t="s">
        <v>23</v>
      </c>
      <c r="D16" s="54"/>
      <c r="E16" s="54"/>
      <c r="F16" s="57"/>
      <c r="G16" s="57"/>
      <c r="H16" s="53">
        <v>0.35486111111111113</v>
      </c>
      <c r="I16" s="53">
        <v>0.20277777777777778</v>
      </c>
      <c r="J16" s="53">
        <v>0.34027777777777779</v>
      </c>
      <c r="K16" s="53">
        <v>0.16250000000000001</v>
      </c>
      <c r="L16" s="53">
        <v>0.34236111111111112</v>
      </c>
      <c r="M16" s="53">
        <v>0.17499999999999999</v>
      </c>
      <c r="N16" s="53">
        <v>0.3659722222222222</v>
      </c>
      <c r="O16" s="53">
        <v>0.18541666666666667</v>
      </c>
      <c r="P16" s="56"/>
      <c r="Q16" s="56"/>
      <c r="R16" s="54"/>
      <c r="S16" s="54"/>
      <c r="T16" s="53">
        <v>0.3298611111111111</v>
      </c>
      <c r="U16" s="53">
        <v>0.2048611111111111</v>
      </c>
      <c r="V16" s="53">
        <v>0.33680555555555558</v>
      </c>
      <c r="W16" s="53">
        <v>0.22638888888888889</v>
      </c>
      <c r="X16" s="53">
        <v>0.34027777777777779</v>
      </c>
      <c r="Y16" s="53">
        <v>0.2013888888888889</v>
      </c>
      <c r="AA16" s="53">
        <v>0.22708333333333333</v>
      </c>
      <c r="AD16" s="56"/>
      <c r="AE16" s="56"/>
      <c r="AF16" s="54"/>
      <c r="AG16" s="54"/>
      <c r="AH16" s="53">
        <v>0</v>
      </c>
      <c r="AI16" s="53">
        <v>0</v>
      </c>
      <c r="AJ16" s="53">
        <v>0.32708333333333334</v>
      </c>
      <c r="AK16" s="53">
        <v>0.19791666666666666</v>
      </c>
      <c r="AL16" s="53">
        <v>0.35208333333333336</v>
      </c>
      <c r="AM16" s="53">
        <v>0.17986111111111111</v>
      </c>
      <c r="AN16" s="53">
        <v>0.32916666666666666</v>
      </c>
      <c r="AO16" s="53">
        <v>0.1763888888888889</v>
      </c>
      <c r="AP16" s="53">
        <v>0.34097222222222223</v>
      </c>
      <c r="AQ16" s="53">
        <v>0.20208333333333334</v>
      </c>
      <c r="AR16" s="56"/>
      <c r="AS16" s="56"/>
      <c r="AT16" s="54"/>
      <c r="AU16" s="54"/>
      <c r="AV16" s="53">
        <v>0.32361111111111113</v>
      </c>
      <c r="AW16" s="53">
        <v>0.22013888888888888</v>
      </c>
      <c r="AX16" s="53">
        <v>0.32777777777777778</v>
      </c>
      <c r="AZ16" s="53">
        <v>0.34722222222222221</v>
      </c>
      <c r="BA16" s="53">
        <v>0.20347222222222222</v>
      </c>
      <c r="BB16" s="53">
        <v>0.3347222222222222</v>
      </c>
      <c r="BC16" s="53">
        <v>0.21736111111111112</v>
      </c>
      <c r="BF16" s="69">
        <v>0.33541666666666664</v>
      </c>
      <c r="BG16" s="56"/>
      <c r="BH16">
        <f t="shared" si="3"/>
        <v>16</v>
      </c>
      <c r="BI16">
        <f t="shared" si="4"/>
        <v>16</v>
      </c>
      <c r="BJ16">
        <f t="shared" si="5"/>
        <v>1</v>
      </c>
    </row>
    <row r="17" spans="1:62" hidden="1">
      <c r="A17" s="59" t="s">
        <v>5</v>
      </c>
      <c r="B17" s="60" t="s">
        <v>22</v>
      </c>
      <c r="C17" s="60" t="s">
        <v>24</v>
      </c>
      <c r="D17" s="54"/>
      <c r="E17" s="54"/>
      <c r="F17" s="57"/>
      <c r="G17" s="57"/>
      <c r="P17" s="56"/>
      <c r="Q17" s="56"/>
      <c r="R17" s="54"/>
      <c r="S17" s="54"/>
      <c r="Z17" s="53">
        <v>0.36388888888888887</v>
      </c>
      <c r="AD17" s="56"/>
      <c r="AE17" s="56"/>
      <c r="AF17" s="54"/>
      <c r="AG17" s="54"/>
      <c r="AR17" s="56"/>
      <c r="AS17" s="56"/>
      <c r="AT17" s="54"/>
      <c r="AU17" s="54"/>
      <c r="BF17" s="56"/>
      <c r="BG17" s="56"/>
      <c r="BH17">
        <f t="shared" si="3"/>
        <v>1</v>
      </c>
      <c r="BI17">
        <f t="shared" si="4"/>
        <v>0</v>
      </c>
      <c r="BJ17">
        <f t="shared" si="5"/>
        <v>0</v>
      </c>
    </row>
    <row r="18" spans="1:62" hidden="1">
      <c r="A18" s="59" t="s">
        <v>5</v>
      </c>
      <c r="B18" s="60" t="s">
        <v>22</v>
      </c>
      <c r="C18" s="60" t="s">
        <v>25</v>
      </c>
      <c r="D18" s="54"/>
      <c r="E18" s="54"/>
      <c r="F18" s="57"/>
      <c r="G18" s="57"/>
      <c r="P18" s="56"/>
      <c r="Q18" s="56"/>
      <c r="R18" s="54"/>
      <c r="S18" s="54"/>
      <c r="AD18" s="56"/>
      <c r="AE18" s="56"/>
      <c r="AF18" s="54"/>
      <c r="AG18" s="54"/>
      <c r="AR18" s="56"/>
      <c r="AS18" s="56"/>
      <c r="AT18" s="54"/>
      <c r="AU18" s="54"/>
      <c r="BF18" s="56"/>
      <c r="BG18" s="56"/>
      <c r="BH18">
        <f t="shared" si="3"/>
        <v>0</v>
      </c>
      <c r="BI18">
        <f t="shared" si="4"/>
        <v>0</v>
      </c>
      <c r="BJ18">
        <f t="shared" si="5"/>
        <v>0</v>
      </c>
    </row>
    <row r="19" spans="1:62" hidden="1">
      <c r="A19" s="59" t="s">
        <v>26</v>
      </c>
      <c r="B19" s="60" t="s">
        <v>27</v>
      </c>
      <c r="C19" s="60" t="s">
        <v>28</v>
      </c>
      <c r="D19" s="54"/>
      <c r="E19" s="54"/>
      <c r="F19" s="57"/>
      <c r="G19" s="57"/>
      <c r="H19" s="53">
        <v>0.38194444444444442</v>
      </c>
      <c r="I19" s="53">
        <v>0.1388888888888889</v>
      </c>
      <c r="J19" s="53">
        <v>0.38541666666666669</v>
      </c>
      <c r="K19" s="53">
        <v>0.12916666666666668</v>
      </c>
      <c r="L19" s="53">
        <v>0.37916666666666665</v>
      </c>
      <c r="M19" s="53">
        <v>0.13680555555555557</v>
      </c>
      <c r="N19" s="53">
        <v>0.38194444444444442</v>
      </c>
      <c r="O19" s="53">
        <v>0.14722222222222223</v>
      </c>
      <c r="P19" s="56"/>
      <c r="Q19" s="56"/>
      <c r="R19" s="54"/>
      <c r="S19" s="54"/>
      <c r="T19" s="53">
        <v>0.38263888888888886</v>
      </c>
      <c r="U19" s="53">
        <v>0.14097222222222222</v>
      </c>
      <c r="V19" s="53">
        <v>0.38124999999999998</v>
      </c>
      <c r="W19" s="53">
        <v>0.13194444444444445</v>
      </c>
      <c r="X19" s="53">
        <v>0.38055555555555554</v>
      </c>
      <c r="Y19" s="53">
        <v>0.14930555555555555</v>
      </c>
      <c r="Z19" s="53">
        <v>0.38263888888888886</v>
      </c>
      <c r="AA19" s="53">
        <v>0.1451388888888889</v>
      </c>
      <c r="AB19" s="53">
        <v>0.38472222222222224</v>
      </c>
      <c r="AC19" s="53">
        <v>0.1423611111111111</v>
      </c>
      <c r="AD19" s="69">
        <v>0.43125000000000002</v>
      </c>
      <c r="AE19" s="56"/>
      <c r="AF19" s="54"/>
      <c r="AG19" s="54"/>
      <c r="AH19" s="53">
        <v>0.38124999999999998</v>
      </c>
      <c r="AI19" s="53">
        <v>0.14583333333333334</v>
      </c>
      <c r="AJ19" s="53">
        <v>0.38055555555555554</v>
      </c>
      <c r="AK19" s="53">
        <v>0.1451388888888889</v>
      </c>
      <c r="AL19" s="53">
        <v>0.38333333333333336</v>
      </c>
      <c r="AN19" s="53">
        <v>0.38124999999999998</v>
      </c>
      <c r="AO19" s="53">
        <v>0.15416666666666667</v>
      </c>
      <c r="AP19" s="53">
        <v>0.3888888888888889</v>
      </c>
      <c r="AQ19" s="53">
        <v>0.14444444444444443</v>
      </c>
      <c r="AR19" s="56"/>
      <c r="AS19" s="56"/>
      <c r="AT19" s="54"/>
      <c r="AU19" s="54"/>
      <c r="AV19" s="53">
        <v>0.37847222222222221</v>
      </c>
      <c r="AW19" s="53">
        <v>0.14166666666666666</v>
      </c>
      <c r="AZ19" s="53">
        <v>0.38333333333333336</v>
      </c>
      <c r="BB19" s="53">
        <v>0.38194444444444442</v>
      </c>
      <c r="BC19" s="53">
        <v>0.14652777777777778</v>
      </c>
      <c r="BD19" s="53">
        <v>0.38472222222222224</v>
      </c>
      <c r="BE19" s="53">
        <v>0.14652777777777778</v>
      </c>
      <c r="BF19" s="69">
        <v>0.39166666666666666</v>
      </c>
      <c r="BG19" s="56"/>
      <c r="BH19">
        <f t="shared" si="3"/>
        <v>18</v>
      </c>
      <c r="BI19">
        <f t="shared" si="4"/>
        <v>16</v>
      </c>
      <c r="BJ19">
        <f t="shared" si="5"/>
        <v>2</v>
      </c>
    </row>
    <row r="20" spans="1:62" hidden="1">
      <c r="A20" s="59" t="s">
        <v>26</v>
      </c>
      <c r="B20" s="60" t="s">
        <v>29</v>
      </c>
      <c r="C20" s="60" t="s">
        <v>30</v>
      </c>
      <c r="D20" s="54"/>
      <c r="E20" s="54"/>
      <c r="F20" s="57"/>
      <c r="G20" s="57"/>
      <c r="H20" s="53">
        <v>0.35</v>
      </c>
      <c r="I20" s="53">
        <v>0.14374999999999999</v>
      </c>
      <c r="J20" s="53">
        <v>0.35555555555555557</v>
      </c>
      <c r="K20" s="53">
        <v>0.12847222222222221</v>
      </c>
      <c r="L20" s="53">
        <v>0.35972222222222222</v>
      </c>
      <c r="M20" s="53">
        <v>0.12916666666666668</v>
      </c>
      <c r="N20" s="53">
        <v>0.35486111111111113</v>
      </c>
      <c r="O20" s="53">
        <v>0.13819444444444445</v>
      </c>
      <c r="P20" s="69">
        <v>0.30833333333333335</v>
      </c>
      <c r="Q20" s="56"/>
      <c r="R20" s="54"/>
      <c r="S20" s="54"/>
      <c r="T20" s="53">
        <v>0.34027777777777779</v>
      </c>
      <c r="U20" s="53">
        <v>0.15833333333333333</v>
      </c>
      <c r="V20" s="53">
        <v>0.37430555555555556</v>
      </c>
      <c r="W20" s="53">
        <v>0.12638888888888888</v>
      </c>
      <c r="X20" s="53">
        <v>0.36319444444444443</v>
      </c>
      <c r="Y20" s="53">
        <v>0.12638888888888888</v>
      </c>
      <c r="Z20" s="53">
        <v>0.35694444444444445</v>
      </c>
      <c r="AA20" s="53">
        <v>0.15625</v>
      </c>
      <c r="AD20" s="69">
        <v>0.38680555555555557</v>
      </c>
      <c r="AE20" s="56"/>
      <c r="AF20" s="54"/>
      <c r="AG20" s="54"/>
      <c r="AH20" s="53">
        <v>0.35902777777777778</v>
      </c>
      <c r="AI20" s="53">
        <v>0.15277777777777779</v>
      </c>
      <c r="AJ20" s="53">
        <v>0.35694444444444445</v>
      </c>
      <c r="AK20" s="53">
        <v>0.13958333333333334</v>
      </c>
      <c r="AL20" s="53">
        <v>0.35416666666666669</v>
      </c>
      <c r="AM20" s="53">
        <v>0.12916666666666668</v>
      </c>
      <c r="AN20" s="53">
        <v>0.34930555555555554</v>
      </c>
      <c r="AO20" s="53">
        <v>0.12569444444444444</v>
      </c>
      <c r="AP20" s="53">
        <v>0.34513888888888888</v>
      </c>
      <c r="AQ20" s="53">
        <v>0.12777777777777777</v>
      </c>
      <c r="AR20" s="69">
        <v>0.34583333333333333</v>
      </c>
      <c r="AS20" s="56"/>
      <c r="AT20" s="54"/>
      <c r="AU20" s="54"/>
      <c r="AV20" s="53">
        <v>0.34791666666666665</v>
      </c>
      <c r="AW20" s="53">
        <v>0.16111111111111112</v>
      </c>
      <c r="AX20" s="53">
        <v>0.34722222222222221</v>
      </c>
      <c r="AY20" s="53">
        <v>0.15555555555555556</v>
      </c>
      <c r="AZ20" s="53">
        <v>0.35208333333333336</v>
      </c>
      <c r="BA20" s="53">
        <v>0.14305555555555555</v>
      </c>
      <c r="BB20" s="53">
        <v>0.34930555555555554</v>
      </c>
      <c r="BC20" s="53">
        <v>0.13958333333333334</v>
      </c>
      <c r="BD20" s="53">
        <v>0.35</v>
      </c>
      <c r="BE20" s="53">
        <v>0.15763888888888888</v>
      </c>
      <c r="BF20" s="69">
        <v>0.40972222222222221</v>
      </c>
      <c r="BG20" s="56"/>
      <c r="BH20">
        <f t="shared" si="3"/>
        <v>18</v>
      </c>
      <c r="BI20">
        <f t="shared" si="4"/>
        <v>18</v>
      </c>
      <c r="BJ20">
        <f t="shared" si="5"/>
        <v>4</v>
      </c>
    </row>
    <row r="21" spans="1:62" hidden="1">
      <c r="A21" s="59" t="s">
        <v>26</v>
      </c>
      <c r="B21" s="60" t="s">
        <v>31</v>
      </c>
      <c r="C21" s="60" t="s">
        <v>32</v>
      </c>
      <c r="D21" s="54"/>
      <c r="E21" s="54"/>
      <c r="F21" s="57"/>
      <c r="G21" s="57"/>
      <c r="H21" s="53">
        <v>0.36249999999999999</v>
      </c>
      <c r="L21" s="53">
        <v>0.34444444444444444</v>
      </c>
      <c r="P21" s="56"/>
      <c r="Q21" s="56"/>
      <c r="R21" s="54"/>
      <c r="S21" s="54"/>
      <c r="T21" s="53">
        <v>0.3576388888888889</v>
      </c>
      <c r="W21" s="53">
        <v>0.17708333333333334</v>
      </c>
      <c r="Z21" s="53">
        <v>0.36944444444444446</v>
      </c>
      <c r="AB21" s="53">
        <v>0.35625000000000001</v>
      </c>
      <c r="AD21" s="56"/>
      <c r="AE21" s="56"/>
      <c r="AF21" s="54"/>
      <c r="AG21" s="54"/>
      <c r="AH21" s="53">
        <v>0.34513888888888888</v>
      </c>
      <c r="AL21" s="53">
        <v>0.35625000000000001</v>
      </c>
      <c r="AN21" s="53">
        <v>0.37152777777777779</v>
      </c>
      <c r="AP21" s="53">
        <v>0.35</v>
      </c>
      <c r="AR21" s="56"/>
      <c r="AS21" s="56"/>
      <c r="AT21" s="54"/>
      <c r="AU21" s="54"/>
      <c r="AV21" s="53">
        <v>0.35069444444444442</v>
      </c>
      <c r="AW21" s="53">
        <v>0.1875</v>
      </c>
      <c r="BD21" s="53">
        <v>0.33888888888888891</v>
      </c>
      <c r="BF21" s="56"/>
      <c r="BG21" s="56"/>
      <c r="BH21">
        <f t="shared" si="3"/>
        <v>11</v>
      </c>
      <c r="BI21">
        <f t="shared" si="4"/>
        <v>2</v>
      </c>
      <c r="BJ21">
        <f t="shared" si="5"/>
        <v>0</v>
      </c>
    </row>
    <row r="22" spans="1:62" hidden="1">
      <c r="A22" s="59" t="s">
        <v>26</v>
      </c>
      <c r="B22" s="60" t="s">
        <v>31</v>
      </c>
      <c r="C22" s="60" t="s">
        <v>33</v>
      </c>
      <c r="D22" s="54"/>
      <c r="E22" s="54"/>
      <c r="F22" s="57"/>
      <c r="G22" s="57"/>
      <c r="J22" s="53">
        <v>0.34444444444444444</v>
      </c>
      <c r="P22" s="56"/>
      <c r="Q22" s="56"/>
      <c r="R22" s="54"/>
      <c r="S22" s="54"/>
      <c r="V22" s="53">
        <v>0.34930555555555554</v>
      </c>
      <c r="AD22" s="56"/>
      <c r="AE22" s="56"/>
      <c r="AF22" s="54"/>
      <c r="AG22" s="54"/>
      <c r="AR22" s="56"/>
      <c r="AS22" s="56"/>
      <c r="AT22" s="54"/>
      <c r="AU22" s="54"/>
      <c r="AZ22" s="53">
        <v>0.35347222222222224</v>
      </c>
      <c r="BF22" s="56"/>
      <c r="BG22" s="56"/>
      <c r="BH22">
        <f t="shared" si="3"/>
        <v>3</v>
      </c>
      <c r="BI22">
        <f t="shared" si="4"/>
        <v>0</v>
      </c>
      <c r="BJ22">
        <f t="shared" si="5"/>
        <v>0</v>
      </c>
    </row>
    <row r="23" spans="1:62" hidden="1">
      <c r="A23" s="59" t="s">
        <v>26</v>
      </c>
      <c r="B23" s="60" t="s">
        <v>31</v>
      </c>
      <c r="C23" s="60" t="s">
        <v>34</v>
      </c>
      <c r="D23" s="54"/>
      <c r="E23" s="54"/>
      <c r="F23" s="57"/>
      <c r="G23" s="57"/>
      <c r="P23" s="56"/>
      <c r="Q23" s="56"/>
      <c r="R23" s="54"/>
      <c r="S23" s="54"/>
      <c r="X23" s="53">
        <v>0.38541666666666669</v>
      </c>
      <c r="AD23" s="56"/>
      <c r="AE23" s="56"/>
      <c r="AF23" s="54"/>
      <c r="AG23" s="54"/>
      <c r="AO23" s="53">
        <v>0.20069444444444445</v>
      </c>
      <c r="AR23" s="56"/>
      <c r="AS23" s="56"/>
      <c r="AT23" s="54"/>
      <c r="AU23" s="54"/>
      <c r="BF23" s="69">
        <v>0.41666666666666669</v>
      </c>
      <c r="BG23" s="56"/>
      <c r="BH23">
        <f t="shared" si="3"/>
        <v>1</v>
      </c>
      <c r="BI23">
        <f t="shared" si="4"/>
        <v>1</v>
      </c>
      <c r="BJ23">
        <f t="shared" si="5"/>
        <v>1</v>
      </c>
    </row>
    <row r="24" spans="1:62" hidden="1">
      <c r="A24" s="59" t="s">
        <v>26</v>
      </c>
      <c r="B24" s="60" t="s">
        <v>31</v>
      </c>
      <c r="C24" s="60" t="s">
        <v>35</v>
      </c>
      <c r="D24" s="54"/>
      <c r="E24" s="54"/>
      <c r="F24" s="57"/>
      <c r="G24" s="57"/>
      <c r="P24" s="56"/>
      <c r="Q24" s="56"/>
      <c r="R24" s="54"/>
      <c r="S24" s="54"/>
      <c r="AD24" s="56"/>
      <c r="AE24" s="56"/>
      <c r="AF24" s="54"/>
      <c r="AG24" s="54"/>
      <c r="AR24" s="56"/>
      <c r="AS24" s="56"/>
      <c r="AT24" s="54"/>
      <c r="AU24" s="54"/>
      <c r="BF24" s="56"/>
      <c r="BG24" s="56"/>
      <c r="BH24">
        <f t="shared" si="3"/>
        <v>0</v>
      </c>
      <c r="BI24">
        <f t="shared" si="4"/>
        <v>0</v>
      </c>
      <c r="BJ24">
        <f t="shared" si="5"/>
        <v>0</v>
      </c>
    </row>
    <row r="25" spans="1:62" hidden="1">
      <c r="A25" s="59" t="s">
        <v>26</v>
      </c>
      <c r="B25" s="60" t="s">
        <v>31</v>
      </c>
      <c r="C25" s="60" t="s">
        <v>36</v>
      </c>
      <c r="D25" s="54"/>
      <c r="E25" s="54"/>
      <c r="F25" s="57"/>
      <c r="G25" s="57"/>
      <c r="P25" s="56"/>
      <c r="Q25" s="56"/>
      <c r="R25" s="54"/>
      <c r="S25" s="54"/>
      <c r="AD25" s="56"/>
      <c r="AE25" s="56"/>
      <c r="AF25" s="54"/>
      <c r="AG25" s="54"/>
      <c r="AR25" s="56"/>
      <c r="AS25" s="56"/>
      <c r="AT25" s="54"/>
      <c r="AU25" s="54"/>
      <c r="BF25" s="56"/>
      <c r="BG25" s="56"/>
      <c r="BH25">
        <f t="shared" si="3"/>
        <v>0</v>
      </c>
      <c r="BI25">
        <f t="shared" si="4"/>
        <v>0</v>
      </c>
      <c r="BJ25">
        <f t="shared" si="5"/>
        <v>0</v>
      </c>
    </row>
    <row r="26" spans="1:62" hidden="1">
      <c r="A26" s="59" t="s">
        <v>26</v>
      </c>
      <c r="B26" s="60" t="s">
        <v>31</v>
      </c>
      <c r="C26" s="60" t="s">
        <v>37</v>
      </c>
      <c r="D26" s="54"/>
      <c r="E26" s="54"/>
      <c r="F26" s="57"/>
      <c r="G26" s="57"/>
      <c r="P26" s="56"/>
      <c r="Q26" s="56"/>
      <c r="R26" s="54"/>
      <c r="S26" s="54"/>
      <c r="AD26" s="56"/>
      <c r="AE26" s="56"/>
      <c r="AF26" s="54"/>
      <c r="AG26" s="54"/>
      <c r="AR26" s="56"/>
      <c r="AS26" s="56"/>
      <c r="AT26" s="54"/>
      <c r="AU26" s="54"/>
      <c r="BF26" s="56"/>
      <c r="BG26" s="56"/>
      <c r="BH26">
        <f t="shared" si="3"/>
        <v>0</v>
      </c>
      <c r="BI26">
        <f t="shared" si="4"/>
        <v>0</v>
      </c>
      <c r="BJ26">
        <f t="shared" si="5"/>
        <v>0</v>
      </c>
    </row>
    <row r="27" spans="1:62" hidden="1">
      <c r="A27" s="59" t="s">
        <v>26</v>
      </c>
      <c r="B27" s="60" t="s">
        <v>31</v>
      </c>
      <c r="C27" s="60" t="s">
        <v>38</v>
      </c>
      <c r="D27" s="54"/>
      <c r="E27" s="54"/>
      <c r="F27" s="57"/>
      <c r="G27" s="57"/>
      <c r="P27" s="56"/>
      <c r="Q27" s="56"/>
      <c r="R27" s="54"/>
      <c r="S27" s="54"/>
      <c r="AD27" s="56"/>
      <c r="AE27" s="56"/>
      <c r="AF27" s="54"/>
      <c r="AG27" s="54"/>
      <c r="AR27" s="56"/>
      <c r="AS27" s="56"/>
      <c r="AT27" s="54"/>
      <c r="AU27" s="54"/>
      <c r="BF27" s="56"/>
      <c r="BG27" s="56"/>
      <c r="BH27">
        <f t="shared" si="3"/>
        <v>0</v>
      </c>
      <c r="BI27">
        <f t="shared" si="4"/>
        <v>0</v>
      </c>
      <c r="BJ27">
        <f t="shared" si="5"/>
        <v>0</v>
      </c>
    </row>
    <row r="28" spans="1:62" hidden="1">
      <c r="A28" s="59" t="s">
        <v>26</v>
      </c>
      <c r="B28" s="60" t="s">
        <v>39</v>
      </c>
      <c r="C28" s="60" t="s">
        <v>40</v>
      </c>
      <c r="D28" s="54"/>
      <c r="E28" s="54"/>
      <c r="F28" s="57"/>
      <c r="G28" s="57"/>
      <c r="H28" s="53">
        <v>0.39444444444444443</v>
      </c>
      <c r="I28" s="53">
        <v>0.17083333333333334</v>
      </c>
      <c r="J28" s="53">
        <v>0.37569444444444444</v>
      </c>
      <c r="K28" s="53">
        <v>0.16319444444444445</v>
      </c>
      <c r="L28" s="53">
        <v>0.37986111111111109</v>
      </c>
      <c r="M28" s="53">
        <v>0.16111111111111112</v>
      </c>
      <c r="N28" s="53">
        <v>0.41597222222222224</v>
      </c>
      <c r="O28" s="53">
        <v>0.13125000000000001</v>
      </c>
      <c r="P28" s="69">
        <v>0.4548611111111111</v>
      </c>
      <c r="Q28" s="56"/>
      <c r="R28" s="54"/>
      <c r="S28" s="54"/>
      <c r="T28" s="53">
        <v>0.39166666666666666</v>
      </c>
      <c r="U28" s="53">
        <v>0.1673611111111111</v>
      </c>
      <c r="V28" s="53">
        <v>0.38750000000000001</v>
      </c>
      <c r="W28" s="53">
        <v>0.16250000000000001</v>
      </c>
      <c r="X28" s="53">
        <v>0.38194444444444442</v>
      </c>
      <c r="Y28" s="53">
        <v>0.15347222222222223</v>
      </c>
      <c r="Z28" s="53">
        <v>0.39374999999999999</v>
      </c>
      <c r="AA28" s="53">
        <v>0.16944444444444445</v>
      </c>
      <c r="AB28" s="53">
        <v>0.37638888888888888</v>
      </c>
      <c r="AC28" s="53">
        <v>0.16805555555555557</v>
      </c>
      <c r="AD28" s="56"/>
      <c r="AE28" s="56"/>
      <c r="AF28" s="54"/>
      <c r="AG28" s="54"/>
      <c r="AH28" s="53">
        <v>0.37916666666666665</v>
      </c>
      <c r="AI28" s="53">
        <v>0.15902777777777777</v>
      </c>
      <c r="AJ28" s="53">
        <v>0.37708333333333333</v>
      </c>
      <c r="AK28" s="53">
        <v>0.15</v>
      </c>
      <c r="AL28" s="53">
        <v>0.38750000000000001</v>
      </c>
      <c r="AM28" s="53">
        <v>0.14583333333333334</v>
      </c>
      <c r="AN28" s="53">
        <v>0.38819444444444445</v>
      </c>
      <c r="AO28" s="53">
        <v>0.15486111111111112</v>
      </c>
      <c r="AP28" s="53">
        <v>0.38611111111111113</v>
      </c>
      <c r="AQ28" s="53">
        <v>0.12569444444444444</v>
      </c>
      <c r="AR28" s="56"/>
      <c r="AS28" s="56"/>
      <c r="AT28" s="54"/>
      <c r="AU28" s="54"/>
      <c r="AV28" s="53">
        <v>0.37430555555555556</v>
      </c>
      <c r="AW28" s="53">
        <v>0.16944444444444445</v>
      </c>
      <c r="AX28" s="53">
        <v>0.38958333333333334</v>
      </c>
      <c r="AZ28" s="53">
        <v>0.40069444444444446</v>
      </c>
      <c r="BB28" s="53">
        <v>0.39652777777777776</v>
      </c>
      <c r="BC28" s="53">
        <v>0.14722222222222223</v>
      </c>
      <c r="BD28" s="53">
        <v>0.40347222222222223</v>
      </c>
      <c r="BE28" s="53">
        <v>0.17291666666666666</v>
      </c>
      <c r="BF28" s="56"/>
      <c r="BG28" s="56"/>
      <c r="BH28">
        <f t="shared" si="3"/>
        <v>19</v>
      </c>
      <c r="BI28">
        <f t="shared" si="4"/>
        <v>17</v>
      </c>
      <c r="BJ28">
        <f t="shared" si="5"/>
        <v>1</v>
      </c>
    </row>
    <row r="29" spans="1:62" hidden="1">
      <c r="A29" s="59" t="s">
        <v>26</v>
      </c>
      <c r="B29" s="60" t="s">
        <v>41</v>
      </c>
      <c r="C29" s="60" t="s">
        <v>42</v>
      </c>
      <c r="D29" s="54"/>
      <c r="E29" s="54"/>
      <c r="F29" s="57"/>
      <c r="G29" s="57"/>
      <c r="H29" s="53">
        <v>0.37777777777777777</v>
      </c>
      <c r="I29" s="53">
        <v>0.20902777777777778</v>
      </c>
      <c r="J29" s="53">
        <v>0.40902777777777777</v>
      </c>
      <c r="L29" s="53">
        <v>0.36875000000000002</v>
      </c>
      <c r="N29" s="53">
        <v>0.37152777777777779</v>
      </c>
      <c r="P29" s="56"/>
      <c r="Q29" s="56"/>
      <c r="R29" s="54"/>
      <c r="S29" s="54"/>
      <c r="T29" s="53">
        <v>0.38541666666666669</v>
      </c>
      <c r="U29" s="53">
        <v>0.14930555555555555</v>
      </c>
      <c r="V29" s="53">
        <v>0.36875000000000002</v>
      </c>
      <c r="W29" s="53">
        <v>0.15138888888888888</v>
      </c>
      <c r="X29" s="53">
        <v>0.40277777777777779</v>
      </c>
      <c r="Z29" s="53">
        <v>0.36180555555555555</v>
      </c>
      <c r="AA29" s="53">
        <v>0.13472222222222222</v>
      </c>
      <c r="AB29" s="53">
        <v>0.37013888888888891</v>
      </c>
      <c r="AD29" s="56"/>
      <c r="AE29" s="56"/>
      <c r="AF29" s="54"/>
      <c r="AG29" s="54"/>
      <c r="AH29" s="53">
        <v>0.38541666666666669</v>
      </c>
      <c r="AJ29" s="53">
        <v>0.38958333333333334</v>
      </c>
      <c r="AL29" s="53">
        <v>0.36388888888888887</v>
      </c>
      <c r="AP29" s="53">
        <v>0.38333333333333336</v>
      </c>
      <c r="AR29" s="56"/>
      <c r="AS29" s="56"/>
      <c r="AT29" s="54"/>
      <c r="AU29" s="54"/>
      <c r="AX29" s="53">
        <v>0.39513888888888887</v>
      </c>
      <c r="BD29" s="53">
        <v>0.39166666666666666</v>
      </c>
      <c r="BF29" s="56"/>
      <c r="BG29" s="56"/>
      <c r="BH29">
        <f t="shared" si="3"/>
        <v>15</v>
      </c>
      <c r="BI29">
        <f t="shared" si="4"/>
        <v>4</v>
      </c>
      <c r="BJ29">
        <f t="shared" si="5"/>
        <v>0</v>
      </c>
    </row>
    <row r="30" spans="1:62" hidden="1">
      <c r="A30" s="59" t="s">
        <v>43</v>
      </c>
      <c r="B30" s="60" t="s">
        <v>44</v>
      </c>
      <c r="C30" s="60" t="s">
        <v>45</v>
      </c>
      <c r="D30" s="54"/>
      <c r="E30" s="54"/>
      <c r="F30" s="57"/>
      <c r="G30" s="57"/>
      <c r="H30" s="53">
        <v>0.35902777777777778</v>
      </c>
      <c r="I30" s="53">
        <v>0.18333333333333332</v>
      </c>
      <c r="J30" s="53">
        <v>0.35625000000000001</v>
      </c>
      <c r="K30" s="53">
        <v>0.15486111111111112</v>
      </c>
      <c r="L30" s="53">
        <v>0.35625000000000001</v>
      </c>
      <c r="M30" s="53">
        <v>0.16180555555555556</v>
      </c>
      <c r="N30" s="53">
        <v>0.37291666666666667</v>
      </c>
      <c r="O30" s="53">
        <v>0.13125000000000001</v>
      </c>
      <c r="P30" s="69">
        <v>0.38263888888888886</v>
      </c>
      <c r="Q30" s="56"/>
      <c r="R30" s="54"/>
      <c r="S30" s="54"/>
      <c r="T30" s="53">
        <v>0.36388888888888887</v>
      </c>
      <c r="U30" s="53">
        <v>0.13750000000000001</v>
      </c>
      <c r="V30" s="53">
        <v>0.35625000000000001</v>
      </c>
      <c r="W30" s="53">
        <v>0.15625</v>
      </c>
      <c r="X30" s="53">
        <v>0.35972222222222222</v>
      </c>
      <c r="Y30" s="53">
        <v>0.14374999999999999</v>
      </c>
      <c r="Z30" s="53">
        <v>0.35208333333333336</v>
      </c>
      <c r="AA30" s="53">
        <v>0.15069444444444444</v>
      </c>
      <c r="AB30" s="53">
        <v>0.35138888888888886</v>
      </c>
      <c r="AC30" s="53">
        <v>0.16388888888888889</v>
      </c>
      <c r="AD30" s="56"/>
      <c r="AE30" s="69">
        <v>7.7777777777777779E-2</v>
      </c>
      <c r="AF30" s="54"/>
      <c r="AG30" s="54"/>
      <c r="AH30" s="53">
        <v>0.35069444444444442</v>
      </c>
      <c r="AI30" s="53">
        <v>0.14305555555555555</v>
      </c>
      <c r="AJ30" s="53">
        <v>0.34513888888888888</v>
      </c>
      <c r="AK30" s="53">
        <v>0.12847222222222221</v>
      </c>
      <c r="AL30" s="53">
        <v>0.35902777777777778</v>
      </c>
      <c r="AM30" s="53">
        <v>0.14583333333333334</v>
      </c>
      <c r="AN30" s="53">
        <v>0.35972222222222222</v>
      </c>
      <c r="AO30" s="53">
        <v>0.13263888888888889</v>
      </c>
      <c r="AP30" s="53">
        <v>0.35902777777777778</v>
      </c>
      <c r="AQ30" s="53">
        <v>0.13125000000000001</v>
      </c>
      <c r="AR30" s="69">
        <v>0.40486111111111112</v>
      </c>
      <c r="AS30" s="69">
        <v>4.4444444444444446E-2</v>
      </c>
      <c r="AT30" s="54"/>
      <c r="AU30" s="54"/>
      <c r="AV30" s="53">
        <v>0.35416666666666669</v>
      </c>
      <c r="AW30" s="53">
        <v>0.14305555555555555</v>
      </c>
      <c r="AX30" s="53">
        <v>0.35694444444444445</v>
      </c>
      <c r="AY30" s="53">
        <v>0.14444444444444443</v>
      </c>
      <c r="AZ30" s="53">
        <v>0.38819444444444445</v>
      </c>
      <c r="BA30" s="53">
        <v>0.16319444444444445</v>
      </c>
      <c r="BB30" s="53">
        <v>0.35</v>
      </c>
      <c r="BD30" s="53">
        <v>0.4513888888888889</v>
      </c>
      <c r="BE30" s="53">
        <v>0.13263888888888889</v>
      </c>
      <c r="BF30" s="69">
        <v>0.38194444444444442</v>
      </c>
      <c r="BG30" s="56"/>
      <c r="BH30">
        <f t="shared" si="3"/>
        <v>19</v>
      </c>
      <c r="BI30">
        <f t="shared" si="4"/>
        <v>18</v>
      </c>
      <c r="BJ30">
        <f t="shared" si="5"/>
        <v>4</v>
      </c>
    </row>
    <row r="31" spans="1:62" hidden="1">
      <c r="A31" s="59" t="s">
        <v>43</v>
      </c>
      <c r="B31" s="60" t="s">
        <v>46</v>
      </c>
      <c r="C31" s="60" t="s">
        <v>47</v>
      </c>
      <c r="D31" s="54"/>
      <c r="E31" s="54"/>
      <c r="F31" s="57"/>
      <c r="G31" s="57"/>
      <c r="H31" s="53">
        <v>0.35138888888888886</v>
      </c>
      <c r="I31" s="53">
        <v>0.13819444444444445</v>
      </c>
      <c r="J31" s="53">
        <v>0.34305555555555556</v>
      </c>
      <c r="K31" s="53">
        <v>0.13055555555555556</v>
      </c>
      <c r="L31" s="53">
        <v>0.35902777777777778</v>
      </c>
      <c r="M31" s="53">
        <v>0.1451388888888889</v>
      </c>
      <c r="N31" s="53">
        <v>0.3576388888888889</v>
      </c>
      <c r="P31" s="56"/>
      <c r="Q31" s="56"/>
      <c r="R31" s="54"/>
      <c r="S31" s="54"/>
      <c r="T31" s="53">
        <v>0.35694444444444445</v>
      </c>
      <c r="U31" s="53">
        <v>0.14305555555555555</v>
      </c>
      <c r="V31" s="53">
        <v>0.36458333333333331</v>
      </c>
      <c r="W31" s="53">
        <v>0.15555555555555556</v>
      </c>
      <c r="X31" s="53">
        <v>0.37777777777777777</v>
      </c>
      <c r="Y31" s="53">
        <v>0.13958333333333334</v>
      </c>
      <c r="Z31" s="53">
        <v>0.35555555555555557</v>
      </c>
      <c r="AA31" s="53">
        <v>0.15138888888888888</v>
      </c>
      <c r="AB31" s="53">
        <v>0.34722222222222221</v>
      </c>
      <c r="AC31" s="53">
        <v>0.12222222222222222</v>
      </c>
      <c r="AD31" s="56"/>
      <c r="AE31" s="56"/>
      <c r="AF31" s="54"/>
      <c r="AG31" s="54"/>
      <c r="AH31" s="53">
        <v>0.35486111111111113</v>
      </c>
      <c r="AI31" s="53">
        <v>0.15138888888888888</v>
      </c>
      <c r="AJ31" s="53">
        <v>0.34583333333333333</v>
      </c>
      <c r="AK31" s="53">
        <v>0.1388888888888889</v>
      </c>
      <c r="AL31" s="53">
        <v>0.35833333333333334</v>
      </c>
      <c r="AM31" s="53">
        <v>0.16388888888888889</v>
      </c>
      <c r="AN31" s="53">
        <v>0.35555555555555557</v>
      </c>
      <c r="AP31" s="53">
        <v>0.35208333333333336</v>
      </c>
      <c r="AQ31" s="53">
        <v>0.13055555555555556</v>
      </c>
      <c r="AR31" s="69">
        <v>0.3972222222222222</v>
      </c>
      <c r="AS31" s="56"/>
      <c r="AT31" s="54"/>
      <c r="AU31" s="54"/>
      <c r="AV31" s="53">
        <v>0.34791666666666665</v>
      </c>
      <c r="AW31" s="53">
        <v>0.13819444444444445</v>
      </c>
      <c r="AX31" s="53">
        <v>0.35416666666666669</v>
      </c>
      <c r="AZ31" s="53">
        <v>0.35972222222222222</v>
      </c>
      <c r="BA31" s="53">
        <v>0.1388888888888889</v>
      </c>
      <c r="BB31" s="53">
        <v>0.36319444444444443</v>
      </c>
      <c r="BC31" s="53">
        <v>0.15972222222222221</v>
      </c>
      <c r="BD31" s="53">
        <v>0.37361111111111112</v>
      </c>
      <c r="BE31" s="53">
        <v>0.12847222222222221</v>
      </c>
      <c r="BF31" s="56"/>
      <c r="BG31" s="56"/>
      <c r="BH31">
        <f t="shared" si="3"/>
        <v>19</v>
      </c>
      <c r="BI31">
        <f t="shared" si="4"/>
        <v>16</v>
      </c>
      <c r="BJ31">
        <f t="shared" si="5"/>
        <v>1</v>
      </c>
    </row>
    <row r="32" spans="1:62" hidden="1">
      <c r="A32" s="59" t="s">
        <v>43</v>
      </c>
      <c r="B32" s="60" t="s">
        <v>48</v>
      </c>
      <c r="C32" s="60" t="s">
        <v>49</v>
      </c>
      <c r="D32" s="54"/>
      <c r="E32" s="54"/>
      <c r="F32" s="57"/>
      <c r="G32" s="57"/>
      <c r="H32" s="53">
        <v>0.37708333333333333</v>
      </c>
      <c r="I32" s="53">
        <v>0.17430555555555555</v>
      </c>
      <c r="J32" s="53">
        <v>0.35902777777777778</v>
      </c>
      <c r="K32" s="53">
        <v>0.14583333333333334</v>
      </c>
      <c r="L32" s="53">
        <v>0.36388888888888887</v>
      </c>
      <c r="N32" s="53">
        <v>0.3611111111111111</v>
      </c>
      <c r="O32" s="53">
        <v>0.2076388888888889</v>
      </c>
      <c r="P32" s="56"/>
      <c r="Q32" s="56"/>
      <c r="R32" s="54"/>
      <c r="S32" s="54"/>
      <c r="T32" s="53">
        <v>0.35972222222222222</v>
      </c>
      <c r="U32" s="53">
        <v>0.15902777777777777</v>
      </c>
      <c r="V32" s="53">
        <v>0.37916666666666665</v>
      </c>
      <c r="W32" s="53">
        <v>0.15902777777777777</v>
      </c>
      <c r="X32" s="53">
        <v>0.375</v>
      </c>
      <c r="Y32" s="53">
        <v>0.16041666666666668</v>
      </c>
      <c r="Z32" s="53">
        <v>0.37152777777777779</v>
      </c>
      <c r="AA32" s="53">
        <v>0.15347222222222223</v>
      </c>
      <c r="AC32" s="53">
        <v>0.10833333333333334</v>
      </c>
      <c r="AD32" s="69">
        <v>0.37708333333333333</v>
      </c>
      <c r="AE32" s="56"/>
      <c r="AF32" s="54"/>
      <c r="AG32" s="54"/>
      <c r="AH32" s="53">
        <v>0.35</v>
      </c>
      <c r="AI32" s="53">
        <v>0.14791666666666667</v>
      </c>
      <c r="AJ32" s="53">
        <v>0.37847222222222221</v>
      </c>
      <c r="AK32" s="53">
        <v>0.16041666666666668</v>
      </c>
      <c r="AM32" s="53">
        <v>0.23749999999999999</v>
      </c>
      <c r="AN32" s="53">
        <v>0.37569444444444444</v>
      </c>
      <c r="AO32" s="53">
        <v>0.1673611111111111</v>
      </c>
      <c r="AQ32" s="53">
        <v>0.15069444444444444</v>
      </c>
      <c r="AR32" s="56"/>
      <c r="AS32" s="56"/>
      <c r="AT32" s="54"/>
      <c r="AU32" s="54"/>
      <c r="AV32" s="53">
        <v>0.37361111111111112</v>
      </c>
      <c r="AW32" s="53">
        <v>0.15416666666666667</v>
      </c>
      <c r="AX32" s="53">
        <v>0.35138888888888886</v>
      </c>
      <c r="AY32" s="53">
        <v>0.13958333333333334</v>
      </c>
      <c r="AZ32" s="53">
        <v>0.37013888888888891</v>
      </c>
      <c r="BB32" s="53">
        <v>0.36736111111111114</v>
      </c>
      <c r="BD32" s="53"/>
      <c r="BE32" s="53">
        <v>0.16319444444444445</v>
      </c>
      <c r="BF32" s="69">
        <v>0.39374999999999999</v>
      </c>
      <c r="BG32" s="56"/>
      <c r="BH32">
        <f t="shared" si="3"/>
        <v>15</v>
      </c>
      <c r="BI32">
        <f t="shared" si="4"/>
        <v>16</v>
      </c>
      <c r="BJ32">
        <f t="shared" si="5"/>
        <v>2</v>
      </c>
    </row>
    <row r="33" spans="1:62" hidden="1">
      <c r="A33" s="59" t="s">
        <v>43</v>
      </c>
      <c r="B33" s="60" t="s">
        <v>48</v>
      </c>
      <c r="C33" s="60" t="s">
        <v>50</v>
      </c>
      <c r="D33" s="54"/>
      <c r="E33" s="54"/>
      <c r="F33" s="57"/>
      <c r="G33" s="57"/>
      <c r="P33" s="56"/>
      <c r="Q33" s="56"/>
      <c r="R33" s="54"/>
      <c r="S33" s="54"/>
      <c r="AB33" s="53">
        <v>0.34652777777777777</v>
      </c>
      <c r="AD33" s="56"/>
      <c r="AE33" s="56"/>
      <c r="AF33" s="54"/>
      <c r="AG33" s="54"/>
      <c r="AL33" s="53">
        <v>0.37083333333333335</v>
      </c>
      <c r="AP33" s="53">
        <v>0.41319444444444442</v>
      </c>
      <c r="AR33" s="56"/>
      <c r="AS33" s="56"/>
      <c r="AT33" s="54"/>
      <c r="AU33" s="54"/>
      <c r="BD33" s="53">
        <v>0.40277777777777779</v>
      </c>
      <c r="BF33" s="56"/>
      <c r="BG33" s="56"/>
      <c r="BH33">
        <f t="shared" si="3"/>
        <v>4</v>
      </c>
      <c r="BI33">
        <f t="shared" si="4"/>
        <v>0</v>
      </c>
      <c r="BJ33">
        <f t="shared" si="5"/>
        <v>0</v>
      </c>
    </row>
    <row r="34" spans="1:62" hidden="1">
      <c r="A34" s="59" t="s">
        <v>43</v>
      </c>
      <c r="B34" s="60" t="s">
        <v>51</v>
      </c>
      <c r="C34" s="60" t="s">
        <v>52</v>
      </c>
      <c r="D34" s="54"/>
      <c r="E34" s="54"/>
      <c r="F34" s="57"/>
      <c r="G34" s="57"/>
      <c r="H34" s="53">
        <v>0.35208333333333336</v>
      </c>
      <c r="I34" s="53">
        <v>0.16527777777777777</v>
      </c>
      <c r="J34" s="53">
        <v>0.34652777777777777</v>
      </c>
      <c r="K34" s="53">
        <v>0.13055555555555556</v>
      </c>
      <c r="L34" s="53">
        <v>0.35069444444444442</v>
      </c>
      <c r="M34" s="53">
        <v>0.15486111111111112</v>
      </c>
      <c r="N34" s="53">
        <v>0.37222222222222223</v>
      </c>
      <c r="O34" s="53">
        <v>0.13819444444444445</v>
      </c>
      <c r="P34" s="56"/>
      <c r="Q34" s="56"/>
      <c r="R34" s="54"/>
      <c r="S34" s="54"/>
      <c r="T34" s="53">
        <v>0.35972222222222222</v>
      </c>
      <c r="U34" s="53">
        <v>0.14444444444444443</v>
      </c>
      <c r="V34" s="53">
        <v>0.35347222222222224</v>
      </c>
      <c r="W34" s="53">
        <v>0.18402777777777779</v>
      </c>
      <c r="X34" s="53">
        <v>0.35069444444444442</v>
      </c>
      <c r="Z34" s="53">
        <v>0.34722222222222221</v>
      </c>
      <c r="AA34" s="53">
        <v>0.14930555555555555</v>
      </c>
      <c r="AB34" s="53">
        <v>0.34375</v>
      </c>
      <c r="AD34" s="69">
        <v>0.35833333333333334</v>
      </c>
      <c r="AE34" s="56"/>
      <c r="AF34" s="54"/>
      <c r="AG34" s="54"/>
      <c r="AH34" s="53">
        <v>0.34444444444444444</v>
      </c>
      <c r="AJ34" s="53">
        <v>0.34444444444444444</v>
      </c>
      <c r="AK34" s="53">
        <v>0.14444444444444443</v>
      </c>
      <c r="AL34" s="53">
        <v>0.35138888888888886</v>
      </c>
      <c r="AM34" s="53">
        <v>0.17777777777777778</v>
      </c>
      <c r="AN34" s="53">
        <v>0.34166666666666667</v>
      </c>
      <c r="AO34" s="53">
        <v>0.13819444444444445</v>
      </c>
      <c r="AR34" s="56"/>
      <c r="AS34" s="56"/>
      <c r="AT34" s="54"/>
      <c r="AU34" s="54"/>
      <c r="AX34" s="53">
        <v>0.35625000000000001</v>
      </c>
      <c r="AY34" s="53">
        <v>0.16666666666666666</v>
      </c>
      <c r="AZ34" s="53">
        <v>0.35486111111111113</v>
      </c>
      <c r="BB34" s="53">
        <v>0.35208333333333336</v>
      </c>
      <c r="BC34" s="53">
        <v>0.16319444444444445</v>
      </c>
      <c r="BE34" s="53">
        <v>0.15069444444444444</v>
      </c>
      <c r="BF34" s="56"/>
      <c r="BG34" s="56"/>
      <c r="BH34">
        <f t="shared" si="3"/>
        <v>16</v>
      </c>
      <c r="BI34">
        <f t="shared" si="4"/>
        <v>13</v>
      </c>
      <c r="BJ34">
        <f t="shared" si="5"/>
        <v>1</v>
      </c>
    </row>
    <row r="35" spans="1:62" hidden="1">
      <c r="A35" s="59" t="s">
        <v>43</v>
      </c>
      <c r="B35" s="60" t="s">
        <v>51</v>
      </c>
      <c r="C35" s="60" t="s">
        <v>53</v>
      </c>
      <c r="D35" s="54"/>
      <c r="E35" s="54"/>
      <c r="F35" s="57"/>
      <c r="G35" s="57"/>
      <c r="P35" s="56"/>
      <c r="Q35" s="56"/>
      <c r="R35" s="54"/>
      <c r="S35" s="54"/>
      <c r="Y35" s="53">
        <v>0.13541666666666666</v>
      </c>
      <c r="AD35" s="56"/>
      <c r="AE35" s="56"/>
      <c r="AF35" s="54"/>
      <c r="AG35" s="54"/>
      <c r="AP35" s="53">
        <v>0.35833333333333334</v>
      </c>
      <c r="AR35" s="56"/>
      <c r="AS35" s="56"/>
      <c r="AT35" s="54"/>
      <c r="AU35" s="54"/>
      <c r="BD35" s="53">
        <v>0.36041666666666666</v>
      </c>
      <c r="BF35" s="56"/>
      <c r="BG35" s="56"/>
      <c r="BH35">
        <f t="shared" si="3"/>
        <v>2</v>
      </c>
      <c r="BI35">
        <f t="shared" si="4"/>
        <v>1</v>
      </c>
      <c r="BJ35">
        <f t="shared" si="5"/>
        <v>0</v>
      </c>
    </row>
    <row r="36" spans="1:62" hidden="1">
      <c r="A36" s="59" t="s">
        <v>43</v>
      </c>
      <c r="B36" s="60" t="s">
        <v>54</v>
      </c>
      <c r="C36" s="60" t="s">
        <v>55</v>
      </c>
      <c r="D36" s="54"/>
      <c r="E36" s="54"/>
      <c r="F36" s="57"/>
      <c r="G36" s="57"/>
      <c r="H36" s="53">
        <v>0.33750000000000002</v>
      </c>
      <c r="I36" s="53">
        <v>0.16805555555555557</v>
      </c>
      <c r="L36" s="53">
        <v>0.42291666666666666</v>
      </c>
      <c r="N36" s="53">
        <v>0.46944444444444444</v>
      </c>
      <c r="P36" s="56"/>
      <c r="Q36" s="56"/>
      <c r="R36" s="54"/>
      <c r="S36" s="54"/>
      <c r="T36" s="53">
        <v>0.43055555555555558</v>
      </c>
      <c r="U36" s="53">
        <v>0.19375000000000001</v>
      </c>
      <c r="V36" s="53">
        <v>0.35972222222222222</v>
      </c>
      <c r="W36" s="53">
        <v>0.12986111111111112</v>
      </c>
      <c r="X36" s="53">
        <v>0.35694444444444445</v>
      </c>
      <c r="Y36" s="53">
        <v>0.13750000000000001</v>
      </c>
      <c r="Z36" s="53">
        <v>0.42569444444444443</v>
      </c>
      <c r="AA36" s="53">
        <v>0.14097222222222222</v>
      </c>
      <c r="AB36" s="53">
        <v>0.35694444444444445</v>
      </c>
      <c r="AC36" s="53">
        <v>0.15</v>
      </c>
      <c r="AD36" s="56"/>
      <c r="AE36" s="56"/>
      <c r="AF36" s="54"/>
      <c r="AG36" s="54"/>
      <c r="AH36" s="53">
        <v>0.35208333333333336</v>
      </c>
      <c r="AI36" s="53">
        <v>0.1451388888888889</v>
      </c>
      <c r="AJ36" s="53">
        <v>0.33680555555555558</v>
      </c>
      <c r="AK36" s="53">
        <v>0.15416666666666667</v>
      </c>
      <c r="AL36" s="53">
        <v>0.33194444444444443</v>
      </c>
      <c r="AM36" s="53">
        <v>0.14444444444444443</v>
      </c>
      <c r="AN36" s="53">
        <v>0.34652777777777777</v>
      </c>
      <c r="AO36" s="53">
        <v>0.21736111111111112</v>
      </c>
      <c r="AP36" s="53">
        <v>0.3527777777777778</v>
      </c>
      <c r="AQ36" s="53">
        <v>0.11388888888888889</v>
      </c>
      <c r="AR36" s="69">
        <v>0.40416666666666667</v>
      </c>
      <c r="AS36" s="56"/>
      <c r="AT36" s="54"/>
      <c r="AU36" s="54"/>
      <c r="AV36" s="53">
        <v>0.33541666666666664</v>
      </c>
      <c r="AW36" s="53">
        <v>0.14374999999999999</v>
      </c>
      <c r="AX36" s="53">
        <v>0.34166666666666667</v>
      </c>
      <c r="AY36" s="53">
        <v>0.14374999999999999</v>
      </c>
      <c r="AZ36" s="53">
        <v>0.32847222222222222</v>
      </c>
      <c r="BA36" s="53">
        <v>0.20902777777777778</v>
      </c>
      <c r="BB36" s="53">
        <v>0.34930555555555554</v>
      </c>
      <c r="BC36" s="53">
        <v>0.12777777777777777</v>
      </c>
      <c r="BD36" s="53">
        <v>0.34722222222222221</v>
      </c>
      <c r="BF36" s="56"/>
      <c r="BG36" s="56"/>
      <c r="BH36">
        <f t="shared" si="3"/>
        <v>18</v>
      </c>
      <c r="BI36">
        <f t="shared" si="4"/>
        <v>15</v>
      </c>
      <c r="BJ36">
        <f t="shared" si="5"/>
        <v>1</v>
      </c>
    </row>
    <row r="37" spans="1:62" hidden="1">
      <c r="A37" s="59" t="s">
        <v>56</v>
      </c>
      <c r="B37" s="60" t="s">
        <v>57</v>
      </c>
      <c r="C37" s="60" t="s">
        <v>58</v>
      </c>
      <c r="D37" s="54"/>
      <c r="E37" s="54"/>
      <c r="F37" s="57"/>
      <c r="G37" s="57"/>
      <c r="P37" s="56"/>
      <c r="Q37" s="56"/>
      <c r="R37" s="54"/>
      <c r="S37" s="54"/>
      <c r="AD37" s="56"/>
      <c r="AE37" s="56"/>
      <c r="AF37" s="54"/>
      <c r="AG37" s="54"/>
      <c r="AR37" s="56"/>
      <c r="AS37" s="56"/>
      <c r="AT37" s="54"/>
      <c r="AU37" s="54"/>
      <c r="BF37" s="56"/>
      <c r="BG37" s="56"/>
      <c r="BH37">
        <f t="shared" si="3"/>
        <v>0</v>
      </c>
      <c r="BI37">
        <f t="shared" si="4"/>
        <v>0</v>
      </c>
      <c r="BJ37">
        <f t="shared" si="5"/>
        <v>0</v>
      </c>
    </row>
    <row r="38" spans="1:62" hidden="1">
      <c r="A38" s="59" t="s">
        <v>56</v>
      </c>
      <c r="B38" s="60" t="s">
        <v>57</v>
      </c>
      <c r="C38" s="60" t="s">
        <v>59</v>
      </c>
      <c r="D38" s="54"/>
      <c r="E38" s="54"/>
      <c r="F38" s="57"/>
      <c r="G38" s="57"/>
      <c r="H38" s="53">
        <v>0.37708333333333333</v>
      </c>
      <c r="I38" s="53">
        <v>0.14930555555555555</v>
      </c>
      <c r="J38" s="53">
        <v>0.38611111111111113</v>
      </c>
      <c r="K38" s="53">
        <v>0.15347222222222223</v>
      </c>
      <c r="L38" s="53">
        <v>0.39652777777777776</v>
      </c>
      <c r="M38" s="53">
        <v>0.24513888888888888</v>
      </c>
      <c r="N38" s="53">
        <v>0.38333333333333336</v>
      </c>
      <c r="O38" s="53">
        <v>0.15416666666666667</v>
      </c>
      <c r="P38" s="69">
        <v>0.40416666666666667</v>
      </c>
      <c r="Q38" s="69">
        <v>6.805555555555555E-2</v>
      </c>
      <c r="R38" s="54"/>
      <c r="S38" s="54"/>
      <c r="T38" s="53">
        <v>0.37847222222222221</v>
      </c>
      <c r="U38" s="53">
        <v>0.15694444444444444</v>
      </c>
      <c r="V38" s="53">
        <v>0.37777777777777777</v>
      </c>
      <c r="W38" s="53">
        <v>0.17569444444444443</v>
      </c>
      <c r="X38" s="53">
        <v>0.41249999999999998</v>
      </c>
      <c r="Y38" s="53">
        <v>0.16041666666666668</v>
      </c>
      <c r="Z38" s="53">
        <v>0.39097222222222222</v>
      </c>
      <c r="AA38" s="53">
        <v>0.16527777777777777</v>
      </c>
      <c r="AB38" s="53">
        <v>0.38263888888888886</v>
      </c>
      <c r="AC38" s="53">
        <v>0.15833333333333333</v>
      </c>
      <c r="AD38" s="69">
        <v>0.36458333333333331</v>
      </c>
      <c r="AE38" s="56"/>
      <c r="AF38" s="54"/>
      <c r="AG38" s="54"/>
      <c r="AH38" s="53">
        <v>0.37222222222222223</v>
      </c>
      <c r="AI38" s="53">
        <v>0.14166666666666666</v>
      </c>
      <c r="AJ38" s="53">
        <v>0.37638888888888888</v>
      </c>
      <c r="AK38" s="53">
        <v>0.14166666666666666</v>
      </c>
      <c r="AM38" s="53">
        <v>0.14930555555555555</v>
      </c>
      <c r="AN38" s="53">
        <v>0.40277777777777779</v>
      </c>
      <c r="AO38" s="53">
        <v>0.18402777777777779</v>
      </c>
      <c r="AP38" s="53">
        <v>0.38472222222222224</v>
      </c>
      <c r="AQ38" s="53">
        <v>0.16180555555555556</v>
      </c>
      <c r="AR38" s="56"/>
      <c r="AS38" s="56"/>
      <c r="AT38" s="54"/>
      <c r="AU38" s="54"/>
      <c r="AZ38" s="53">
        <v>0.37916666666666665</v>
      </c>
      <c r="BB38" s="53">
        <v>0.39444444444444443</v>
      </c>
      <c r="BC38" s="53">
        <v>0.15763888888888888</v>
      </c>
      <c r="BD38" s="53">
        <v>0.41388888888888886</v>
      </c>
      <c r="BE38" s="53">
        <v>0.17152777777777778</v>
      </c>
      <c r="BF38" s="56"/>
      <c r="BG38" s="56"/>
      <c r="BH38">
        <f t="shared" si="3"/>
        <v>16</v>
      </c>
      <c r="BI38">
        <f t="shared" si="4"/>
        <v>16</v>
      </c>
      <c r="BJ38">
        <f t="shared" si="5"/>
        <v>2</v>
      </c>
    </row>
    <row r="39" spans="1:62" hidden="1">
      <c r="A39" s="59" t="s">
        <v>56</v>
      </c>
      <c r="B39" s="60" t="s">
        <v>60</v>
      </c>
      <c r="C39" s="60" t="s">
        <v>61</v>
      </c>
      <c r="D39" s="54"/>
      <c r="E39" s="54"/>
      <c r="F39" s="57"/>
      <c r="G39" s="57"/>
      <c r="J39" s="53">
        <v>0.35833333333333334</v>
      </c>
      <c r="K39" s="53">
        <v>0.15972222222222221</v>
      </c>
      <c r="L39" s="53">
        <v>0.35555555555555557</v>
      </c>
      <c r="M39" s="53">
        <v>0.15208333333333332</v>
      </c>
      <c r="P39" s="56"/>
      <c r="Q39" s="56"/>
      <c r="R39" s="54"/>
      <c r="S39" s="54"/>
      <c r="V39" s="53">
        <v>0.35902777777777778</v>
      </c>
      <c r="W39" s="53">
        <v>0.14583333333333334</v>
      </c>
      <c r="Z39" s="53">
        <v>0.3576388888888889</v>
      </c>
      <c r="AA39" s="53">
        <v>0.1701388888888889</v>
      </c>
      <c r="AD39" s="56"/>
      <c r="AE39" s="56"/>
      <c r="AF39" s="54"/>
      <c r="AG39" s="54"/>
      <c r="AJ39" s="53">
        <v>0.3527777777777778</v>
      </c>
      <c r="AK39" s="53">
        <v>0.15277777777777779</v>
      </c>
      <c r="AN39" s="53">
        <v>0.35138888888888886</v>
      </c>
      <c r="AO39" s="53">
        <v>0.17569444444444443</v>
      </c>
      <c r="AR39" s="56"/>
      <c r="AS39" s="56"/>
      <c r="AT39" s="54"/>
      <c r="AU39" s="54"/>
      <c r="AV39" s="53">
        <v>0.36180555555555555</v>
      </c>
      <c r="AW39" s="53">
        <v>0.1763888888888889</v>
      </c>
      <c r="BB39" s="53">
        <v>0.3659722222222222</v>
      </c>
      <c r="BF39" s="56"/>
      <c r="BG39" s="56"/>
      <c r="BH39">
        <f t="shared" si="3"/>
        <v>8</v>
      </c>
      <c r="BI39">
        <f t="shared" si="4"/>
        <v>7</v>
      </c>
      <c r="BJ39">
        <f t="shared" si="5"/>
        <v>0</v>
      </c>
    </row>
    <row r="40" spans="1:62" hidden="1">
      <c r="A40" s="59" t="s">
        <v>56</v>
      </c>
      <c r="B40" s="60" t="s">
        <v>60</v>
      </c>
      <c r="C40" s="60" t="s">
        <v>62</v>
      </c>
      <c r="D40" s="54"/>
      <c r="E40" s="54"/>
      <c r="F40" s="57"/>
      <c r="G40" s="57"/>
      <c r="H40" s="53">
        <v>0.35555555555555557</v>
      </c>
      <c r="I40" s="53">
        <v>0.16041666666666668</v>
      </c>
      <c r="N40" s="53">
        <v>0.36319444444444443</v>
      </c>
      <c r="O40" s="53">
        <v>0.14027777777777778</v>
      </c>
      <c r="P40" s="69">
        <v>0.38055555555555554</v>
      </c>
      <c r="Q40" s="56"/>
      <c r="R40" s="54"/>
      <c r="S40" s="54"/>
      <c r="T40" s="53">
        <v>0.37777777777777777</v>
      </c>
      <c r="U40" s="53">
        <v>0.15763888888888888</v>
      </c>
      <c r="X40" s="53">
        <v>0.35694444444444445</v>
      </c>
      <c r="Y40" s="53">
        <v>0.1451388888888889</v>
      </c>
      <c r="AB40" s="53">
        <v>0.36249999999999999</v>
      </c>
      <c r="AD40" s="56"/>
      <c r="AE40" s="56"/>
      <c r="AF40" s="54"/>
      <c r="AG40" s="54"/>
      <c r="AH40" s="53">
        <v>0.3576388888888889</v>
      </c>
      <c r="AI40" s="53">
        <v>0.17708333333333334</v>
      </c>
      <c r="AL40" s="53">
        <v>0.36666666666666664</v>
      </c>
      <c r="AM40" s="53">
        <v>0.16388888888888889</v>
      </c>
      <c r="AP40" s="53">
        <v>0.36527777777777776</v>
      </c>
      <c r="AQ40" s="53">
        <v>0.16597222222222222</v>
      </c>
      <c r="AR40" s="69">
        <v>0.37847222222222221</v>
      </c>
      <c r="AS40" s="56"/>
      <c r="AT40" s="54"/>
      <c r="AU40" s="54"/>
      <c r="AX40" s="53">
        <v>0.36527777777777776</v>
      </c>
      <c r="AZ40" s="53">
        <v>0.35972222222222222</v>
      </c>
      <c r="BD40" s="53">
        <v>0.42569444444444443</v>
      </c>
      <c r="BE40" s="53">
        <v>0.15833333333333333</v>
      </c>
      <c r="BF40" s="56"/>
      <c r="BG40" s="56"/>
      <c r="BH40">
        <f t="shared" si="3"/>
        <v>11</v>
      </c>
      <c r="BI40">
        <f t="shared" si="4"/>
        <v>8</v>
      </c>
      <c r="BJ40">
        <f t="shared" si="5"/>
        <v>2</v>
      </c>
    </row>
    <row r="41" spans="1:62" hidden="1">
      <c r="A41" s="59" t="s">
        <v>56</v>
      </c>
      <c r="B41" s="60" t="s">
        <v>63</v>
      </c>
      <c r="C41" s="60" t="s">
        <v>64</v>
      </c>
      <c r="D41" s="54"/>
      <c r="E41" s="54"/>
      <c r="F41" s="57"/>
      <c r="G41" s="57"/>
      <c r="H41" s="53">
        <v>0.36666666666666664</v>
      </c>
      <c r="K41" s="53">
        <v>0.18819444444444444</v>
      </c>
      <c r="M41" s="53">
        <v>0.20555555555555555</v>
      </c>
      <c r="O41" s="53">
        <v>0.26250000000000001</v>
      </c>
      <c r="P41" s="56"/>
      <c r="Q41" s="56"/>
      <c r="R41" s="54"/>
      <c r="S41" s="54"/>
      <c r="U41" s="53">
        <v>0.27569444444444446</v>
      </c>
      <c r="V41" s="53">
        <v>0.37083333333333335</v>
      </c>
      <c r="W41" s="53">
        <v>0.21111111111111111</v>
      </c>
      <c r="X41" s="53">
        <v>0.3576388888888889</v>
      </c>
      <c r="Y41" s="53">
        <v>0.2638888888888889</v>
      </c>
      <c r="AA41" s="53">
        <v>0.23819444444444443</v>
      </c>
      <c r="AD41" s="56"/>
      <c r="AE41" s="56"/>
      <c r="AF41" s="54"/>
      <c r="AG41" s="54"/>
      <c r="AH41" s="53">
        <v>0.44305555555555554</v>
      </c>
      <c r="AK41" s="53">
        <v>0.24930555555555556</v>
      </c>
      <c r="AL41" s="53">
        <v>0.42777777777777776</v>
      </c>
      <c r="AO41" s="53">
        <v>0.16250000000000001</v>
      </c>
      <c r="AP41" s="53">
        <v>0.38333333333333336</v>
      </c>
      <c r="AR41" s="56"/>
      <c r="AS41" s="56"/>
      <c r="AT41" s="54"/>
      <c r="AU41" s="54"/>
      <c r="AZ41" s="53">
        <v>0.37569444444444444</v>
      </c>
      <c r="BF41" s="56"/>
      <c r="BG41" s="56"/>
      <c r="BH41">
        <f t="shared" si="3"/>
        <v>7</v>
      </c>
      <c r="BI41">
        <f t="shared" si="4"/>
        <v>9</v>
      </c>
      <c r="BJ41">
        <f t="shared" si="5"/>
        <v>0</v>
      </c>
    </row>
    <row r="42" spans="1:62" hidden="1">
      <c r="A42" s="59" t="s">
        <v>56</v>
      </c>
      <c r="B42" s="60" t="s">
        <v>63</v>
      </c>
      <c r="C42" s="60" t="s">
        <v>65</v>
      </c>
      <c r="D42" s="54"/>
      <c r="E42" s="54"/>
      <c r="F42" s="57"/>
      <c r="G42" s="57"/>
      <c r="J42" s="53">
        <v>0.40138888888888891</v>
      </c>
      <c r="L42" s="53">
        <v>0.44236111111111109</v>
      </c>
      <c r="N42" s="53">
        <v>0.38472222222222224</v>
      </c>
      <c r="P42" s="56"/>
      <c r="Q42" s="56"/>
      <c r="R42" s="54"/>
      <c r="S42" s="54"/>
      <c r="T42" s="53">
        <v>0.42708333333333331</v>
      </c>
      <c r="U42" s="53"/>
      <c r="V42" s="53">
        <v>0.3923611111111111</v>
      </c>
      <c r="Z42" s="53">
        <v>0.38819444444444445</v>
      </c>
      <c r="AD42" s="56"/>
      <c r="AE42" s="56"/>
      <c r="AF42" s="54"/>
      <c r="AG42" s="54"/>
      <c r="AH42" s="53">
        <v>0.42708333333333331</v>
      </c>
      <c r="AJ42" s="53">
        <v>0.39930555555555558</v>
      </c>
      <c r="AL42" s="53">
        <v>0.42708333333333331</v>
      </c>
      <c r="AR42" s="56"/>
      <c r="AS42" s="56"/>
      <c r="AT42" s="54"/>
      <c r="AU42" s="54"/>
      <c r="BF42" s="56"/>
      <c r="BG42" s="56"/>
      <c r="BH42">
        <f t="shared" si="3"/>
        <v>9</v>
      </c>
      <c r="BI42">
        <f t="shared" si="4"/>
        <v>0</v>
      </c>
      <c r="BJ42">
        <f t="shared" si="5"/>
        <v>0</v>
      </c>
    </row>
    <row r="43" spans="1:62" hidden="1">
      <c r="A43" s="59" t="s">
        <v>56</v>
      </c>
      <c r="B43" s="60" t="s">
        <v>66</v>
      </c>
      <c r="C43" s="60" t="s">
        <v>67</v>
      </c>
      <c r="D43" s="54"/>
      <c r="E43" s="54"/>
      <c r="F43" s="57"/>
      <c r="G43" s="57"/>
      <c r="H43" s="53">
        <v>0.36388888888888887</v>
      </c>
      <c r="I43" s="53">
        <v>0.14097222222222222</v>
      </c>
      <c r="J43" s="53">
        <v>0.35069444444444442</v>
      </c>
      <c r="K43" s="53">
        <v>0.12847222222222221</v>
      </c>
      <c r="L43" s="53">
        <v>0.35902777777777778</v>
      </c>
      <c r="M43" s="53">
        <v>0.1423611111111111</v>
      </c>
      <c r="N43" s="53">
        <v>0.35972222222222222</v>
      </c>
      <c r="O43" s="53">
        <v>0.15416666666666667</v>
      </c>
      <c r="P43" s="56"/>
      <c r="Q43" s="56"/>
      <c r="R43" s="54"/>
      <c r="S43" s="54"/>
      <c r="V43" s="53">
        <v>0.37013888888888891</v>
      </c>
      <c r="W43" s="53">
        <v>0.14166666666666666</v>
      </c>
      <c r="X43" s="53">
        <v>0.37083333333333335</v>
      </c>
      <c r="Y43" s="53">
        <v>0.13541666666666666</v>
      </c>
      <c r="Z43" s="53">
        <v>0.34583333333333333</v>
      </c>
      <c r="AA43" s="53">
        <v>0.14861111111111111</v>
      </c>
      <c r="AB43" s="53">
        <v>0.32777777777777778</v>
      </c>
      <c r="AD43" s="56"/>
      <c r="AE43" s="56"/>
      <c r="AF43" s="54"/>
      <c r="AG43" s="54"/>
      <c r="AH43" s="53">
        <v>0.35625000000000001</v>
      </c>
      <c r="AI43" s="53">
        <v>0.1423611111111111</v>
      </c>
      <c r="AJ43" s="53">
        <v>0.35069444444444442</v>
      </c>
      <c r="AK43" s="53">
        <v>0.13333333333333333</v>
      </c>
      <c r="AL43" s="53">
        <v>0.35486111111111113</v>
      </c>
      <c r="AM43" s="53">
        <v>0.14583333333333334</v>
      </c>
      <c r="AP43" s="53">
        <v>0.35416666666666669</v>
      </c>
      <c r="AQ43" s="53">
        <v>0.12638888888888888</v>
      </c>
      <c r="AR43" s="56"/>
      <c r="AS43" s="56"/>
      <c r="AT43" s="54"/>
      <c r="AU43" s="54"/>
      <c r="AV43" s="53">
        <v>0.34513888888888888</v>
      </c>
      <c r="AW43" s="53">
        <v>0.14027777777777778</v>
      </c>
      <c r="AX43" s="53">
        <v>0.3527777777777778</v>
      </c>
      <c r="AY43" s="53">
        <v>0.12430555555555556</v>
      </c>
      <c r="AZ43" s="53">
        <v>0.38263888888888886</v>
      </c>
      <c r="BB43" s="53">
        <v>0.3972222222222222</v>
      </c>
      <c r="BC43" s="53">
        <v>0.13472222222222222</v>
      </c>
      <c r="BD43" s="53">
        <v>0.35972222222222222</v>
      </c>
      <c r="BF43" s="56"/>
      <c r="BG43" s="56"/>
      <c r="BH43">
        <f t="shared" si="3"/>
        <v>17</v>
      </c>
      <c r="BI43">
        <f t="shared" si="4"/>
        <v>14</v>
      </c>
      <c r="BJ43">
        <f t="shared" si="5"/>
        <v>0</v>
      </c>
    </row>
    <row r="44" spans="1:62" hidden="1">
      <c r="A44" s="59" t="s">
        <v>56</v>
      </c>
      <c r="B44" s="60" t="s">
        <v>68</v>
      </c>
      <c r="C44" s="60" t="s">
        <v>69</v>
      </c>
      <c r="D44" s="54"/>
      <c r="E44" s="54"/>
      <c r="F44" s="57"/>
      <c r="G44" s="57"/>
      <c r="J44" s="53">
        <v>0.37638888888888888</v>
      </c>
      <c r="N44" s="53">
        <v>0.35625000000000001</v>
      </c>
      <c r="P44" s="69">
        <v>0.36319444444444443</v>
      </c>
      <c r="Q44" s="56"/>
      <c r="R44" s="54"/>
      <c r="S44" s="54"/>
      <c r="U44" s="53">
        <v>0.15208333333333332</v>
      </c>
      <c r="X44" s="53">
        <v>0.3611111111111111</v>
      </c>
      <c r="Z44" s="53">
        <v>0.34861111111111109</v>
      </c>
      <c r="AD44" s="56"/>
      <c r="AE44" s="56"/>
      <c r="AF44" s="54"/>
      <c r="AG44" s="54"/>
      <c r="AR44" s="56"/>
      <c r="AS44" s="56"/>
      <c r="AT44" s="54"/>
      <c r="AU44" s="54"/>
      <c r="BF44" s="56"/>
      <c r="BG44" s="56"/>
      <c r="BH44">
        <f t="shared" ref="BH44" si="6">SUM(IF(AND(D44&lt;&gt;"",WEEKDAY(D$1,2)&lt;6),1,0),IF(AND(F44&lt;&gt;"",WEEKDAY(F$1,2)&lt;6),1,0),IF(AND(H44&lt;&gt;"",WEEKDAY(H$1,2)&lt;6),1,0),IF(AND(J44&lt;&gt;"",WEEKDAY(J$1,2)&lt;6),1,0),IF(AND(L44&lt;&gt;"",WEEKDAY(L$1,2)&lt;6),1,0),IF(AND(N44&lt;&gt;"",WEEKDAY(N$1,2)&lt;6),1,0),IF(AND(P44&lt;&gt;"",WEEKDAY(P$1,2)&lt;6),1,0),IF(AND(R44&lt;&gt;"",WEEKDAY(R$1,2)&lt;6),1,0),IF(AND(T44&lt;&gt;"",WEEKDAY(T$1,2)&lt;6),1,0),IF(AND(V44&lt;&gt;"",WEEKDAY(V$1,2)&lt;6),1,0),IF(AND(X44&lt;&gt;"",WEEKDAY(X$1,2)&lt;6),1,0),IF(AND(Z44&lt;&gt;"",WEEKDAY(Z$1,2)&lt;6),1,0),IF(AND(AB44&lt;&gt;"",WEEKDAY(AB$1,2)&lt;6),1,0),IF(AND(AD44&lt;&gt;"",WEEKDAY(AD$1,2)&lt;6),1,0),IF(AND(AF44&lt;&gt;"",WEEKDAY(AF$1,2)&lt;6),1,0),IF(AND(AH44&lt;&gt;"",WEEKDAY(AH$1,2)&lt;6),1,0),IF(AND(AJ44&lt;&gt;"",WEEKDAY(AJ$1,2)&lt;6),1,0),IF(AND(AL44&lt;&gt;"",WEEKDAY(AL$1,2)&lt;6),1,0),IF(AND(AN44&lt;&gt;"",WEEKDAY(AN$1,2)&lt;6),1,0),IF(AND(AP44&lt;&gt;"",WEEKDAY(AP$1,2)&lt;6),1,0),IF(AND(AR44&lt;&gt;"",WEEKDAY(AR$1,2)&lt;6),1,0),IF(AND(AT44&lt;&gt;"",WEEKDAY(AT$1,2)&lt;6),1,0),IF(AND(AV44&lt;&gt;"",WEEKDAY(AV$1,2)&lt;6),1,0),IF(AND(AX44&lt;&gt;"",WEEKDAY(AX$1,2)&lt;6),1,0),IF(AND(AZ44&lt;&gt;"",WEEKDAY(AZ$1,2)&lt;6),1,0),IF(AND(BB44&lt;&gt;"",WEEKDAY(BB$1,2)&lt;6),1,0),IF(AND(BD44&lt;&gt;"",WEEKDAY(BD$1,2)&lt;6),1,0),IF(AND(BF44&lt;&gt;"",WEEKDAY(BF$1,2)&lt;6),1,0))</f>
        <v>4</v>
      </c>
      <c r="BI44">
        <f t="shared" ref="BI44" si="7">SUM(IF(AND(E44&lt;&gt;"",WEEKDAY(D$1,2)&lt;6),1,0),IF(AND(G44&lt;&gt;"",WEEKDAY(F$1,2)&lt;6),1,0),IF(AND(I44&lt;&gt;"",WEEKDAY(H$1,2)&lt;6),1,0),IF(AND(K44&lt;&gt;"",WEEKDAY(J$1,2)&lt;6),1,0),IF(AND(M44&lt;&gt;"",WEEKDAY(L$1,2)&lt;6),1,0),IF(AND(O44&lt;&gt;"",WEEKDAY(N$1,2)&lt;6),1,0),IF(AND(Q44&lt;&gt;"",WEEKDAY(P$1,2)&lt;6),1,0),IF(AND(S44&lt;&gt;"",WEEKDAY(R$1,2)&lt;6),1,0),IF(AND(U44&lt;&gt;"",WEEKDAY(T$1,2)&lt;6),1,0),IF(AND(W44&lt;&gt;"",WEEKDAY(V$1,2)&lt;6),1,0),IF(AND(Y44&lt;&gt;"",WEEKDAY(X$1,2)&lt;6),1,0),IF(AND(AA44&lt;&gt;"",WEEKDAY(Z$1,2)&lt;6),1,0),IF(AND(AC44&lt;&gt;"",WEEKDAY(AB$1,2)&lt;6),1,0),IF(AND(AE44&lt;&gt;"",WEEKDAY(AD$1,2)&lt;6),1,0),IF(AND(AG44&lt;&gt;"",WEEKDAY(AF$1,2)&lt;6),1,0),IF(AND(AI44&lt;&gt;"",WEEKDAY(AH$1,2)&lt;6),1,0),IF(AND(AK44&lt;&gt;"",WEEKDAY(AJ$1,2)&lt;6),1,0),IF(AND(AM44&lt;&gt;"",WEEKDAY(AL$1,2)&lt;6),1,0),IF(AND(AO44&lt;&gt;"",WEEKDAY(AN$1,2)&lt;6),1,0),IF(AND(AQ44&lt;&gt;"",WEEKDAY(AP$1,2)&lt;6),1,0),IF(AND(AS44&lt;&gt;"",WEEKDAY(AR$1,2)&lt;6),1,0),IF(AND(AU44&lt;&gt;"",WEEKDAY(AT$1,2)&lt;6),1,0),IF(AND(AW44&lt;&gt;"",WEEKDAY(AV$1,2)&lt;6),1,0),IF(AND(AY44&lt;&gt;"",WEEKDAY(AX$1,2)&lt;6),1,0),IF(AND(BA44&lt;&gt;"",WEEKDAY(AZ$1,2)&lt;6),1,0),IF(AND(BC44&lt;&gt;"",WEEKDAY(BB$1,2)&lt;6),1,0),IF(AND(BE44&lt;&gt;"",WEEKDAY(BD$1,2)&lt;6),1,0),IF(AND(BG44&lt;&gt;"",WEEKDAY(BF$1,2)&lt;6),1,0))</f>
        <v>1</v>
      </c>
      <c r="BJ44">
        <f t="shared" ref="BJ44" si="8">SUM(IF(AND((D44&lt;&gt;"" )+(E44&lt;&gt;""),WEEKDAY(D$1,2)=6),1,0),IF(AND((F44&lt;&gt;"" )+(G44&lt;&gt;""),WEEKDAY(F$1,2)=6),1,0),IF(AND((H44&lt;&gt;"" )+(I44&lt;&gt;""),WEEKDAY(H$1,2)=6),1,0),IF(AND((J44&lt;&gt;"" )+(K44&lt;&gt;""),WEEKDAY(J$1,2)=6),1,0),IF(AND((L44&lt;&gt;"" )+(M44&lt;&gt;""),WEEKDAY(L$1,2)=6),1,0),IF(AND((N44&lt;&gt;"" )+(O44&lt;&gt;""),WEEKDAY(N$1,2)=6),1,0),IF(AND((P44&lt;&gt;"" )+(Q44&lt;&gt;""),WEEKDAY(P$1,2)=6),1,0),IF(AND((R44&lt;&gt;"" )+(S44&lt;&gt;""),WEEKDAY(R$1,2)=6),1,0),IF(AND((T44&lt;&gt;"" )+(U44&lt;&gt;""),WEEKDAY(T$1,2)=6),1,0),IF(AND((V44&lt;&gt;"" )+(W44&lt;&gt;""),WEEKDAY(V$1,2)=6),1,0),IF(AND((X44&lt;&gt;"" )+(Y44&lt;&gt;""),WEEKDAY(X$1,2)=6),1,0),IF(AND((Z44&lt;&gt;"" )+(AA44&lt;&gt;""),WEEKDAY(Z$1,2)=6),1,0),IF(AND((AB44&lt;&gt;"" )+(AC44&lt;&gt;""),WEEKDAY(AB$1,2)=6),1,0),IF(AND((AD44&lt;&gt;"" )+(AE44&lt;&gt;""),WEEKDAY(AD$1,2)=6),1,0),IF(AND((AF44&lt;&gt;"" )+(AG44&lt;&gt;""),WEEKDAY(AF$1,2)=6),1,0),IF(AND((AH44&lt;&gt;"" )+(AI44&lt;&gt;""),WEEKDAY(AH$1,2)=6),1,0),IF(AND((AJ44&lt;&gt;"" )+(AK44&lt;&gt;""),WEEKDAY(AJ$1,2)=6),1,0),IF(AND((AL44&lt;&gt;"" )+(AM44&lt;&gt;""),WEEKDAY(AL$1,2)=6),1,0),IF(AND((AN44&lt;&gt;"" )+(AO44&lt;&gt;""),WEEKDAY(AN$1,2)=6),1,0),IF(AND((AP44&lt;&gt;"" )+(AQ44&lt;&gt;""),WEEKDAY(AP$1,2)=6),1,0),IF(AND((AR44&lt;&gt;"" )+(AS44&lt;&gt;""),WEEKDAY(AR$1,2)=6),1,0),IF(AND((AT44&lt;&gt;"" )+(AU44&lt;&gt;""),WEEKDAY(AT$1,2)=6),1,0),IF(AND((AV44&lt;&gt;"" )+(AW44&lt;&gt;""),WEEKDAY(AV$1,2)=6),1,0),IF(AND((AX44&lt;&gt;"" )+(AY44&lt;&gt;""),WEEKDAY(AX$1,2)=6),1,0),IF(AND((AZ44&lt;&gt;"" )+(BA44&lt;&gt;""),WEEKDAY(AZ$1,2)=6),1,0),IF(AND((BB44&lt;&gt;"" )+(BC44&lt;&gt;""),WEEKDAY(BB$1,2)=6),1,0),IF(AND((BD44&lt;&gt;"" )+(BE44&lt;&gt;""),WEEKDAY(BD$1,2)=6),1,0),IF(AND((BF44&lt;&gt;"" )+(BG44&lt;&gt;""),WEEKDAY(BF$1,2)=6),1,0))</f>
        <v>1</v>
      </c>
    </row>
    <row r="45" spans="1:62" hidden="1">
      <c r="A45" s="59" t="s">
        <v>56</v>
      </c>
      <c r="B45" s="60" t="s">
        <v>70</v>
      </c>
      <c r="C45" s="60" t="s">
        <v>71</v>
      </c>
      <c r="D45" s="54"/>
      <c r="E45" s="54"/>
      <c r="F45" s="57"/>
      <c r="G45" s="57"/>
      <c r="H45" s="53">
        <v>0.34236111111111112</v>
      </c>
      <c r="I45" s="53">
        <v>0.12986111111111112</v>
      </c>
      <c r="J45" s="53">
        <v>0.35555555555555557</v>
      </c>
      <c r="K45" s="53">
        <v>0.13194444444444445</v>
      </c>
      <c r="L45" s="53">
        <v>0.35555555555555557</v>
      </c>
      <c r="M45" s="53">
        <v>0.18263888888888888</v>
      </c>
      <c r="N45" s="53">
        <v>0.36249999999999999</v>
      </c>
      <c r="O45" s="53">
        <v>0.12152777777777778</v>
      </c>
      <c r="P45" s="69">
        <v>0.34305555555555556</v>
      </c>
      <c r="Q45" s="69">
        <v>7.0833333333333331E-2</v>
      </c>
      <c r="R45" s="54"/>
      <c r="S45" s="54"/>
      <c r="T45" s="53">
        <v>0.3527777777777778</v>
      </c>
      <c r="U45" s="53">
        <v>0.12986111111111112</v>
      </c>
      <c r="V45" s="53">
        <v>0.35555555555555557</v>
      </c>
      <c r="W45" s="53">
        <v>0.12430555555555556</v>
      </c>
      <c r="X45" s="53">
        <v>0.36666666666666664</v>
      </c>
      <c r="Y45" s="53">
        <v>0.14374999999999999</v>
      </c>
      <c r="Z45" s="53">
        <v>0.36041666666666666</v>
      </c>
      <c r="AA45" s="53">
        <v>0.16944444444444445</v>
      </c>
      <c r="AB45" s="53">
        <v>0.35069444444444442</v>
      </c>
      <c r="AC45" s="53">
        <v>0.16458333333333333</v>
      </c>
      <c r="AD45" s="56"/>
      <c r="AE45" s="56"/>
      <c r="AF45" s="54"/>
      <c r="AG45" s="54"/>
      <c r="AH45" s="53">
        <v>0.35347222222222224</v>
      </c>
      <c r="AI45" s="53">
        <v>0.14166666666666666</v>
      </c>
      <c r="AJ45" s="53">
        <v>0.35833333333333334</v>
      </c>
      <c r="AL45" s="53">
        <v>0.36249999999999999</v>
      </c>
      <c r="AM45" s="53">
        <v>0.15902777777777777</v>
      </c>
      <c r="AN45" s="53">
        <v>0.38194444444444442</v>
      </c>
      <c r="AO45" s="53">
        <v>0.14444444444444443</v>
      </c>
      <c r="AP45" s="53">
        <v>0.375</v>
      </c>
      <c r="AQ45" s="53">
        <v>0.13333333333333333</v>
      </c>
      <c r="AR45" s="69">
        <v>0.3576388888888889</v>
      </c>
      <c r="AS45" s="56"/>
      <c r="AT45" s="54"/>
      <c r="AU45" s="54"/>
      <c r="AV45" s="53">
        <v>0.33819444444444446</v>
      </c>
      <c r="BA45" s="53">
        <v>0.14930555555555555</v>
      </c>
      <c r="BB45" s="53">
        <v>0.37638888888888888</v>
      </c>
      <c r="BC45" s="53">
        <v>0.16388888888888889</v>
      </c>
      <c r="BD45" s="53">
        <v>0.37708333333333333</v>
      </c>
      <c r="BE45" s="53">
        <v>0.16597222222222222</v>
      </c>
      <c r="BF45" s="56"/>
      <c r="BG45" s="56"/>
      <c r="BH45">
        <f t="shared" si="3"/>
        <v>17</v>
      </c>
      <c r="BI45">
        <f t="shared" si="4"/>
        <v>16</v>
      </c>
      <c r="BJ45">
        <f t="shared" si="5"/>
        <v>2</v>
      </c>
    </row>
    <row r="46" spans="1:62" hidden="1">
      <c r="A46" s="59" t="s">
        <v>72</v>
      </c>
      <c r="B46" s="60" t="s">
        <v>73</v>
      </c>
      <c r="C46" s="60" t="s">
        <v>74</v>
      </c>
      <c r="D46" s="54"/>
      <c r="E46" s="54"/>
      <c r="F46" s="57"/>
      <c r="G46" s="57"/>
      <c r="H46" s="53">
        <v>0.49583333333333335</v>
      </c>
      <c r="J46" s="53">
        <v>0.41388888888888886</v>
      </c>
      <c r="K46" s="53">
        <v>0.15138888888888888</v>
      </c>
      <c r="L46" s="53">
        <v>0.45555555555555555</v>
      </c>
      <c r="O46" s="53">
        <v>0.15763888888888888</v>
      </c>
      <c r="P46" s="69">
        <v>0.40833333333333333</v>
      </c>
      <c r="Q46" s="56"/>
      <c r="R46" s="54"/>
      <c r="S46" s="54"/>
      <c r="T46" s="53">
        <v>0.45208333333333334</v>
      </c>
      <c r="U46" s="53">
        <v>0.20277777777777778</v>
      </c>
      <c r="V46" s="53">
        <v>0.39166666666666666</v>
      </c>
      <c r="W46" s="53">
        <v>0.14861111111111111</v>
      </c>
      <c r="X46" s="53">
        <v>0.38611111111111113</v>
      </c>
      <c r="Y46" s="53">
        <v>0.15694444444444444</v>
      </c>
      <c r="Z46" s="53">
        <v>0.43888888888888888</v>
      </c>
      <c r="AA46" s="53">
        <v>0.26805555555555555</v>
      </c>
      <c r="AB46" s="53">
        <v>0.4375</v>
      </c>
      <c r="AC46" s="53">
        <v>8.819444444444445E-2</v>
      </c>
      <c r="AD46" s="69">
        <v>0.41458333333333336</v>
      </c>
      <c r="AE46" s="56"/>
      <c r="AF46" s="54"/>
      <c r="AG46" s="54"/>
      <c r="AH46" s="53">
        <v>0.39930555555555558</v>
      </c>
      <c r="AI46" s="53">
        <v>0.25416666666666665</v>
      </c>
      <c r="AJ46" s="53">
        <v>0.43055555555555558</v>
      </c>
      <c r="AK46" s="53">
        <v>0.17916666666666667</v>
      </c>
      <c r="AM46" s="53">
        <v>0.2638888888888889</v>
      </c>
      <c r="AN46" s="53">
        <v>0.45</v>
      </c>
      <c r="AO46" s="53">
        <v>0.18263888888888888</v>
      </c>
      <c r="AP46" s="53">
        <v>0.46111111111111114</v>
      </c>
      <c r="AQ46" s="53">
        <v>0.15902777777777777</v>
      </c>
      <c r="AR46" s="69">
        <v>0.41111111111111109</v>
      </c>
      <c r="AS46" s="56"/>
      <c r="AT46" s="54"/>
      <c r="AU46" s="54"/>
      <c r="AV46" s="53">
        <v>0.41388888888888886</v>
      </c>
      <c r="AW46" s="53">
        <v>0.21041666666666667</v>
      </c>
      <c r="AX46" s="53">
        <v>0.3972222222222222</v>
      </c>
      <c r="AY46" s="53">
        <v>0.17986111111111111</v>
      </c>
      <c r="AZ46" s="53">
        <v>0.4152777777777778</v>
      </c>
      <c r="BA46" s="53">
        <v>0.2048611111111111</v>
      </c>
      <c r="BB46" s="53">
        <v>0.44583333333333336</v>
      </c>
      <c r="BC46" s="53">
        <v>0.17083333333333334</v>
      </c>
      <c r="BE46" s="53">
        <v>0.11388888888888889</v>
      </c>
      <c r="BF46" s="69">
        <v>0.41041666666666665</v>
      </c>
      <c r="BG46" s="69">
        <v>8.1944444444444445E-2</v>
      </c>
      <c r="BH46">
        <f t="shared" si="3"/>
        <v>16</v>
      </c>
      <c r="BI46">
        <f t="shared" si="4"/>
        <v>17</v>
      </c>
      <c r="BJ46">
        <f t="shared" si="5"/>
        <v>4</v>
      </c>
    </row>
    <row r="47" spans="1:62" hidden="1">
      <c r="A47" s="59" t="s">
        <v>72</v>
      </c>
      <c r="B47" s="60" t="s">
        <v>73</v>
      </c>
      <c r="C47" s="60" t="s">
        <v>75</v>
      </c>
      <c r="D47" s="54"/>
      <c r="E47" s="54"/>
      <c r="F47" s="57"/>
      <c r="G47" s="57"/>
      <c r="P47" s="56"/>
      <c r="Q47" s="56"/>
      <c r="R47" s="54"/>
      <c r="S47" s="54"/>
      <c r="AD47" s="56"/>
      <c r="AE47" s="56"/>
      <c r="AF47" s="54"/>
      <c r="AG47" s="54"/>
      <c r="AR47" s="56"/>
      <c r="AS47" s="56"/>
      <c r="AT47" s="54"/>
      <c r="AU47" s="54"/>
      <c r="BF47" s="56"/>
      <c r="BG47" s="56"/>
      <c r="BH47">
        <f t="shared" si="3"/>
        <v>0</v>
      </c>
      <c r="BI47">
        <f t="shared" si="4"/>
        <v>0</v>
      </c>
      <c r="BJ47">
        <f t="shared" si="5"/>
        <v>0</v>
      </c>
    </row>
    <row r="48" spans="1:62" hidden="1">
      <c r="A48" s="59" t="s">
        <v>72</v>
      </c>
      <c r="B48" s="60" t="s">
        <v>76</v>
      </c>
      <c r="C48" s="60" t="s">
        <v>77</v>
      </c>
      <c r="D48" s="54"/>
      <c r="E48" s="54"/>
      <c r="F48" s="57"/>
      <c r="G48" s="57"/>
      <c r="H48" s="53">
        <v>0.34861111111111109</v>
      </c>
      <c r="I48" s="53">
        <v>0.17986111111111111</v>
      </c>
      <c r="J48" s="53">
        <v>0.35555555555555557</v>
      </c>
      <c r="K48" s="53">
        <v>0.17291666666666666</v>
      </c>
      <c r="L48" s="53">
        <v>0.36805555555555558</v>
      </c>
      <c r="M48" s="53">
        <v>0.19375000000000001</v>
      </c>
      <c r="N48" s="53">
        <v>0.36180555555555555</v>
      </c>
      <c r="P48" s="56"/>
      <c r="Q48" s="56"/>
      <c r="R48" s="54"/>
      <c r="S48" s="54"/>
      <c r="T48" s="53">
        <v>0.35833333333333334</v>
      </c>
      <c r="U48" s="53">
        <v>0.15902777777777777</v>
      </c>
      <c r="V48" s="53">
        <v>0.3611111111111111</v>
      </c>
      <c r="W48" s="53">
        <v>0.19375000000000001</v>
      </c>
      <c r="X48" s="53">
        <v>0.35486111111111113</v>
      </c>
      <c r="Y48" s="53">
        <v>0.21249999999999999</v>
      </c>
      <c r="Z48" s="53">
        <v>0.35833333333333334</v>
      </c>
      <c r="AA48" s="53">
        <v>0.17083333333333334</v>
      </c>
      <c r="AB48" s="53">
        <v>0.35416666666666669</v>
      </c>
      <c r="AC48" s="53">
        <v>0.14791666666666667</v>
      </c>
      <c r="AD48" s="69">
        <v>0.35486111111111113</v>
      </c>
      <c r="AE48" s="69">
        <v>0.50138888888888888</v>
      </c>
      <c r="AF48" s="54"/>
      <c r="AG48" s="54"/>
      <c r="AH48" s="53">
        <v>0.35138888888888886</v>
      </c>
      <c r="AI48" s="53">
        <v>0.16666666666666666</v>
      </c>
      <c r="AJ48" s="53">
        <v>0.35138888888888886</v>
      </c>
      <c r="AK48" s="53">
        <v>0.17499999999999999</v>
      </c>
      <c r="AL48" s="53">
        <v>0.35694444444444445</v>
      </c>
      <c r="AM48" s="53">
        <v>0.16250000000000001</v>
      </c>
      <c r="AN48" s="53">
        <v>0.35486111111111113</v>
      </c>
      <c r="AO48" s="53">
        <v>0.16875000000000001</v>
      </c>
      <c r="AP48" s="53">
        <v>0.35902777777777778</v>
      </c>
      <c r="AQ48" s="53">
        <v>0.17569444444444443</v>
      </c>
      <c r="AR48" s="69">
        <v>0.35069444444444442</v>
      </c>
      <c r="AS48" s="69">
        <v>0.49652777777777779</v>
      </c>
      <c r="AT48" s="54"/>
      <c r="AU48" s="54"/>
      <c r="AV48" s="53">
        <v>0.35208333333333336</v>
      </c>
      <c r="AW48" s="53">
        <v>0.16875000000000001</v>
      </c>
      <c r="AX48" s="53">
        <v>0.35625000000000001</v>
      </c>
      <c r="AY48" s="53">
        <v>0.23819444444444443</v>
      </c>
      <c r="AZ48" s="53">
        <v>0.35625000000000001</v>
      </c>
      <c r="BA48" s="53">
        <v>0.1673611111111111</v>
      </c>
      <c r="BB48" s="53">
        <v>0.35555555555555557</v>
      </c>
      <c r="BC48" s="53">
        <v>0.1736111111111111</v>
      </c>
      <c r="BF48" s="56"/>
      <c r="BG48" s="56"/>
      <c r="BH48">
        <f t="shared" si="3"/>
        <v>18</v>
      </c>
      <c r="BI48">
        <f t="shared" si="4"/>
        <v>17</v>
      </c>
      <c r="BJ48">
        <f t="shared" si="5"/>
        <v>2</v>
      </c>
    </row>
    <row r="49" spans="1:62" hidden="1">
      <c r="A49" s="59" t="s">
        <v>72</v>
      </c>
      <c r="B49" s="60" t="s">
        <v>76</v>
      </c>
      <c r="C49" s="60" t="s">
        <v>78</v>
      </c>
      <c r="D49" s="54"/>
      <c r="E49" s="54"/>
      <c r="F49" s="57"/>
      <c r="G49" s="57"/>
      <c r="P49" s="56"/>
      <c r="Q49" s="56"/>
      <c r="R49" s="54"/>
      <c r="S49" s="54"/>
      <c r="AD49" s="56"/>
      <c r="AE49" s="56"/>
      <c r="AF49" s="54"/>
      <c r="AG49" s="54"/>
      <c r="AR49" s="56"/>
      <c r="AS49" s="56"/>
      <c r="AT49" s="54"/>
      <c r="AU49" s="54"/>
      <c r="BF49" s="56"/>
      <c r="BG49" s="56"/>
      <c r="BH49">
        <f t="shared" si="3"/>
        <v>0</v>
      </c>
      <c r="BI49">
        <f t="shared" si="4"/>
        <v>0</v>
      </c>
      <c r="BJ49">
        <f t="shared" si="5"/>
        <v>0</v>
      </c>
    </row>
    <row r="50" spans="1:62" hidden="1">
      <c r="A50" s="59" t="s">
        <v>72</v>
      </c>
      <c r="B50" s="60" t="s">
        <v>76</v>
      </c>
      <c r="C50" s="60" t="s">
        <v>79</v>
      </c>
      <c r="D50" s="54"/>
      <c r="E50" s="54"/>
      <c r="F50" s="57"/>
      <c r="G50" s="57"/>
      <c r="P50" s="56"/>
      <c r="Q50" s="56"/>
      <c r="R50" s="54"/>
      <c r="S50" s="54"/>
      <c r="AD50" s="56"/>
      <c r="AE50" s="56"/>
      <c r="AF50" s="54"/>
      <c r="AG50" s="54"/>
      <c r="AR50" s="56"/>
      <c r="AS50" s="56"/>
      <c r="AT50" s="54"/>
      <c r="AU50" s="54"/>
      <c r="BF50" s="56"/>
      <c r="BG50" s="56"/>
      <c r="BH50">
        <f t="shared" si="3"/>
        <v>0</v>
      </c>
      <c r="BI50">
        <f t="shared" si="4"/>
        <v>0</v>
      </c>
      <c r="BJ50">
        <f t="shared" si="5"/>
        <v>0</v>
      </c>
    </row>
    <row r="51" spans="1:62" hidden="1">
      <c r="A51" s="59" t="s">
        <v>72</v>
      </c>
      <c r="B51" s="60" t="s">
        <v>76</v>
      </c>
      <c r="C51" s="60" t="s">
        <v>80</v>
      </c>
      <c r="D51" s="54"/>
      <c r="E51" s="54"/>
      <c r="F51" s="57"/>
      <c r="G51" s="57"/>
      <c r="P51" s="56"/>
      <c r="Q51" s="56"/>
      <c r="R51" s="54"/>
      <c r="S51" s="54"/>
      <c r="AD51" s="56"/>
      <c r="AE51" s="56"/>
      <c r="AF51" s="54"/>
      <c r="AG51" s="54"/>
      <c r="AR51" s="56"/>
      <c r="AS51" s="56"/>
      <c r="AT51" s="54"/>
      <c r="AU51" s="54"/>
      <c r="BF51" s="56"/>
      <c r="BG51" s="56"/>
      <c r="BH51">
        <f t="shared" si="3"/>
        <v>0</v>
      </c>
      <c r="BI51">
        <f t="shared" si="4"/>
        <v>0</v>
      </c>
      <c r="BJ51">
        <f t="shared" si="5"/>
        <v>0</v>
      </c>
    </row>
    <row r="52" spans="1:62" hidden="1">
      <c r="A52" s="59" t="s">
        <v>72</v>
      </c>
      <c r="B52" s="60" t="s">
        <v>76</v>
      </c>
      <c r="C52" s="60" t="s">
        <v>81</v>
      </c>
      <c r="D52" s="54"/>
      <c r="E52" s="54"/>
      <c r="F52" s="57"/>
      <c r="G52" s="57"/>
      <c r="P52" s="56"/>
      <c r="Q52" s="56"/>
      <c r="R52" s="54"/>
      <c r="S52" s="54"/>
      <c r="AD52" s="56"/>
      <c r="AE52" s="56"/>
      <c r="AF52" s="54"/>
      <c r="AG52" s="54"/>
      <c r="AR52" s="56"/>
      <c r="AS52" s="56"/>
      <c r="AT52" s="54"/>
      <c r="AU52" s="54"/>
      <c r="BF52" s="56"/>
      <c r="BG52" s="56"/>
      <c r="BH52">
        <f t="shared" si="3"/>
        <v>0</v>
      </c>
      <c r="BI52">
        <f t="shared" si="4"/>
        <v>0</v>
      </c>
      <c r="BJ52">
        <f t="shared" si="5"/>
        <v>0</v>
      </c>
    </row>
    <row r="53" spans="1:62" hidden="1">
      <c r="A53" s="59" t="s">
        <v>72</v>
      </c>
      <c r="B53" s="60" t="s">
        <v>82</v>
      </c>
      <c r="C53" s="60" t="s">
        <v>83</v>
      </c>
      <c r="D53" s="54"/>
      <c r="E53" s="54"/>
      <c r="F53" s="57"/>
      <c r="G53" s="57"/>
      <c r="J53" s="53">
        <v>0.40486111111111112</v>
      </c>
      <c r="O53" s="53">
        <v>0.19583333333333333</v>
      </c>
      <c r="P53" s="56"/>
      <c r="Q53" s="56"/>
      <c r="R53" s="54"/>
      <c r="S53" s="54"/>
      <c r="U53" s="53">
        <v>0.2</v>
      </c>
      <c r="V53" s="53">
        <v>0.3888888888888889</v>
      </c>
      <c r="W53" s="53">
        <v>0.19166666666666668</v>
      </c>
      <c r="X53" s="53">
        <v>0.40694444444444444</v>
      </c>
      <c r="Y53" s="53">
        <v>0.21249999999999999</v>
      </c>
      <c r="AA53" s="53">
        <v>0.22013888888888888</v>
      </c>
      <c r="AC53" s="53">
        <v>0.18124999999999999</v>
      </c>
      <c r="AD53" s="56"/>
      <c r="AE53" s="56"/>
      <c r="AF53" s="54"/>
      <c r="AG53" s="54"/>
      <c r="AH53" s="53">
        <v>0.37638888888888888</v>
      </c>
      <c r="AK53" s="53"/>
      <c r="AL53" s="53">
        <v>0.38680555555555557</v>
      </c>
      <c r="AN53" s="53">
        <v>0.39444444444444443</v>
      </c>
      <c r="AO53" s="53">
        <v>0.1423611111111111</v>
      </c>
      <c r="AP53" s="53">
        <v>0.40763888888888888</v>
      </c>
      <c r="AQ53" s="53">
        <v>0.19583333333333333</v>
      </c>
      <c r="AR53" s="69">
        <v>0.38055555555555554</v>
      </c>
      <c r="AS53" s="56"/>
      <c r="AT53" s="54"/>
      <c r="AU53" s="54"/>
      <c r="AW53" s="53">
        <v>0.20694444444444443</v>
      </c>
      <c r="BF53" s="56"/>
      <c r="BG53" s="56"/>
      <c r="BH53">
        <f t="shared" si="3"/>
        <v>7</v>
      </c>
      <c r="BI53">
        <f t="shared" si="4"/>
        <v>9</v>
      </c>
      <c r="BJ53">
        <f t="shared" si="5"/>
        <v>1</v>
      </c>
    </row>
    <row r="54" spans="1:62" hidden="1">
      <c r="A54" s="59" t="s">
        <v>72</v>
      </c>
      <c r="B54" s="60" t="s">
        <v>82</v>
      </c>
      <c r="C54" s="60" t="s">
        <v>84</v>
      </c>
      <c r="D54" s="54"/>
      <c r="E54" s="54"/>
      <c r="F54" s="57"/>
      <c r="G54" s="57"/>
      <c r="H54" s="53">
        <v>0.40763888888888888</v>
      </c>
      <c r="I54" s="53">
        <v>0.16180555555555556</v>
      </c>
      <c r="J54" s="53"/>
      <c r="L54" s="53">
        <v>0.39027777777777778</v>
      </c>
      <c r="P54" s="69">
        <v>0.41041666666666665</v>
      </c>
      <c r="Q54" s="56"/>
      <c r="R54" s="54"/>
      <c r="S54" s="54"/>
      <c r="T54" s="53">
        <v>0.37916666666666665</v>
      </c>
      <c r="Z54" s="53">
        <v>0.39444444444444443</v>
      </c>
      <c r="AB54" s="53">
        <v>0.39861111111111114</v>
      </c>
      <c r="AD54" s="56"/>
      <c r="AE54" s="56"/>
      <c r="AF54" s="54"/>
      <c r="AG54" s="54"/>
      <c r="AH54" s="53"/>
      <c r="AI54" s="53">
        <v>0.22777777777777777</v>
      </c>
      <c r="AJ54" s="53">
        <v>0.38333333333333336</v>
      </c>
      <c r="AK54" s="53">
        <v>0.19375000000000001</v>
      </c>
      <c r="AR54" s="56"/>
      <c r="AS54" s="56"/>
      <c r="AT54" s="54"/>
      <c r="AU54" s="54"/>
      <c r="AV54" s="53">
        <v>0.39791666666666664</v>
      </c>
      <c r="AX54" s="53">
        <v>0.38472222222222224</v>
      </c>
      <c r="AY54" s="53">
        <v>7.4999999999999997E-2</v>
      </c>
      <c r="AZ54" s="53">
        <v>0.40833333333333333</v>
      </c>
      <c r="BA54" s="53">
        <v>0.20416666666666666</v>
      </c>
      <c r="BB54" s="53">
        <v>0.40069444444444446</v>
      </c>
      <c r="BC54" s="53">
        <v>0.2</v>
      </c>
      <c r="BD54" s="53">
        <v>0.40208333333333335</v>
      </c>
      <c r="BE54" s="53">
        <v>0.18819444444444444</v>
      </c>
      <c r="BF54" s="56"/>
      <c r="BG54" s="56"/>
      <c r="BH54">
        <f t="shared" si="3"/>
        <v>11</v>
      </c>
      <c r="BI54">
        <f t="shared" si="4"/>
        <v>7</v>
      </c>
      <c r="BJ54">
        <f t="shared" si="5"/>
        <v>1</v>
      </c>
    </row>
    <row r="55" spans="1:62">
      <c r="A55" s="59" t="s">
        <v>72</v>
      </c>
      <c r="B55" s="60" t="s">
        <v>85</v>
      </c>
      <c r="C55" s="60" t="s">
        <v>86</v>
      </c>
      <c r="D55" s="54"/>
      <c r="E55" s="54"/>
      <c r="F55" s="57"/>
      <c r="G55" s="57"/>
      <c r="H55" s="53">
        <v>0</v>
      </c>
      <c r="I55" s="53">
        <v>0</v>
      </c>
      <c r="P55" s="56"/>
      <c r="Q55" s="56"/>
      <c r="R55" s="54"/>
      <c r="S55" s="54"/>
      <c r="U55" s="53">
        <v>0.20416666666666666</v>
      </c>
      <c r="V55" s="53">
        <v>0.37638888888888888</v>
      </c>
      <c r="W55" s="53">
        <v>0.13402777777777777</v>
      </c>
      <c r="Y55" s="53">
        <v>0.22083333333333333</v>
      </c>
      <c r="AB55" s="53"/>
      <c r="AC55" s="53">
        <v>0.14791666666666667</v>
      </c>
      <c r="AD55" s="56"/>
      <c r="AE55" s="56"/>
      <c r="AF55" s="54"/>
      <c r="AG55" s="54"/>
      <c r="AL55" s="53">
        <v>0.37638888888888888</v>
      </c>
      <c r="AM55" s="53">
        <v>0.18888888888888888</v>
      </c>
      <c r="AP55" s="53">
        <v>0.37777777777777777</v>
      </c>
      <c r="AQ55" s="53">
        <v>0.19583333333333333</v>
      </c>
      <c r="AR55" s="56"/>
      <c r="AS55" s="56"/>
      <c r="AT55" s="54"/>
      <c r="AU55" s="54"/>
      <c r="AW55" s="53">
        <v>0.15138888888888888</v>
      </c>
      <c r="AY55" s="53">
        <v>7.4999999999999997E-2</v>
      </c>
      <c r="AZ55" s="53">
        <v>0.37569444444444444</v>
      </c>
      <c r="BA55" s="53">
        <v>0.16458333333333333</v>
      </c>
      <c r="BB55" s="53">
        <v>0.40277777777777779</v>
      </c>
      <c r="BC55" s="53">
        <v>0.2</v>
      </c>
      <c r="BD55" s="53">
        <v>0.3840277777777778</v>
      </c>
      <c r="BE55" s="53">
        <v>0.21666666666666667</v>
      </c>
      <c r="BF55" s="69">
        <v>0.41041666666666665</v>
      </c>
      <c r="BG55" s="56"/>
      <c r="BH55">
        <f t="shared" si="3"/>
        <v>7</v>
      </c>
      <c r="BI55">
        <f t="shared" si="4"/>
        <v>12</v>
      </c>
      <c r="BJ55">
        <f t="shared" si="5"/>
        <v>1</v>
      </c>
    </row>
    <row r="56" spans="1:62">
      <c r="A56" s="59" t="s">
        <v>72</v>
      </c>
      <c r="B56" s="60" t="s">
        <v>85</v>
      </c>
      <c r="C56" s="60" t="s">
        <v>87</v>
      </c>
      <c r="D56" s="54"/>
      <c r="E56" s="54"/>
      <c r="F56" s="57"/>
      <c r="G56" s="57"/>
      <c r="J56" s="53">
        <v>0</v>
      </c>
      <c r="K56" s="53">
        <v>0.16041666666666668</v>
      </c>
      <c r="L56" s="53">
        <v>0</v>
      </c>
      <c r="M56" s="53">
        <v>0.20555555555555555</v>
      </c>
      <c r="N56" s="53">
        <v>0.39444444444444443</v>
      </c>
      <c r="O56" s="53">
        <v>0</v>
      </c>
      <c r="P56" s="56"/>
      <c r="Q56" s="56"/>
      <c r="R56" s="54"/>
      <c r="S56" s="54"/>
      <c r="T56" s="53">
        <v>0.38194444444444442</v>
      </c>
      <c r="X56" s="53">
        <v>0.38333333333333336</v>
      </c>
      <c r="Z56" s="53">
        <v>0.3888888888888889</v>
      </c>
      <c r="AD56" s="69">
        <v>0.38472222222222224</v>
      </c>
      <c r="AE56" s="56"/>
      <c r="AF56" s="54"/>
      <c r="AG56" s="54"/>
      <c r="AH56" s="53">
        <v>0.37777777777777777</v>
      </c>
      <c r="AJ56" s="53">
        <v>0.38333333333333336</v>
      </c>
      <c r="AK56" s="53">
        <v>0.16527777777777777</v>
      </c>
      <c r="AN56" s="53">
        <v>0.38194444444444442</v>
      </c>
      <c r="AO56" s="53">
        <v>0.1423611111111111</v>
      </c>
      <c r="AR56" s="56"/>
      <c r="AS56" s="56"/>
      <c r="AT56" s="54"/>
      <c r="AU56" s="54"/>
      <c r="AV56" s="53">
        <v>0.38541666666666669</v>
      </c>
      <c r="AX56" s="53">
        <v>0.38472222222222224</v>
      </c>
      <c r="BF56" s="56"/>
      <c r="BG56" s="56"/>
      <c r="BH56">
        <f t="shared" si="3"/>
        <v>11</v>
      </c>
      <c r="BI56">
        <f t="shared" si="4"/>
        <v>5</v>
      </c>
      <c r="BJ56">
        <f t="shared" si="5"/>
        <v>1</v>
      </c>
    </row>
    <row r="57" spans="1:62">
      <c r="A57" s="59" t="s">
        <v>72</v>
      </c>
      <c r="B57" s="60" t="s">
        <v>85</v>
      </c>
      <c r="C57" s="60" t="s">
        <v>88</v>
      </c>
      <c r="D57" s="54"/>
      <c r="E57" s="54"/>
      <c r="F57" s="57"/>
      <c r="G57" s="57"/>
      <c r="P57" s="56"/>
      <c r="Q57" s="56"/>
      <c r="R57" s="54"/>
      <c r="S57" s="54"/>
      <c r="X57" s="53"/>
      <c r="AB57" s="53">
        <v>0.38958333333333334</v>
      </c>
      <c r="AD57" s="56"/>
      <c r="AE57" s="56"/>
      <c r="AF57" s="54"/>
      <c r="AG57" s="54"/>
      <c r="AI57" s="53">
        <v>0.13194444444444445</v>
      </c>
      <c r="AK57" s="53">
        <v>0.18402777777777779</v>
      </c>
      <c r="AR57" s="56"/>
      <c r="AS57" s="56"/>
      <c r="AT57" s="54"/>
      <c r="AU57" s="54"/>
      <c r="BF57" s="56"/>
      <c r="BG57" s="56"/>
      <c r="BH57">
        <f t="shared" si="3"/>
        <v>1</v>
      </c>
      <c r="BI57">
        <f t="shared" si="4"/>
        <v>2</v>
      </c>
      <c r="BJ57">
        <f t="shared" si="5"/>
        <v>0</v>
      </c>
    </row>
    <row r="58" spans="1:62" hidden="1">
      <c r="A58" s="59" t="s">
        <v>72</v>
      </c>
      <c r="B58" s="60" t="s">
        <v>89</v>
      </c>
      <c r="C58" s="60" t="s">
        <v>90</v>
      </c>
      <c r="D58" s="54"/>
      <c r="E58" s="54"/>
      <c r="F58" s="57"/>
      <c r="G58" s="57"/>
      <c r="H58" s="53">
        <v>0.38958333333333334</v>
      </c>
      <c r="I58" s="53">
        <v>0.15972222222222221</v>
      </c>
      <c r="J58" s="53">
        <v>0.3888888888888889</v>
      </c>
      <c r="L58" s="53">
        <v>0.40625</v>
      </c>
      <c r="M58" s="53">
        <v>0.16111111111111112</v>
      </c>
      <c r="N58" s="53">
        <v>0.39583333333333331</v>
      </c>
      <c r="O58" s="53">
        <v>0.14930555555555555</v>
      </c>
      <c r="P58" s="69">
        <v>0.39444444444444443</v>
      </c>
      <c r="Q58" s="69">
        <v>0.51944444444444449</v>
      </c>
      <c r="R58" s="54"/>
      <c r="S58" s="54"/>
      <c r="T58" s="53">
        <v>0.39444444444444443</v>
      </c>
      <c r="V58" s="53">
        <v>0.37708333333333333</v>
      </c>
      <c r="W58" s="53">
        <v>0.15763888888888888</v>
      </c>
      <c r="X58" s="53">
        <v>0.37291666666666667</v>
      </c>
      <c r="Y58" s="53">
        <v>0.14097222222222222</v>
      </c>
      <c r="Z58" s="53">
        <v>0.37430555555555556</v>
      </c>
      <c r="AA58" s="53">
        <v>0.14374999999999999</v>
      </c>
      <c r="AB58" s="53">
        <v>0.38055555555555554</v>
      </c>
      <c r="AC58" s="53">
        <v>0.18819444444444444</v>
      </c>
      <c r="AD58" s="69">
        <v>0.38611111111111113</v>
      </c>
      <c r="AE58" s="56"/>
      <c r="AF58" s="54"/>
      <c r="AG58" s="54"/>
      <c r="AH58" s="53">
        <v>0.38472222222222224</v>
      </c>
      <c r="AI58" s="53">
        <v>0.15208333333333332</v>
      </c>
      <c r="AJ58" s="53">
        <v>0.38472222222222224</v>
      </c>
      <c r="AK58" s="53">
        <v>0.16527777777777777</v>
      </c>
      <c r="AL58" s="53">
        <v>0.36875000000000002</v>
      </c>
      <c r="AM58" s="53">
        <v>0.15972222222222221</v>
      </c>
      <c r="AN58" s="53">
        <v>0.40486111111111112</v>
      </c>
      <c r="AO58" s="53">
        <v>0.15555555555555556</v>
      </c>
      <c r="AP58" s="53">
        <v>0.37847222222222221</v>
      </c>
      <c r="AQ58" s="53">
        <v>0.15694444444444444</v>
      </c>
      <c r="AR58" s="69">
        <v>0.38124999999999998</v>
      </c>
      <c r="AS58" s="69">
        <v>0.51666666666666672</v>
      </c>
      <c r="AT58" s="54"/>
      <c r="AU58" s="54"/>
      <c r="AV58" s="53">
        <v>0.36319444444444443</v>
      </c>
      <c r="AW58" s="53">
        <v>0.15347222222222223</v>
      </c>
      <c r="AX58" s="53">
        <v>0.38958333333333334</v>
      </c>
      <c r="AY58" s="53">
        <v>0.17986111111111111</v>
      </c>
      <c r="AZ58" s="53">
        <v>0.39791666666666664</v>
      </c>
      <c r="BA58" s="53">
        <v>0.16805555555555557</v>
      </c>
      <c r="BB58" s="53">
        <v>0.38333333333333336</v>
      </c>
      <c r="BC58" s="53">
        <v>0.15833333333333333</v>
      </c>
      <c r="BD58" s="53">
        <v>0.38472222222222224</v>
      </c>
      <c r="BE58" s="53">
        <v>0.16111111111111112</v>
      </c>
      <c r="BF58" s="69">
        <v>0.37083333333333335</v>
      </c>
      <c r="BG58" s="69">
        <v>0.53611111111111109</v>
      </c>
      <c r="BH58">
        <f t="shared" si="3"/>
        <v>19</v>
      </c>
      <c r="BI58">
        <f t="shared" si="4"/>
        <v>17</v>
      </c>
      <c r="BJ58">
        <f t="shared" si="5"/>
        <v>4</v>
      </c>
    </row>
    <row r="59" spans="1:62" hidden="1">
      <c r="A59" s="59" t="s">
        <v>72</v>
      </c>
      <c r="B59" s="60" t="s">
        <v>91</v>
      </c>
      <c r="C59" s="60" t="s">
        <v>92</v>
      </c>
      <c r="D59" s="54"/>
      <c r="E59" s="54"/>
      <c r="F59" s="57"/>
      <c r="G59" s="57"/>
      <c r="H59" s="53">
        <v>0.38750000000000001</v>
      </c>
      <c r="I59" s="53">
        <v>0.18055555555555555</v>
      </c>
      <c r="J59" s="53">
        <v>0.375</v>
      </c>
      <c r="K59" s="53">
        <v>0.22361111111111112</v>
      </c>
      <c r="M59" s="53">
        <v>0.16250000000000001</v>
      </c>
      <c r="N59" s="53">
        <v>0.42291666666666666</v>
      </c>
      <c r="O59" s="53">
        <v>0.15902777777777777</v>
      </c>
      <c r="P59" s="69">
        <v>0.42499999999999999</v>
      </c>
      <c r="Q59" s="69">
        <v>5.5555555555555552E-2</v>
      </c>
      <c r="R59" s="54"/>
      <c r="S59" s="54"/>
      <c r="T59" s="53">
        <v>0.37222222222222223</v>
      </c>
      <c r="U59" s="53">
        <v>0.24305555555555555</v>
      </c>
      <c r="V59" s="53">
        <v>0.37430555555555556</v>
      </c>
      <c r="W59" s="53">
        <v>0.19166666666666668</v>
      </c>
      <c r="X59" s="53">
        <v>0.38333333333333336</v>
      </c>
      <c r="Y59" s="53">
        <v>0.22222222222222221</v>
      </c>
      <c r="Z59" s="53">
        <v>0.43263888888888891</v>
      </c>
      <c r="AA59" s="53">
        <v>0.23749999999999999</v>
      </c>
      <c r="AB59" s="53">
        <v>0.37847222222222221</v>
      </c>
      <c r="AC59" s="53">
        <v>0.16597222222222222</v>
      </c>
      <c r="AD59" s="56"/>
      <c r="AE59" s="56"/>
      <c r="AF59" s="54"/>
      <c r="AG59" s="54"/>
      <c r="AH59" s="53">
        <v>0.44166666666666665</v>
      </c>
      <c r="AI59" s="53">
        <v>0.15416666666666667</v>
      </c>
      <c r="AJ59" s="53">
        <v>0.41736111111111113</v>
      </c>
      <c r="AK59" s="53">
        <v>0.25833333333333336</v>
      </c>
      <c r="AL59" s="53">
        <v>0.43055555555555558</v>
      </c>
      <c r="AM59" s="53">
        <v>0.25624999999999998</v>
      </c>
      <c r="AN59" s="53">
        <v>0.41597222222222224</v>
      </c>
      <c r="AO59" s="53">
        <v>0.25763888888888886</v>
      </c>
      <c r="AP59" s="53">
        <v>0.38472222222222224</v>
      </c>
      <c r="AQ59" s="53">
        <v>0.22500000000000001</v>
      </c>
      <c r="AR59" s="69">
        <v>0.42777777777777776</v>
      </c>
      <c r="AS59" s="69">
        <v>0.05</v>
      </c>
      <c r="AT59" s="54"/>
      <c r="AU59" s="54"/>
      <c r="AV59" s="53">
        <v>0.39652777777777776</v>
      </c>
      <c r="AW59" s="53">
        <v>0.21944444444444444</v>
      </c>
      <c r="AX59" s="53">
        <v>0.49513888888888891</v>
      </c>
      <c r="AY59" s="53">
        <v>0.25069444444444444</v>
      </c>
      <c r="AZ59" s="53">
        <v>0.39791666666666664</v>
      </c>
      <c r="BB59" s="53">
        <v>0.41875000000000001</v>
      </c>
      <c r="BC59" s="53">
        <v>0.22638888888888889</v>
      </c>
      <c r="BD59" s="53">
        <v>0.37291666666666667</v>
      </c>
      <c r="BE59" s="53">
        <v>0.27152777777777776</v>
      </c>
      <c r="BF59" s="69">
        <v>0.37708333333333333</v>
      </c>
      <c r="BG59" s="56"/>
      <c r="BH59">
        <f t="shared" si="3"/>
        <v>18</v>
      </c>
      <c r="BI59">
        <f t="shared" si="4"/>
        <v>18</v>
      </c>
      <c r="BJ59">
        <f t="shared" si="5"/>
        <v>3</v>
      </c>
    </row>
    <row r="60" spans="1:62" hidden="1">
      <c r="A60" s="59" t="s">
        <v>72</v>
      </c>
      <c r="B60" s="60" t="s">
        <v>91</v>
      </c>
      <c r="C60" s="60" t="s">
        <v>93</v>
      </c>
      <c r="D60" s="54"/>
      <c r="E60" s="54"/>
      <c r="F60" s="57"/>
      <c r="G60" s="57"/>
      <c r="P60" s="56"/>
      <c r="Q60" s="56"/>
      <c r="R60" s="54"/>
      <c r="S60" s="54"/>
      <c r="AD60" s="56"/>
      <c r="AE60" s="56"/>
      <c r="AF60" s="54"/>
      <c r="AG60" s="54"/>
      <c r="AR60" s="56"/>
      <c r="AS60" s="56"/>
      <c r="AT60" s="54"/>
      <c r="AU60" s="54"/>
      <c r="BF60" s="56"/>
      <c r="BG60" s="56"/>
      <c r="BH60">
        <f t="shared" si="3"/>
        <v>0</v>
      </c>
      <c r="BI60">
        <f t="shared" si="4"/>
        <v>0</v>
      </c>
      <c r="BJ60">
        <f t="shared" si="5"/>
        <v>0</v>
      </c>
    </row>
    <row r="61" spans="1:62" hidden="1">
      <c r="A61" s="59" t="s">
        <v>94</v>
      </c>
      <c r="B61" s="60" t="s">
        <v>95</v>
      </c>
      <c r="C61" s="60" t="s">
        <v>96</v>
      </c>
      <c r="D61" s="54"/>
      <c r="E61" s="54"/>
      <c r="F61" s="57"/>
      <c r="G61" s="57"/>
      <c r="H61" s="53">
        <v>0.35347222222222224</v>
      </c>
      <c r="I61" s="53">
        <v>0.1875</v>
      </c>
      <c r="J61" s="53">
        <v>0.37777777777777777</v>
      </c>
      <c r="K61" s="53">
        <v>0.14652777777777778</v>
      </c>
      <c r="L61" s="53">
        <v>0.35625000000000001</v>
      </c>
      <c r="M61" s="53">
        <v>0.16319444444444445</v>
      </c>
      <c r="N61" s="53">
        <v>0.36805555555555558</v>
      </c>
      <c r="O61" s="53">
        <v>0.14722222222222223</v>
      </c>
      <c r="P61" s="56"/>
      <c r="Q61" s="56"/>
      <c r="R61" s="54"/>
      <c r="S61" s="54"/>
      <c r="T61" s="53">
        <v>0.35416666666666669</v>
      </c>
      <c r="U61" s="53">
        <v>0.16250000000000001</v>
      </c>
      <c r="V61" s="53">
        <v>0.35486111111111113</v>
      </c>
      <c r="W61" s="53">
        <v>0.16180555555555556</v>
      </c>
      <c r="X61" s="53">
        <v>0.35625000000000001</v>
      </c>
      <c r="Y61" s="53">
        <v>0.23125000000000001</v>
      </c>
      <c r="Z61" s="53">
        <v>0.35347222222222224</v>
      </c>
      <c r="AA61" s="53">
        <v>0.13680555555555557</v>
      </c>
      <c r="AB61" s="53">
        <v>0.3611111111111111</v>
      </c>
      <c r="AC61" s="53">
        <v>0.16111111111111112</v>
      </c>
      <c r="AD61" s="56"/>
      <c r="AE61" s="56"/>
      <c r="AF61" s="54"/>
      <c r="AG61" s="54"/>
      <c r="AH61" s="53">
        <v>0.35902777777777778</v>
      </c>
      <c r="AI61" s="53">
        <v>0.17291666666666666</v>
      </c>
      <c r="AJ61" s="53">
        <v>0.36249999999999999</v>
      </c>
      <c r="AK61" s="53">
        <v>0.23055555555555557</v>
      </c>
      <c r="AL61" s="53">
        <v>0.38055555555555554</v>
      </c>
      <c r="AM61" s="53">
        <v>0.12916666666666668</v>
      </c>
      <c r="AN61" s="53">
        <v>0.35625000000000001</v>
      </c>
      <c r="AO61" s="53">
        <v>0.14861111111111111</v>
      </c>
      <c r="AP61" s="53">
        <v>0.35486111111111113</v>
      </c>
      <c r="AQ61" s="53">
        <v>0.15763888888888888</v>
      </c>
      <c r="AR61" s="56"/>
      <c r="AS61" s="56"/>
      <c r="AT61" s="54"/>
      <c r="AU61" s="54"/>
      <c r="AV61" s="53">
        <v>0.37430555555555556</v>
      </c>
      <c r="AW61" s="53">
        <v>0.14444444444444443</v>
      </c>
      <c r="AX61" s="53">
        <v>0.37569444444444444</v>
      </c>
      <c r="AY61" s="53">
        <v>0.18611111111111112</v>
      </c>
      <c r="AZ61" s="53">
        <v>0.35555555555555557</v>
      </c>
      <c r="BA61" s="53">
        <v>0.15208333333333332</v>
      </c>
      <c r="BB61" s="53">
        <v>0.36319444444444443</v>
      </c>
      <c r="BC61" s="53">
        <v>0.12083333333333333</v>
      </c>
      <c r="BD61" s="53">
        <v>0.38680555555555557</v>
      </c>
      <c r="BE61" s="53">
        <v>0.15069444444444444</v>
      </c>
      <c r="BF61" s="56"/>
      <c r="BG61" s="56"/>
      <c r="BH61">
        <f t="shared" si="3"/>
        <v>19</v>
      </c>
      <c r="BI61">
        <f t="shared" si="4"/>
        <v>19</v>
      </c>
      <c r="BJ61">
        <f t="shared" si="5"/>
        <v>0</v>
      </c>
    </row>
    <row r="62" spans="1:62" hidden="1">
      <c r="A62" s="59" t="s">
        <v>97</v>
      </c>
      <c r="B62" s="60" t="s">
        <v>192</v>
      </c>
      <c r="C62" s="60" t="s">
        <v>99</v>
      </c>
      <c r="D62" s="54"/>
      <c r="E62" s="54"/>
      <c r="F62" s="57"/>
      <c r="G62" s="57"/>
      <c r="I62" s="53">
        <v>0.22500000000000001</v>
      </c>
      <c r="J62" s="53">
        <v>0.39444444444444443</v>
      </c>
      <c r="K62" s="53">
        <v>0.25555555555555554</v>
      </c>
      <c r="L62" s="53">
        <v>0.37430555555555556</v>
      </c>
      <c r="N62" s="53">
        <v>0.37222222222222223</v>
      </c>
      <c r="O62" s="53">
        <v>0.15347222222222223</v>
      </c>
      <c r="P62" s="69">
        <v>0.43819444444444444</v>
      </c>
      <c r="Q62" s="56"/>
      <c r="R62" s="54"/>
      <c r="S62" s="54"/>
      <c r="T62" s="53">
        <v>0.4284722222222222</v>
      </c>
      <c r="U62" s="53">
        <v>0.20277777777777778</v>
      </c>
      <c r="V62" s="53">
        <v>0.37222222222222223</v>
      </c>
      <c r="W62" s="53">
        <v>0.2</v>
      </c>
      <c r="X62" s="53">
        <v>0.36666666666666664</v>
      </c>
      <c r="AB62" s="53">
        <v>0.3840277777777778</v>
      </c>
      <c r="AD62" s="56"/>
      <c r="AE62" s="56"/>
      <c r="AF62" s="54"/>
      <c r="AG62" s="54"/>
      <c r="AH62" s="53">
        <v>0.35902777777777778</v>
      </c>
      <c r="AL62" s="53">
        <v>0.36041666666666666</v>
      </c>
      <c r="AM62" s="53">
        <v>0.25555555555555554</v>
      </c>
      <c r="AN62" s="53">
        <v>0.38263888888888886</v>
      </c>
      <c r="AO62" s="53">
        <v>0.22361111111111112</v>
      </c>
      <c r="AP62" s="53">
        <v>0.40555555555555556</v>
      </c>
      <c r="AQ62" s="53">
        <v>0.2638888888888889</v>
      </c>
      <c r="AR62" s="56"/>
      <c r="AS62" s="69">
        <v>4.9305555555555554E-2</v>
      </c>
      <c r="AT62" s="54"/>
      <c r="AU62" s="54"/>
      <c r="AV62" s="53">
        <v>0.37430555555555556</v>
      </c>
      <c r="AW62" s="53">
        <v>0.21041666666666667</v>
      </c>
      <c r="AX62" s="53">
        <v>0.40902777777777777</v>
      </c>
      <c r="AY62" s="53">
        <v>0.22500000000000001</v>
      </c>
      <c r="BB62" s="53">
        <v>0.44027777777777777</v>
      </c>
      <c r="BC62" s="53">
        <v>0.20624999999999999</v>
      </c>
      <c r="BD62" s="53">
        <v>0.37708333333333333</v>
      </c>
      <c r="BE62" s="53">
        <v>0.21736111111111112</v>
      </c>
      <c r="BF62" s="69">
        <v>0.40416666666666667</v>
      </c>
      <c r="BG62" s="56"/>
      <c r="BH62">
        <f t="shared" si="3"/>
        <v>15</v>
      </c>
      <c r="BI62">
        <f t="shared" si="4"/>
        <v>12</v>
      </c>
      <c r="BJ62">
        <f t="shared" si="5"/>
        <v>3</v>
      </c>
    </row>
    <row r="63" spans="1:62" hidden="1">
      <c r="A63" s="59" t="s">
        <v>97</v>
      </c>
      <c r="B63" s="60" t="s">
        <v>100</v>
      </c>
      <c r="C63" s="60" t="s">
        <v>101</v>
      </c>
      <c r="D63" s="54"/>
      <c r="E63" s="54"/>
      <c r="F63" s="57"/>
      <c r="G63" s="57"/>
      <c r="H63" s="53">
        <v>0.43611111111111112</v>
      </c>
      <c r="I63" s="53">
        <v>0.23125000000000001</v>
      </c>
      <c r="J63" s="53">
        <v>0.41875000000000001</v>
      </c>
      <c r="L63" s="53">
        <v>0.43402777777777779</v>
      </c>
      <c r="M63" s="53">
        <v>0.28958333333333336</v>
      </c>
      <c r="N63" s="53">
        <v>0.36875000000000002</v>
      </c>
      <c r="O63" s="53">
        <v>0.30208333333333331</v>
      </c>
      <c r="P63" s="69">
        <v>0.40694444444444444</v>
      </c>
      <c r="Q63" s="56"/>
      <c r="R63" s="54"/>
      <c r="S63" s="54"/>
      <c r="T63" s="53">
        <v>0.44722222222222224</v>
      </c>
      <c r="V63" s="53">
        <v>0.41249999999999998</v>
      </c>
      <c r="X63" s="53">
        <v>0.49513888888888891</v>
      </c>
      <c r="Z63" s="53">
        <v>0.50555555555555554</v>
      </c>
      <c r="AB63" s="53">
        <v>0.4</v>
      </c>
      <c r="AD63" s="56"/>
      <c r="AE63" s="56"/>
      <c r="AF63" s="54"/>
      <c r="AG63" s="54"/>
      <c r="AH63" s="53">
        <v>0.46250000000000002</v>
      </c>
      <c r="AJ63" s="53">
        <v>0.44722222222222224</v>
      </c>
      <c r="AK63" s="53">
        <v>0.30416666666666664</v>
      </c>
      <c r="AM63" s="53">
        <v>0.25208333333333333</v>
      </c>
      <c r="AN63" s="53">
        <v>0.42708333333333331</v>
      </c>
      <c r="AO63" s="53">
        <v>0.28263888888888888</v>
      </c>
      <c r="AP63" s="53">
        <v>0.41180555555555554</v>
      </c>
      <c r="AQ63" s="53">
        <v>0.30277777777777776</v>
      </c>
      <c r="AR63" s="69">
        <v>0.47847222222222224</v>
      </c>
      <c r="AS63" s="56"/>
      <c r="AT63" s="54"/>
      <c r="AU63" s="54"/>
      <c r="AV63" s="53">
        <v>0.45833333333333331</v>
      </c>
      <c r="AW63" s="53">
        <v>0.26041666666666669</v>
      </c>
      <c r="AX63" s="53">
        <v>0.4284722222222222</v>
      </c>
      <c r="AY63" s="53">
        <v>0.28680555555555554</v>
      </c>
      <c r="AZ63" s="53">
        <v>0.4</v>
      </c>
      <c r="BB63" s="53">
        <v>0.43541666666666667</v>
      </c>
      <c r="BC63" s="53">
        <v>0.30486111111111114</v>
      </c>
      <c r="BD63" s="53">
        <v>0.42430555555555555</v>
      </c>
      <c r="BE63" s="53">
        <v>0.24027777777777778</v>
      </c>
      <c r="BF63" s="56"/>
      <c r="BG63" s="56"/>
      <c r="BH63">
        <f t="shared" si="3"/>
        <v>18</v>
      </c>
      <c r="BI63">
        <f t="shared" si="4"/>
        <v>11</v>
      </c>
      <c r="BJ63">
        <f t="shared" si="5"/>
        <v>2</v>
      </c>
    </row>
    <row r="64" spans="1:62" hidden="1">
      <c r="A64" s="59" t="s">
        <v>97</v>
      </c>
      <c r="B64" s="60" t="s">
        <v>102</v>
      </c>
      <c r="C64" s="60" t="s">
        <v>103</v>
      </c>
      <c r="D64" s="54"/>
      <c r="E64" s="54"/>
      <c r="F64" s="57"/>
      <c r="G64" s="57"/>
      <c r="H64" s="53">
        <v>0.3923611111111111</v>
      </c>
      <c r="I64" s="53">
        <v>0.19722222222222222</v>
      </c>
      <c r="J64" s="53">
        <v>0.42569444444444443</v>
      </c>
      <c r="N64" s="53">
        <v>0.36736111111111114</v>
      </c>
      <c r="O64" s="53">
        <v>0.18402777777777779</v>
      </c>
      <c r="P64" s="56"/>
      <c r="Q64" s="56"/>
      <c r="R64" s="54"/>
      <c r="S64" s="54"/>
      <c r="T64" s="53">
        <v>0.40972222222222221</v>
      </c>
      <c r="U64" s="53">
        <v>0.16944444444444445</v>
      </c>
      <c r="X64" s="53">
        <v>0.41458333333333336</v>
      </c>
      <c r="Y64" s="53">
        <v>0.15555555555555556</v>
      </c>
      <c r="Z64" s="53">
        <v>0.39583333333333331</v>
      </c>
      <c r="AD64" s="56"/>
      <c r="AE64" s="56"/>
      <c r="AF64" s="54"/>
      <c r="AG64" s="54"/>
      <c r="AH64" s="53">
        <v>0.43125000000000002</v>
      </c>
      <c r="AK64" s="53">
        <v>0.24097222222222223</v>
      </c>
      <c r="AL64" s="53">
        <v>0.39374999999999999</v>
      </c>
      <c r="AM64" s="53">
        <v>0.18333333333333332</v>
      </c>
      <c r="AN64" s="53">
        <v>0.39861111111111114</v>
      </c>
      <c r="AP64" s="53">
        <v>0.40277777777777779</v>
      </c>
      <c r="AQ64" s="53">
        <v>0.2673611111111111</v>
      </c>
      <c r="AR64" s="56"/>
      <c r="AS64" s="56"/>
      <c r="AT64" s="54"/>
      <c r="AU64" s="54"/>
      <c r="AV64" s="53">
        <v>0.39027777777777778</v>
      </c>
      <c r="AX64" s="53">
        <v>0.37986111111111109</v>
      </c>
      <c r="AY64" s="53">
        <v>0.19513888888888889</v>
      </c>
      <c r="BC64" s="53">
        <v>0.18541666666666667</v>
      </c>
      <c r="BD64" s="53">
        <v>0.42222222222222222</v>
      </c>
      <c r="BE64" s="53">
        <v>0.23749999999999999</v>
      </c>
      <c r="BF64" s="56"/>
      <c r="BG64" s="56"/>
      <c r="BH64">
        <f t="shared" si="3"/>
        <v>13</v>
      </c>
      <c r="BI64">
        <f t="shared" si="4"/>
        <v>10</v>
      </c>
      <c r="BJ64">
        <f t="shared" si="5"/>
        <v>0</v>
      </c>
    </row>
    <row r="65" spans="1:62" hidden="1">
      <c r="A65" s="59" t="s">
        <v>97</v>
      </c>
      <c r="B65" s="60" t="s">
        <v>102</v>
      </c>
      <c r="C65" s="60" t="s">
        <v>104</v>
      </c>
      <c r="D65" s="54"/>
      <c r="E65" s="54"/>
      <c r="F65" s="57"/>
      <c r="G65" s="57"/>
      <c r="L65" s="53">
        <v>0.43333333333333335</v>
      </c>
      <c r="P65" s="56"/>
      <c r="Q65" s="56"/>
      <c r="R65" s="54"/>
      <c r="S65" s="54"/>
      <c r="AD65" s="56"/>
      <c r="AE65" s="56"/>
      <c r="AF65" s="54"/>
      <c r="AG65" s="54"/>
      <c r="AJ65" s="53">
        <v>0.38333333333333336</v>
      </c>
      <c r="AO65" s="53">
        <v>0.18472222222222223</v>
      </c>
      <c r="AR65" s="56"/>
      <c r="AS65" s="56"/>
      <c r="AT65" s="54"/>
      <c r="AU65" s="54"/>
      <c r="AW65" s="53">
        <v>0.21527777777777779</v>
      </c>
      <c r="BA65" s="53">
        <v>0.14722222222222223</v>
      </c>
      <c r="BB65" s="53">
        <v>0.44027777777777777</v>
      </c>
      <c r="BF65" s="56"/>
      <c r="BG65" s="56"/>
      <c r="BH65">
        <f t="shared" si="3"/>
        <v>3</v>
      </c>
      <c r="BI65">
        <f t="shared" si="4"/>
        <v>3</v>
      </c>
      <c r="BJ65">
        <f t="shared" si="5"/>
        <v>0</v>
      </c>
    </row>
    <row r="66" spans="1:62" hidden="1">
      <c r="A66" s="59" t="s">
        <v>97</v>
      </c>
      <c r="B66" s="60" t="s">
        <v>105</v>
      </c>
      <c r="C66" s="60" t="s">
        <v>106</v>
      </c>
      <c r="D66" s="54"/>
      <c r="E66" s="54"/>
      <c r="F66" s="57"/>
      <c r="G66" s="57"/>
      <c r="H66" s="53">
        <v>0.38750000000000001</v>
      </c>
      <c r="J66" s="53">
        <v>0.3923611111111111</v>
      </c>
      <c r="L66" s="53">
        <v>0.42083333333333334</v>
      </c>
      <c r="M66" s="53">
        <v>0.25347222222222221</v>
      </c>
      <c r="N66" s="53">
        <v>0.3888888888888889</v>
      </c>
      <c r="O66" s="53">
        <v>0.22638888888888889</v>
      </c>
      <c r="P66" s="56"/>
      <c r="Q66" s="56"/>
      <c r="R66" s="54"/>
      <c r="S66" s="54"/>
      <c r="T66" s="53">
        <v>0.4236111111111111</v>
      </c>
      <c r="U66" s="53">
        <v>0.22013888888888888</v>
      </c>
      <c r="W66" s="53">
        <v>0.19236111111111112</v>
      </c>
      <c r="Y66" s="53">
        <v>0.19027777777777777</v>
      </c>
      <c r="Z66" s="53">
        <v>0.42291666666666666</v>
      </c>
      <c r="AB66" s="53">
        <v>0.40972222222222221</v>
      </c>
      <c r="AD66" s="56"/>
      <c r="AE66" s="56"/>
      <c r="AF66" s="54"/>
      <c r="AG66" s="54"/>
      <c r="AJ66" s="53">
        <v>0.34861111111111109</v>
      </c>
      <c r="AL66" s="53">
        <v>0.41319444444444442</v>
      </c>
      <c r="AM66" s="53">
        <v>0.20833333333333334</v>
      </c>
      <c r="AN66" s="53"/>
      <c r="AO66" s="53">
        <v>0.21805555555555556</v>
      </c>
      <c r="AP66" s="53">
        <v>0.40555555555555556</v>
      </c>
      <c r="AQ66" s="53">
        <v>0.21041666666666667</v>
      </c>
      <c r="AR66" s="56"/>
      <c r="AS66" s="56"/>
      <c r="AT66" s="54"/>
      <c r="AU66" s="54"/>
      <c r="AV66" s="53">
        <v>0.39861111111111114</v>
      </c>
      <c r="AX66" s="53">
        <v>0.37569444444444444</v>
      </c>
      <c r="AY66" s="53">
        <v>0.2902777777777778</v>
      </c>
      <c r="AZ66" s="53">
        <v>0.42569444444444443</v>
      </c>
      <c r="BA66" s="53">
        <v>0.23472222222222222</v>
      </c>
      <c r="BC66" s="53">
        <v>0.2076388888888889</v>
      </c>
      <c r="BF66" s="56"/>
      <c r="BG66" s="56"/>
      <c r="BH66">
        <f t="shared" si="3"/>
        <v>13</v>
      </c>
      <c r="BI66">
        <f t="shared" si="4"/>
        <v>11</v>
      </c>
      <c r="BJ66">
        <f t="shared" si="5"/>
        <v>0</v>
      </c>
    </row>
    <row r="67" spans="1:62" hidden="1">
      <c r="A67" s="59" t="s">
        <v>97</v>
      </c>
      <c r="B67" s="60" t="s">
        <v>105</v>
      </c>
      <c r="C67" s="60" t="s">
        <v>107</v>
      </c>
      <c r="D67" s="54"/>
      <c r="E67" s="54"/>
      <c r="F67" s="57"/>
      <c r="G67" s="57"/>
      <c r="P67" s="56"/>
      <c r="Q67" s="56"/>
      <c r="R67" s="54"/>
      <c r="S67" s="54"/>
      <c r="AD67" s="56"/>
      <c r="AE67" s="56"/>
      <c r="AF67" s="54"/>
      <c r="AG67" s="54"/>
      <c r="AR67" s="56"/>
      <c r="AS67" s="56"/>
      <c r="AT67" s="54"/>
      <c r="AU67" s="54"/>
      <c r="BF67" s="56"/>
      <c r="BG67" s="56"/>
      <c r="BH67">
        <f t="shared" si="3"/>
        <v>0</v>
      </c>
      <c r="BI67">
        <f t="shared" si="4"/>
        <v>0</v>
      </c>
      <c r="BJ67">
        <f t="shared" si="5"/>
        <v>0</v>
      </c>
    </row>
    <row r="68" spans="1:62" hidden="1">
      <c r="A68" s="59" t="s">
        <v>108</v>
      </c>
      <c r="B68" s="60" t="s">
        <v>109</v>
      </c>
      <c r="C68" s="60" t="s">
        <v>110</v>
      </c>
      <c r="D68" s="54"/>
      <c r="E68" s="54"/>
      <c r="F68" s="57"/>
      <c r="G68" s="57"/>
      <c r="H68" s="53">
        <v>0.37638888888888888</v>
      </c>
      <c r="I68" s="53">
        <v>0.25486111111111109</v>
      </c>
      <c r="J68" s="53">
        <v>0.40763888888888888</v>
      </c>
      <c r="K68" s="53">
        <v>0.2673611111111111</v>
      </c>
      <c r="L68" s="53">
        <v>0.49375000000000002</v>
      </c>
      <c r="N68" s="53">
        <v>0.43819444444444444</v>
      </c>
      <c r="O68" s="53">
        <v>0.20416666666666666</v>
      </c>
      <c r="P68" s="69">
        <v>0.4284722222222222</v>
      </c>
      <c r="Q68" s="56"/>
      <c r="R68" s="54"/>
      <c r="S68" s="54"/>
      <c r="T68" s="53">
        <v>0.43958333333333333</v>
      </c>
      <c r="U68" s="53">
        <v>0.23333333333333334</v>
      </c>
      <c r="V68" s="53">
        <v>0.50555555555555554</v>
      </c>
      <c r="X68" s="53">
        <v>0.41180555555555554</v>
      </c>
      <c r="Z68" s="53">
        <v>0.44722222222222224</v>
      </c>
      <c r="AB68" s="53">
        <v>0.4152777777777778</v>
      </c>
      <c r="AD68" s="56"/>
      <c r="AE68" s="56"/>
      <c r="AF68" s="54"/>
      <c r="AG68" s="54"/>
      <c r="AH68" s="53">
        <v>0.45347222222222222</v>
      </c>
      <c r="AI68" s="53">
        <v>0.13055555555555556</v>
      </c>
      <c r="AJ68" s="53">
        <v>0.49652777777777779</v>
      </c>
      <c r="AL68" s="53">
        <v>0.46111111111111114</v>
      </c>
      <c r="AM68" s="53">
        <v>0.26250000000000001</v>
      </c>
      <c r="AN68" s="53">
        <v>0.40486111111111112</v>
      </c>
      <c r="AQ68" s="53">
        <v>0.20069444444444445</v>
      </c>
      <c r="AR68" s="56"/>
      <c r="AS68" s="56"/>
      <c r="AT68" s="54"/>
      <c r="AU68" s="54"/>
      <c r="AV68" s="53">
        <v>0.41666666666666669</v>
      </c>
      <c r="AW68" s="53">
        <v>0.17499999999999999</v>
      </c>
      <c r="AX68" s="53">
        <v>0.45763888888888887</v>
      </c>
      <c r="AZ68" s="53">
        <v>0.43472222222222223</v>
      </c>
      <c r="BA68" s="53">
        <v>0.24305555555555555</v>
      </c>
      <c r="BB68" s="53">
        <v>0.44236111111111109</v>
      </c>
      <c r="BF68" s="69">
        <v>0.37291666666666667</v>
      </c>
      <c r="BG68" s="56"/>
      <c r="BH68">
        <f t="shared" ref="BH68:BH99" si="9">SUM(IF(AND(D68&lt;&gt;"",WEEKDAY(D$1,2)&lt;6),1,0),IF(AND(F68&lt;&gt;"",WEEKDAY(F$1,2)&lt;6),1,0),IF(AND(H68&lt;&gt;"",WEEKDAY(H$1,2)&lt;6),1,0),IF(AND(J68&lt;&gt;"",WEEKDAY(J$1,2)&lt;6),1,0),IF(AND(L68&lt;&gt;"",WEEKDAY(L$1,2)&lt;6),1,0),IF(AND(N68&lt;&gt;"",WEEKDAY(N$1,2)&lt;6),1,0),IF(AND(P68&lt;&gt;"",WEEKDAY(P$1,2)&lt;6),1,0),IF(AND(R68&lt;&gt;"",WEEKDAY(R$1,2)&lt;6),1,0),IF(AND(T68&lt;&gt;"",WEEKDAY(T$1,2)&lt;6),1,0),IF(AND(V68&lt;&gt;"",WEEKDAY(V$1,2)&lt;6),1,0),IF(AND(X68&lt;&gt;"",WEEKDAY(X$1,2)&lt;6),1,0),IF(AND(Z68&lt;&gt;"",WEEKDAY(Z$1,2)&lt;6),1,0),IF(AND(AB68&lt;&gt;"",WEEKDAY(AB$1,2)&lt;6),1,0),IF(AND(AD68&lt;&gt;"",WEEKDAY(AD$1,2)&lt;6),1,0),IF(AND(AF68&lt;&gt;"",WEEKDAY(AF$1,2)&lt;6),1,0),IF(AND(AH68&lt;&gt;"",WEEKDAY(AH$1,2)&lt;6),1,0),IF(AND(AJ68&lt;&gt;"",WEEKDAY(AJ$1,2)&lt;6),1,0),IF(AND(AL68&lt;&gt;"",WEEKDAY(AL$1,2)&lt;6),1,0),IF(AND(AN68&lt;&gt;"",WEEKDAY(AN$1,2)&lt;6),1,0),IF(AND(AP68&lt;&gt;"",WEEKDAY(AP$1,2)&lt;6),1,0),IF(AND(AR68&lt;&gt;"",WEEKDAY(AR$1,2)&lt;6),1,0),IF(AND(AT68&lt;&gt;"",WEEKDAY(AT$1,2)&lt;6),1,0),IF(AND(AV68&lt;&gt;"",WEEKDAY(AV$1,2)&lt;6),1,0),IF(AND(AX68&lt;&gt;"",WEEKDAY(AX$1,2)&lt;6),1,0),IF(AND(AZ68&lt;&gt;"",WEEKDAY(AZ$1,2)&lt;6),1,0),IF(AND(BB68&lt;&gt;"",WEEKDAY(BB$1,2)&lt;6),1,0),IF(AND(BD68&lt;&gt;"",WEEKDAY(BD$1,2)&lt;6),1,0),IF(AND(BF68&lt;&gt;"",WEEKDAY(BF$1,2)&lt;6),1,0))</f>
        <v>17</v>
      </c>
      <c r="BI68">
        <f t="shared" ref="BI68:BI99" si="10">SUM(IF(AND(E68&lt;&gt;"",WEEKDAY(D$1,2)&lt;6),1,0),IF(AND(G68&lt;&gt;"",WEEKDAY(F$1,2)&lt;6),1,0),IF(AND(I68&lt;&gt;"",WEEKDAY(H$1,2)&lt;6),1,0),IF(AND(K68&lt;&gt;"",WEEKDAY(J$1,2)&lt;6),1,0),IF(AND(M68&lt;&gt;"",WEEKDAY(L$1,2)&lt;6),1,0),IF(AND(O68&lt;&gt;"",WEEKDAY(N$1,2)&lt;6),1,0),IF(AND(Q68&lt;&gt;"",WEEKDAY(P$1,2)&lt;6),1,0),IF(AND(S68&lt;&gt;"",WEEKDAY(R$1,2)&lt;6),1,0),IF(AND(U68&lt;&gt;"",WEEKDAY(T$1,2)&lt;6),1,0),IF(AND(W68&lt;&gt;"",WEEKDAY(V$1,2)&lt;6),1,0),IF(AND(Y68&lt;&gt;"",WEEKDAY(X$1,2)&lt;6),1,0),IF(AND(AA68&lt;&gt;"",WEEKDAY(Z$1,2)&lt;6),1,0),IF(AND(AC68&lt;&gt;"",WEEKDAY(AB$1,2)&lt;6),1,0),IF(AND(AE68&lt;&gt;"",WEEKDAY(AD$1,2)&lt;6),1,0),IF(AND(AG68&lt;&gt;"",WEEKDAY(AF$1,2)&lt;6),1,0),IF(AND(AI68&lt;&gt;"",WEEKDAY(AH$1,2)&lt;6),1,0),IF(AND(AK68&lt;&gt;"",WEEKDAY(AJ$1,2)&lt;6),1,0),IF(AND(AM68&lt;&gt;"",WEEKDAY(AL$1,2)&lt;6),1,0),IF(AND(AO68&lt;&gt;"",WEEKDAY(AN$1,2)&lt;6),1,0),IF(AND(AQ68&lt;&gt;"",WEEKDAY(AP$1,2)&lt;6),1,0),IF(AND(AS68&lt;&gt;"",WEEKDAY(AR$1,2)&lt;6),1,0),IF(AND(AU68&lt;&gt;"",WEEKDAY(AT$1,2)&lt;6),1,0),IF(AND(AW68&lt;&gt;"",WEEKDAY(AV$1,2)&lt;6),1,0),IF(AND(AY68&lt;&gt;"",WEEKDAY(AX$1,2)&lt;6),1,0),IF(AND(BA68&lt;&gt;"",WEEKDAY(AZ$1,2)&lt;6),1,0),IF(AND(BC68&lt;&gt;"",WEEKDAY(BB$1,2)&lt;6),1,0),IF(AND(BE68&lt;&gt;"",WEEKDAY(BD$1,2)&lt;6),1,0),IF(AND(BG68&lt;&gt;"",WEEKDAY(BF$1,2)&lt;6),1,0))</f>
        <v>9</v>
      </c>
      <c r="BJ68">
        <f t="shared" ref="BJ68:BJ99" si="11">SUM(IF(AND((D68&lt;&gt;"" )+(E68&lt;&gt;""),WEEKDAY(D$1,2)=6),1,0),IF(AND((F68&lt;&gt;"" )+(G68&lt;&gt;""),WEEKDAY(F$1,2)=6),1,0),IF(AND((H68&lt;&gt;"" )+(I68&lt;&gt;""),WEEKDAY(H$1,2)=6),1,0),IF(AND((J68&lt;&gt;"" )+(K68&lt;&gt;""),WEEKDAY(J$1,2)=6),1,0),IF(AND((L68&lt;&gt;"" )+(M68&lt;&gt;""),WEEKDAY(L$1,2)=6),1,0),IF(AND((N68&lt;&gt;"" )+(O68&lt;&gt;""),WEEKDAY(N$1,2)=6),1,0),IF(AND((P68&lt;&gt;"" )+(Q68&lt;&gt;""),WEEKDAY(P$1,2)=6),1,0),IF(AND((R68&lt;&gt;"" )+(S68&lt;&gt;""),WEEKDAY(R$1,2)=6),1,0),IF(AND((T68&lt;&gt;"" )+(U68&lt;&gt;""),WEEKDAY(T$1,2)=6),1,0),IF(AND((V68&lt;&gt;"" )+(W68&lt;&gt;""),WEEKDAY(V$1,2)=6),1,0),IF(AND((X68&lt;&gt;"" )+(Y68&lt;&gt;""),WEEKDAY(X$1,2)=6),1,0),IF(AND((Z68&lt;&gt;"" )+(AA68&lt;&gt;""),WEEKDAY(Z$1,2)=6),1,0),IF(AND((AB68&lt;&gt;"" )+(AC68&lt;&gt;""),WEEKDAY(AB$1,2)=6),1,0),IF(AND((AD68&lt;&gt;"" )+(AE68&lt;&gt;""),WEEKDAY(AD$1,2)=6),1,0),IF(AND((AF68&lt;&gt;"" )+(AG68&lt;&gt;""),WEEKDAY(AF$1,2)=6),1,0),IF(AND((AH68&lt;&gt;"" )+(AI68&lt;&gt;""),WEEKDAY(AH$1,2)=6),1,0),IF(AND((AJ68&lt;&gt;"" )+(AK68&lt;&gt;""),WEEKDAY(AJ$1,2)=6),1,0),IF(AND((AL68&lt;&gt;"" )+(AM68&lt;&gt;""),WEEKDAY(AL$1,2)=6),1,0),IF(AND((AN68&lt;&gt;"" )+(AO68&lt;&gt;""),WEEKDAY(AN$1,2)=6),1,0),IF(AND((AP68&lt;&gt;"" )+(AQ68&lt;&gt;""),WEEKDAY(AP$1,2)=6),1,0),IF(AND((AR68&lt;&gt;"" )+(AS68&lt;&gt;""),WEEKDAY(AR$1,2)=6),1,0),IF(AND((AT68&lt;&gt;"" )+(AU68&lt;&gt;""),WEEKDAY(AT$1,2)=6),1,0),IF(AND((AV68&lt;&gt;"" )+(AW68&lt;&gt;""),WEEKDAY(AV$1,2)=6),1,0),IF(AND((AX68&lt;&gt;"" )+(AY68&lt;&gt;""),WEEKDAY(AX$1,2)=6),1,0),IF(AND((AZ68&lt;&gt;"" )+(BA68&lt;&gt;""),WEEKDAY(AZ$1,2)=6),1,0),IF(AND((BB68&lt;&gt;"" )+(BC68&lt;&gt;""),WEEKDAY(BB$1,2)=6),1,0),IF(AND((BD68&lt;&gt;"" )+(BE68&lt;&gt;""),WEEKDAY(BD$1,2)=6),1,0),IF(AND((BF68&lt;&gt;"" )+(BG68&lt;&gt;""),WEEKDAY(BF$1,2)=6),1,0))</f>
        <v>2</v>
      </c>
    </row>
    <row r="69" spans="1:62" hidden="1">
      <c r="A69" s="59" t="s">
        <v>108</v>
      </c>
      <c r="B69" s="60" t="s">
        <v>109</v>
      </c>
      <c r="C69" s="60" t="s">
        <v>111</v>
      </c>
      <c r="D69" s="54"/>
      <c r="E69" s="54"/>
      <c r="F69" s="57"/>
      <c r="G69" s="57"/>
      <c r="P69" s="56"/>
      <c r="Q69" s="56"/>
      <c r="R69" s="54"/>
      <c r="S69" s="54"/>
      <c r="AD69" s="56"/>
      <c r="AE69" s="56"/>
      <c r="AF69" s="54"/>
      <c r="AG69" s="54"/>
      <c r="AR69" s="56"/>
      <c r="AS69" s="56"/>
      <c r="AT69" s="54"/>
      <c r="AU69" s="54"/>
      <c r="BF69" s="56"/>
      <c r="BG69" s="56"/>
      <c r="BH69">
        <f t="shared" si="9"/>
        <v>0</v>
      </c>
      <c r="BI69">
        <f t="shared" si="10"/>
        <v>0</v>
      </c>
      <c r="BJ69">
        <f t="shared" si="11"/>
        <v>0</v>
      </c>
    </row>
    <row r="70" spans="1:62" hidden="1">
      <c r="A70" s="59" t="s">
        <v>108</v>
      </c>
      <c r="B70" s="60" t="s">
        <v>112</v>
      </c>
      <c r="C70" s="60" t="s">
        <v>113</v>
      </c>
      <c r="D70" s="54"/>
      <c r="E70" s="54"/>
      <c r="F70" s="57"/>
      <c r="G70" s="57"/>
      <c r="H70" s="53">
        <v>0.36180555555555555</v>
      </c>
      <c r="I70" s="53">
        <v>0.14374999999999999</v>
      </c>
      <c r="J70" s="53">
        <v>0.37152777777777779</v>
      </c>
      <c r="K70" s="53">
        <v>0.13125000000000001</v>
      </c>
      <c r="L70" s="53">
        <v>0.36944444444444446</v>
      </c>
      <c r="M70" s="53">
        <v>0.1875</v>
      </c>
      <c r="N70" s="53">
        <v>0.39513888888888887</v>
      </c>
      <c r="P70" s="69">
        <v>0.35138888888888886</v>
      </c>
      <c r="Q70" s="56"/>
      <c r="R70" s="54"/>
      <c r="S70" s="54"/>
      <c r="T70" s="53">
        <v>0.37638888888888888</v>
      </c>
      <c r="U70" s="53">
        <v>0.16875000000000001</v>
      </c>
      <c r="V70" s="53">
        <v>0.37361111111111112</v>
      </c>
      <c r="W70" s="53">
        <v>0.13333333333333333</v>
      </c>
      <c r="X70" s="53">
        <v>0.37291666666666667</v>
      </c>
      <c r="Y70" s="53">
        <v>0.12569444444444444</v>
      </c>
      <c r="Z70" s="53">
        <v>0.40625</v>
      </c>
      <c r="AA70" s="53">
        <v>0.1423611111111111</v>
      </c>
      <c r="AD70" s="56"/>
      <c r="AE70" s="56"/>
      <c r="AF70" s="54"/>
      <c r="AG70" s="54"/>
      <c r="AH70" s="53">
        <v>0.39305555555555555</v>
      </c>
      <c r="AI70" s="53">
        <v>0.15625</v>
      </c>
      <c r="AJ70" s="53">
        <v>0.45277777777777778</v>
      </c>
      <c r="AL70" s="53">
        <v>0.37916666666666665</v>
      </c>
      <c r="AM70" s="53">
        <v>0.14097222222222222</v>
      </c>
      <c r="AN70" s="53">
        <v>0.3840277777777778</v>
      </c>
      <c r="AP70" s="53">
        <v>0.3972222222222222</v>
      </c>
      <c r="AR70" s="56"/>
      <c r="AS70" s="56"/>
      <c r="AT70" s="54"/>
      <c r="AU70" s="54"/>
      <c r="AV70" s="53">
        <v>0.40763888888888888</v>
      </c>
      <c r="AW70" s="53">
        <v>0.1361111111111111</v>
      </c>
      <c r="AY70" s="53">
        <v>0.11736111111111111</v>
      </c>
      <c r="AZ70" s="53">
        <v>0.40694444444444444</v>
      </c>
      <c r="BA70" s="53">
        <v>0.13958333333333334</v>
      </c>
      <c r="BD70" s="53">
        <v>0.37013888888888891</v>
      </c>
      <c r="BE70" s="53">
        <v>0.11388888888888889</v>
      </c>
      <c r="BF70" s="56"/>
      <c r="BG70" s="56"/>
      <c r="BH70">
        <f t="shared" si="9"/>
        <v>16</v>
      </c>
      <c r="BI70">
        <f t="shared" si="10"/>
        <v>13</v>
      </c>
      <c r="BJ70">
        <f t="shared" si="11"/>
        <v>1</v>
      </c>
    </row>
    <row r="71" spans="1:62" hidden="1">
      <c r="A71" s="59" t="s">
        <v>108</v>
      </c>
      <c r="B71" s="60" t="s">
        <v>112</v>
      </c>
      <c r="C71" s="60" t="s">
        <v>114</v>
      </c>
      <c r="D71" s="54"/>
      <c r="E71" s="54"/>
      <c r="F71" s="57"/>
      <c r="G71" s="57"/>
      <c r="P71" s="56"/>
      <c r="Q71" s="56"/>
      <c r="R71" s="54"/>
      <c r="S71" s="54"/>
      <c r="AB71" s="53">
        <v>0.37013888888888891</v>
      </c>
      <c r="AC71" s="53">
        <v>0.14583333333333334</v>
      </c>
      <c r="AD71" s="56"/>
      <c r="AE71" s="56"/>
      <c r="AF71" s="54"/>
      <c r="AG71" s="54"/>
      <c r="AR71" s="56"/>
      <c r="AS71" s="56"/>
      <c r="AT71" s="54"/>
      <c r="AU71" s="54"/>
      <c r="BD71" s="53">
        <v>0.36875000000000002</v>
      </c>
      <c r="BF71" s="69">
        <v>0.3576388888888889</v>
      </c>
      <c r="BG71" s="56"/>
      <c r="BH71">
        <f t="shared" si="9"/>
        <v>2</v>
      </c>
      <c r="BI71">
        <f t="shared" si="10"/>
        <v>1</v>
      </c>
      <c r="BJ71">
        <f t="shared" si="11"/>
        <v>1</v>
      </c>
    </row>
    <row r="72" spans="1:62" hidden="1">
      <c r="A72" s="59" t="s">
        <v>108</v>
      </c>
      <c r="B72" s="60" t="s">
        <v>115</v>
      </c>
      <c r="C72" s="60" t="s">
        <v>116</v>
      </c>
      <c r="D72" s="54"/>
      <c r="E72" s="54"/>
      <c r="F72" s="57"/>
      <c r="G72" s="57"/>
      <c r="H72" s="53">
        <v>0.35694444444444445</v>
      </c>
      <c r="I72" s="53">
        <v>0.16527777777777777</v>
      </c>
      <c r="J72" s="53">
        <v>0.37222222222222223</v>
      </c>
      <c r="K72" s="53">
        <v>0.15902777777777777</v>
      </c>
      <c r="L72" s="53">
        <v>0.37638888888888888</v>
      </c>
      <c r="M72" s="53">
        <v>0.17083333333333334</v>
      </c>
      <c r="N72" s="53">
        <v>0.36041666666666666</v>
      </c>
      <c r="O72" s="53">
        <v>0.14305555555555555</v>
      </c>
      <c r="P72" s="56"/>
      <c r="Q72" s="56"/>
      <c r="R72" s="54"/>
      <c r="S72" s="54"/>
      <c r="T72" s="53">
        <v>0.36249999999999999</v>
      </c>
      <c r="U72" s="53">
        <v>0.18541666666666667</v>
      </c>
      <c r="V72" s="53">
        <v>0.36249999999999999</v>
      </c>
      <c r="W72" s="53">
        <v>0.1423611111111111</v>
      </c>
      <c r="X72" s="53">
        <v>0.39027777777777778</v>
      </c>
      <c r="Y72" s="53">
        <v>0.32569444444444445</v>
      </c>
      <c r="Z72" s="53">
        <v>0.39027777777777778</v>
      </c>
      <c r="AA72" s="53">
        <v>0.17986111111111111</v>
      </c>
      <c r="AB72" s="53">
        <v>0.3659722222222222</v>
      </c>
      <c r="AC72" s="53">
        <v>0.15</v>
      </c>
      <c r="AD72" s="56"/>
      <c r="AE72" s="56"/>
      <c r="AF72" s="54"/>
      <c r="AG72" s="54"/>
      <c r="AH72" s="53">
        <v>0.39583333333333331</v>
      </c>
      <c r="AI72" s="53">
        <v>0.1701388888888889</v>
      </c>
      <c r="AJ72" s="53">
        <v>0.37777777777777777</v>
      </c>
      <c r="AK72" s="53">
        <v>0.16041666666666668</v>
      </c>
      <c r="AL72" s="53">
        <v>0.38333333333333336</v>
      </c>
      <c r="AM72" s="53">
        <v>0.17916666666666667</v>
      </c>
      <c r="AN72" s="53">
        <v>0.36041666666666666</v>
      </c>
      <c r="AO72" s="53">
        <v>0.16527777777777777</v>
      </c>
      <c r="AP72" s="53">
        <v>0.37291666666666667</v>
      </c>
      <c r="AQ72" s="53">
        <v>0.13958333333333334</v>
      </c>
      <c r="AR72" s="56"/>
      <c r="AS72" s="56"/>
      <c r="AT72" s="54"/>
      <c r="AU72" s="54"/>
      <c r="AV72" s="53">
        <v>0.35833333333333334</v>
      </c>
      <c r="AW72" s="53">
        <v>0.15347222222222223</v>
      </c>
      <c r="AX72" s="53">
        <v>0.37291666666666667</v>
      </c>
      <c r="AY72" s="53">
        <v>0.14930555555555555</v>
      </c>
      <c r="AZ72" s="53">
        <v>0.3659722222222222</v>
      </c>
      <c r="BA72" s="53">
        <v>0.16041666666666668</v>
      </c>
      <c r="BB72" s="53">
        <v>0.37083333333333335</v>
      </c>
      <c r="BC72" s="53">
        <v>0.17083333333333334</v>
      </c>
      <c r="BD72" s="53">
        <v>0.36736111111111114</v>
      </c>
      <c r="BE72" s="53">
        <v>0.16458333333333333</v>
      </c>
      <c r="BF72" s="56"/>
      <c r="BG72" s="56"/>
      <c r="BH72">
        <f t="shared" si="9"/>
        <v>19</v>
      </c>
      <c r="BI72">
        <f t="shared" si="10"/>
        <v>19</v>
      </c>
      <c r="BJ72">
        <f t="shared" si="11"/>
        <v>0</v>
      </c>
    </row>
    <row r="73" spans="1:62" hidden="1">
      <c r="A73" s="59" t="s">
        <v>108</v>
      </c>
      <c r="B73" s="60" t="s">
        <v>117</v>
      </c>
      <c r="C73" s="60" t="s">
        <v>118</v>
      </c>
      <c r="D73" s="54"/>
      <c r="E73" s="54"/>
      <c r="F73" s="57"/>
      <c r="G73" s="57"/>
      <c r="H73" s="53">
        <v>0.37777777777777777</v>
      </c>
      <c r="I73" s="53">
        <v>0.16666666666666666</v>
      </c>
      <c r="J73" s="53">
        <v>0.40902777777777777</v>
      </c>
      <c r="K73" s="53">
        <v>0.17152777777777778</v>
      </c>
      <c r="L73" s="53">
        <v>0.37777777777777777</v>
      </c>
      <c r="M73" s="53">
        <v>0.18402777777777779</v>
      </c>
      <c r="N73" s="53">
        <v>0.39861111111111114</v>
      </c>
      <c r="O73" s="53">
        <v>0.15277777777777779</v>
      </c>
      <c r="P73" s="56"/>
      <c r="Q73" s="56"/>
      <c r="R73" s="54"/>
      <c r="S73" s="54"/>
      <c r="T73" s="53">
        <v>0.39305555555555555</v>
      </c>
      <c r="U73" s="53">
        <v>0.18194444444444444</v>
      </c>
      <c r="V73" s="53">
        <v>0.35694444444444445</v>
      </c>
      <c r="W73" s="53">
        <v>0.17152777777777778</v>
      </c>
      <c r="X73" s="53">
        <v>0.42291666666666666</v>
      </c>
      <c r="Y73" s="53">
        <v>0.17499999999999999</v>
      </c>
      <c r="Z73" s="53">
        <v>0.37291666666666667</v>
      </c>
      <c r="AA73" s="53">
        <v>0.16527777777777777</v>
      </c>
      <c r="AB73" s="53">
        <v>0.37986111111111109</v>
      </c>
      <c r="AC73" s="53">
        <v>0.18124999999999999</v>
      </c>
      <c r="AD73" s="56"/>
      <c r="AE73" s="56"/>
      <c r="AF73" s="54"/>
      <c r="AG73" s="54"/>
      <c r="AH73" s="53">
        <v>0.40277777777777779</v>
      </c>
      <c r="AI73" s="53">
        <v>0.17222222222222222</v>
      </c>
      <c r="AJ73" s="53">
        <v>0.37638888888888888</v>
      </c>
      <c r="AK73" s="53">
        <v>0.2298611111111111</v>
      </c>
      <c r="AL73" s="53">
        <v>0.375</v>
      </c>
      <c r="AN73" s="53">
        <v>0.34652777777777777</v>
      </c>
      <c r="AO73" s="53">
        <v>0.19027777777777777</v>
      </c>
      <c r="AP73" s="53">
        <v>0.37777777777777777</v>
      </c>
      <c r="AQ73" s="53">
        <v>0.18472222222222223</v>
      </c>
      <c r="AR73" s="56"/>
      <c r="AS73" s="56"/>
      <c r="AT73" s="54"/>
      <c r="AU73" s="54"/>
      <c r="AV73" s="53">
        <v>0.37847222222222221</v>
      </c>
      <c r="AW73" s="53">
        <v>0.1736111111111111</v>
      </c>
      <c r="AX73" s="53">
        <v>0.3888888888888889</v>
      </c>
      <c r="AY73" s="53">
        <v>0.15069444444444444</v>
      </c>
      <c r="AZ73" s="53">
        <v>0.37013888888888891</v>
      </c>
      <c r="BA73" s="53">
        <v>0.2013888888888889</v>
      </c>
      <c r="BB73" s="53">
        <v>0.37569444444444444</v>
      </c>
      <c r="BC73" s="53">
        <v>0.17499999999999999</v>
      </c>
      <c r="BD73" s="53">
        <v>0.38611111111111113</v>
      </c>
      <c r="BE73" s="53">
        <v>0.15347222222222223</v>
      </c>
      <c r="BF73" s="56"/>
      <c r="BG73" s="56"/>
      <c r="BH73">
        <f t="shared" si="9"/>
        <v>19</v>
      </c>
      <c r="BI73">
        <f t="shared" si="10"/>
        <v>18</v>
      </c>
      <c r="BJ73">
        <f t="shared" si="11"/>
        <v>0</v>
      </c>
    </row>
    <row r="74" spans="1:62" hidden="1">
      <c r="A74" s="59" t="s">
        <v>108</v>
      </c>
      <c r="B74" s="60" t="s">
        <v>119</v>
      </c>
      <c r="C74" s="60" t="s">
        <v>120</v>
      </c>
      <c r="D74" s="54"/>
      <c r="E74" s="54"/>
      <c r="F74" s="57"/>
      <c r="G74" s="57"/>
      <c r="H74" s="53">
        <v>0.38819444444444445</v>
      </c>
      <c r="I74" s="53">
        <v>0.14722222222222223</v>
      </c>
      <c r="J74" s="53">
        <v>0.37430555555555556</v>
      </c>
      <c r="K74" s="53">
        <v>0.13819444444444445</v>
      </c>
      <c r="L74" s="53">
        <v>0.37569444444444444</v>
      </c>
      <c r="M74" s="53">
        <v>0.13680555555555557</v>
      </c>
      <c r="N74" s="53">
        <v>0.36458333333333331</v>
      </c>
      <c r="O74" s="53">
        <v>0.22569444444444445</v>
      </c>
      <c r="P74" s="56"/>
      <c r="Q74" s="56"/>
      <c r="R74" s="54"/>
      <c r="S74" s="54"/>
      <c r="T74" s="53">
        <v>0.36805555555555558</v>
      </c>
      <c r="U74" s="53">
        <v>0.17083333333333334</v>
      </c>
      <c r="V74" s="53">
        <v>0.42499999999999999</v>
      </c>
      <c r="W74" s="53">
        <v>0.16875000000000001</v>
      </c>
      <c r="X74" s="53">
        <v>0.38611111111111113</v>
      </c>
      <c r="Y74" s="53">
        <v>0.1388888888888889</v>
      </c>
      <c r="Z74" s="53">
        <v>0.38194444444444442</v>
      </c>
      <c r="AA74" s="53">
        <v>0.13958333333333334</v>
      </c>
      <c r="AB74" s="53">
        <v>0.37569444444444444</v>
      </c>
      <c r="AC74" s="53">
        <v>0.16805555555555557</v>
      </c>
      <c r="AD74" s="56"/>
      <c r="AE74" s="56"/>
      <c r="AF74" s="54"/>
      <c r="AG74" s="54"/>
      <c r="AH74" s="53">
        <v>0.37083333333333335</v>
      </c>
      <c r="AJ74" s="53">
        <v>0.37569444444444444</v>
      </c>
      <c r="AK74" s="53">
        <v>0.14166666666666666</v>
      </c>
      <c r="AL74" s="53">
        <v>0.375</v>
      </c>
      <c r="AM74" s="53">
        <v>0.17708333333333334</v>
      </c>
      <c r="AN74" s="53">
        <v>0.37083333333333335</v>
      </c>
      <c r="AP74" s="53">
        <v>0.375</v>
      </c>
      <c r="AQ74" s="53">
        <v>0.12986111111111112</v>
      </c>
      <c r="AR74" s="56"/>
      <c r="AS74" s="56"/>
      <c r="AT74" s="54"/>
      <c r="AU74" s="54"/>
      <c r="AV74" s="53">
        <v>0.3888888888888889</v>
      </c>
      <c r="AW74" s="53">
        <v>0.13541666666666666</v>
      </c>
      <c r="AX74" s="53">
        <v>0.375</v>
      </c>
      <c r="AY74" s="53">
        <v>0.22777777777777777</v>
      </c>
      <c r="AZ74" s="53">
        <v>0.40486111111111112</v>
      </c>
      <c r="BA74" s="53">
        <v>0.16111111111111112</v>
      </c>
      <c r="BC74" s="53">
        <v>0.1673611111111111</v>
      </c>
      <c r="BD74" s="53">
        <v>0.40555555555555556</v>
      </c>
      <c r="BE74" s="53">
        <v>0.15555555555555556</v>
      </c>
      <c r="BF74" s="56"/>
      <c r="BG74" s="56"/>
      <c r="BH74">
        <f t="shared" si="9"/>
        <v>18</v>
      </c>
      <c r="BI74">
        <f t="shared" si="10"/>
        <v>17</v>
      </c>
      <c r="BJ74">
        <f t="shared" si="11"/>
        <v>0</v>
      </c>
    </row>
    <row r="75" spans="1:62" hidden="1">
      <c r="A75" s="59" t="s">
        <v>108</v>
      </c>
      <c r="B75" s="60" t="s">
        <v>121</v>
      </c>
      <c r="C75" s="60" t="s">
        <v>122</v>
      </c>
      <c r="D75" s="54"/>
      <c r="E75" s="54"/>
      <c r="F75" s="57"/>
      <c r="G75" s="57"/>
      <c r="I75" s="53">
        <v>0.16111111111111112</v>
      </c>
      <c r="K75" s="53">
        <v>0.12986111111111112</v>
      </c>
      <c r="L75" s="53">
        <v>0.44930555555555557</v>
      </c>
      <c r="M75" s="53">
        <v>0.14583333333333334</v>
      </c>
      <c r="O75" s="53">
        <v>0.14722222222222223</v>
      </c>
      <c r="P75" s="56"/>
      <c r="Q75" s="56"/>
      <c r="R75" s="54"/>
      <c r="S75" s="54"/>
      <c r="U75" s="53">
        <v>0.23125000000000001</v>
      </c>
      <c r="W75" s="53">
        <v>0.1763888888888889</v>
      </c>
      <c r="Y75" s="53">
        <v>0.17291666666666666</v>
      </c>
      <c r="AA75" s="53">
        <v>0.19027777777777777</v>
      </c>
      <c r="AD75" s="56"/>
      <c r="AE75" s="56"/>
      <c r="AF75" s="54"/>
      <c r="AG75" s="54"/>
      <c r="AI75" s="53">
        <v>0.18263888888888888</v>
      </c>
      <c r="AK75" s="53">
        <v>0.28263888888888888</v>
      </c>
      <c r="AM75" s="53">
        <v>0.18333333333333332</v>
      </c>
      <c r="AO75" s="53">
        <v>0.17499999999999999</v>
      </c>
      <c r="AR75" s="56"/>
      <c r="AS75" s="56"/>
      <c r="AT75" s="54"/>
      <c r="AU75" s="54"/>
      <c r="AY75" s="53">
        <v>0.21041666666666667</v>
      </c>
      <c r="BA75" s="53">
        <v>0.16875000000000001</v>
      </c>
      <c r="BF75" s="56"/>
      <c r="BG75" s="56"/>
      <c r="BH75">
        <f t="shared" si="9"/>
        <v>1</v>
      </c>
      <c r="BI75">
        <f t="shared" si="10"/>
        <v>14</v>
      </c>
      <c r="BJ75">
        <f t="shared" si="11"/>
        <v>0</v>
      </c>
    </row>
    <row r="76" spans="1:62" hidden="1">
      <c r="A76" s="59" t="s">
        <v>123</v>
      </c>
      <c r="B76" s="60" t="s">
        <v>124</v>
      </c>
      <c r="C76" s="60" t="s">
        <v>125</v>
      </c>
      <c r="D76" s="54"/>
      <c r="E76" s="54"/>
      <c r="F76" s="57"/>
      <c r="G76" s="57"/>
      <c r="H76" s="53">
        <v>0.39166666666666666</v>
      </c>
      <c r="I76" s="53">
        <v>0.16180555555555556</v>
      </c>
      <c r="J76" s="53">
        <v>0.4236111111111111</v>
      </c>
      <c r="K76" s="53">
        <v>0.14374999999999999</v>
      </c>
      <c r="L76" s="53">
        <v>0.34305555555555556</v>
      </c>
      <c r="M76" s="53">
        <v>0.10208333333333333</v>
      </c>
      <c r="N76" s="53">
        <v>0.3611111111111111</v>
      </c>
      <c r="P76" s="69">
        <v>0.39166666666666666</v>
      </c>
      <c r="Q76" s="56"/>
      <c r="R76" s="54"/>
      <c r="S76" s="54"/>
      <c r="T76" s="53">
        <v>0.34513888888888888</v>
      </c>
      <c r="U76" s="53">
        <v>0.13680555555555557</v>
      </c>
      <c r="V76" s="53">
        <v>0.35833333333333334</v>
      </c>
      <c r="W76" s="53">
        <v>0.13333333333333333</v>
      </c>
      <c r="X76" s="53">
        <v>0.3611111111111111</v>
      </c>
      <c r="Y76" s="53">
        <v>0.15069444444444444</v>
      </c>
      <c r="Z76" s="53">
        <v>0.39097222222222222</v>
      </c>
      <c r="AA76" s="53">
        <v>0.14444444444444443</v>
      </c>
      <c r="AB76" s="53">
        <v>0.47083333333333333</v>
      </c>
      <c r="AC76" s="53">
        <v>0.17499999999999999</v>
      </c>
      <c r="AD76" s="69">
        <v>0.38124999999999998</v>
      </c>
      <c r="AE76" s="56"/>
      <c r="AF76" s="54"/>
      <c r="AG76" s="54"/>
      <c r="AH76" s="53">
        <v>0.36805555555555558</v>
      </c>
      <c r="AI76" s="53">
        <v>0.20833333333333334</v>
      </c>
      <c r="AJ76" s="53">
        <v>0.35555555555555557</v>
      </c>
      <c r="AK76" s="53">
        <v>0.19097222222222221</v>
      </c>
      <c r="AL76" s="53">
        <v>0.36319444444444443</v>
      </c>
      <c r="AM76" s="53">
        <v>0.14583333333333334</v>
      </c>
      <c r="AN76" s="53">
        <v>0.39791666666666664</v>
      </c>
      <c r="AO76" s="53">
        <v>0.15694444444444444</v>
      </c>
      <c r="AP76" s="53">
        <v>0.39513888888888887</v>
      </c>
      <c r="AQ76" s="53">
        <v>0.1361111111111111</v>
      </c>
      <c r="AR76" s="69">
        <v>0.38680555555555557</v>
      </c>
      <c r="AS76" s="69">
        <v>0.51041666666666663</v>
      </c>
      <c r="AT76" s="54"/>
      <c r="AU76" s="54"/>
      <c r="AV76" s="53">
        <v>0.35347222222222224</v>
      </c>
      <c r="AZ76" s="53">
        <v>0.35486111111111113</v>
      </c>
      <c r="BA76" s="53">
        <v>0.14374999999999999</v>
      </c>
      <c r="BB76" s="53">
        <v>0.36736111111111114</v>
      </c>
      <c r="BC76" s="53">
        <v>0.13402777777777777</v>
      </c>
      <c r="BD76" s="53">
        <v>0.36527777777777776</v>
      </c>
      <c r="BE76" s="53">
        <v>0.19236111111111112</v>
      </c>
      <c r="BF76" s="69">
        <v>0.33819444444444446</v>
      </c>
      <c r="BG76" s="56"/>
      <c r="BH76">
        <f t="shared" si="9"/>
        <v>18</v>
      </c>
      <c r="BI76">
        <f t="shared" si="10"/>
        <v>16</v>
      </c>
      <c r="BJ76">
        <f t="shared" si="11"/>
        <v>4</v>
      </c>
    </row>
    <row r="77" spans="1:62" hidden="1">
      <c r="A77" s="59" t="s">
        <v>123</v>
      </c>
      <c r="B77" s="60" t="s">
        <v>126</v>
      </c>
      <c r="C77" s="60" t="s">
        <v>127</v>
      </c>
      <c r="D77" s="54"/>
      <c r="E77" s="54"/>
      <c r="F77" s="57"/>
      <c r="G77" s="57"/>
      <c r="H77" s="53">
        <v>0.38750000000000001</v>
      </c>
      <c r="I77" s="53">
        <v>0.16111111111111112</v>
      </c>
      <c r="J77" s="53">
        <v>0.35902777777777778</v>
      </c>
      <c r="K77" s="53">
        <v>0.18194444444444444</v>
      </c>
      <c r="L77" s="53">
        <v>0.36527777777777776</v>
      </c>
      <c r="M77" s="53">
        <v>0.18194444444444444</v>
      </c>
      <c r="N77" s="53">
        <v>0.32083333333333336</v>
      </c>
      <c r="P77" s="69">
        <v>0.39027777777777778</v>
      </c>
      <c r="Q77" s="69">
        <v>6.1111111111111109E-2</v>
      </c>
      <c r="R77" s="54"/>
      <c r="S77" s="54"/>
      <c r="T77" s="53">
        <v>0.37777777777777777</v>
      </c>
      <c r="U77" s="53">
        <v>0.16111111111111112</v>
      </c>
      <c r="V77" s="53">
        <v>0.3527777777777778</v>
      </c>
      <c r="W77" s="53">
        <v>0.19375000000000001</v>
      </c>
      <c r="X77" s="53">
        <v>0.38611111111111113</v>
      </c>
      <c r="Y77" s="53">
        <v>0.16041666666666668</v>
      </c>
      <c r="Z77" s="53">
        <v>0.3888888888888889</v>
      </c>
      <c r="AA77" s="53">
        <v>0.16458333333333333</v>
      </c>
      <c r="AB77" s="53">
        <v>0.37777777777777777</v>
      </c>
      <c r="AC77" s="53">
        <v>0.15208333333333332</v>
      </c>
      <c r="AD77" s="56"/>
      <c r="AE77" s="56"/>
      <c r="AF77" s="54"/>
      <c r="AG77" s="54"/>
      <c r="AH77" s="53">
        <v>0.36805555555555558</v>
      </c>
      <c r="AI77" s="53">
        <v>0.16597222222222222</v>
      </c>
      <c r="AJ77" s="53">
        <v>0.35208333333333336</v>
      </c>
      <c r="AK77" s="53">
        <v>0.15416666666666667</v>
      </c>
      <c r="AL77" s="53">
        <v>0.37361111111111112</v>
      </c>
      <c r="AM77" s="53">
        <v>0.16319444444444445</v>
      </c>
      <c r="AN77" s="53">
        <v>0.35208333333333336</v>
      </c>
      <c r="AO77" s="53">
        <v>0.17499999999999999</v>
      </c>
      <c r="AP77" s="53">
        <v>0.37986111111111109</v>
      </c>
      <c r="AQ77" s="53">
        <v>0.17430555555555555</v>
      </c>
      <c r="AR77" s="56"/>
      <c r="AS77" s="69">
        <v>4.3749999999999997E-2</v>
      </c>
      <c r="AT77" s="54"/>
      <c r="AU77" s="54"/>
      <c r="AZ77" s="53">
        <v>0.375</v>
      </c>
      <c r="BA77" s="53">
        <v>0.1736111111111111</v>
      </c>
      <c r="BB77" s="53">
        <v>0.35486111111111113</v>
      </c>
      <c r="BC77" s="53">
        <v>0.18680555555555556</v>
      </c>
      <c r="BD77" s="53">
        <v>0.37986111111111109</v>
      </c>
      <c r="BE77" s="53">
        <v>0.20972222222222223</v>
      </c>
      <c r="BF77" s="69">
        <v>0.38194444444444442</v>
      </c>
      <c r="BG77" s="56"/>
      <c r="BH77">
        <f t="shared" si="9"/>
        <v>17</v>
      </c>
      <c r="BI77">
        <f t="shared" si="10"/>
        <v>16</v>
      </c>
      <c r="BJ77">
        <f t="shared" si="11"/>
        <v>3</v>
      </c>
    </row>
    <row r="78" spans="1:62" hidden="1">
      <c r="A78" s="59" t="s">
        <v>123</v>
      </c>
      <c r="B78" s="60" t="s">
        <v>128</v>
      </c>
      <c r="C78" s="60" t="s">
        <v>129</v>
      </c>
      <c r="D78" s="54"/>
      <c r="E78" s="54"/>
      <c r="F78" s="57"/>
      <c r="G78" s="57"/>
      <c r="H78" s="53">
        <v>0.39513888888888887</v>
      </c>
      <c r="J78" s="53">
        <v>0.39583333333333331</v>
      </c>
      <c r="K78" s="53">
        <v>0.19583333333333333</v>
      </c>
      <c r="L78" s="53">
        <v>0.36041666666666666</v>
      </c>
      <c r="M78" s="53">
        <v>0.15972222222222221</v>
      </c>
      <c r="N78" s="53">
        <v>0.36319444444444443</v>
      </c>
      <c r="P78" s="56"/>
      <c r="Q78" s="56"/>
      <c r="R78" s="54"/>
      <c r="S78" s="54"/>
      <c r="T78" s="53">
        <v>0.36180555555555555</v>
      </c>
      <c r="AD78" s="56"/>
      <c r="AE78" s="69">
        <v>0.51111111111111107</v>
      </c>
      <c r="AF78" s="54"/>
      <c r="AG78" s="54"/>
      <c r="AH78" s="53">
        <v>0.38541666666666669</v>
      </c>
      <c r="AI78" s="53">
        <v>0.21666666666666667</v>
      </c>
      <c r="AJ78" s="53">
        <v>0.35069444444444442</v>
      </c>
      <c r="AK78" s="53">
        <v>0.17708333333333334</v>
      </c>
      <c r="AL78" s="53">
        <v>0.37152777777777779</v>
      </c>
      <c r="AM78" s="53">
        <v>0.18055555555555555</v>
      </c>
      <c r="AN78" s="53">
        <v>0.35694444444444445</v>
      </c>
      <c r="AP78" s="53">
        <v>0.35625000000000001</v>
      </c>
      <c r="AQ78" s="53">
        <v>0.16666666666666666</v>
      </c>
      <c r="AR78" s="69">
        <v>0.3972222222222222</v>
      </c>
      <c r="AS78" s="56"/>
      <c r="AT78" s="54"/>
      <c r="AU78" s="54"/>
      <c r="AZ78" s="53">
        <v>0.39444444444444443</v>
      </c>
      <c r="BB78" s="53">
        <v>0.38472222222222224</v>
      </c>
      <c r="BD78" s="53">
        <v>0.37083333333333335</v>
      </c>
      <c r="BE78" s="53">
        <v>0.15138888888888888</v>
      </c>
      <c r="BF78" s="56"/>
      <c r="BG78" s="56"/>
      <c r="BH78">
        <f t="shared" si="9"/>
        <v>13</v>
      </c>
      <c r="BI78">
        <f t="shared" si="10"/>
        <v>7</v>
      </c>
      <c r="BJ78">
        <f t="shared" si="11"/>
        <v>2</v>
      </c>
    </row>
    <row r="79" spans="1:62" hidden="1">
      <c r="A79" s="59" t="s">
        <v>123</v>
      </c>
      <c r="B79" s="60" t="s">
        <v>130</v>
      </c>
      <c r="C79" s="60" t="s">
        <v>131</v>
      </c>
      <c r="D79" s="54"/>
      <c r="E79" s="54"/>
      <c r="F79" s="57"/>
      <c r="G79" s="57"/>
      <c r="H79" s="53">
        <v>0.39027777777777778</v>
      </c>
      <c r="I79" s="53">
        <v>0.18402777777777779</v>
      </c>
      <c r="J79" s="53">
        <v>0.38750000000000001</v>
      </c>
      <c r="K79" s="53">
        <v>0.17222222222222222</v>
      </c>
      <c r="L79" s="53">
        <v>0.38750000000000001</v>
      </c>
      <c r="M79" s="53">
        <v>0.20208333333333334</v>
      </c>
      <c r="N79" s="53">
        <v>0.38055555555555554</v>
      </c>
      <c r="P79" s="69">
        <v>0.41041666666666665</v>
      </c>
      <c r="Q79" s="56"/>
      <c r="R79" s="54"/>
      <c r="S79" s="54"/>
      <c r="V79" s="53">
        <v>0.36805555555555558</v>
      </c>
      <c r="X79" s="53">
        <v>0.36805555555555558</v>
      </c>
      <c r="Y79" s="53">
        <v>0.22222222222222221</v>
      </c>
      <c r="Z79" s="53">
        <v>0.35486111111111113</v>
      </c>
      <c r="AA79" s="53">
        <v>0.18124999999999999</v>
      </c>
      <c r="AB79" s="53">
        <v>0.37222222222222223</v>
      </c>
      <c r="AC79" s="53">
        <v>0.1701388888888889</v>
      </c>
      <c r="AD79" s="56"/>
      <c r="AE79" s="56"/>
      <c r="AF79" s="54"/>
      <c r="AG79" s="54"/>
      <c r="AJ79" s="53">
        <v>0.37916666666666665</v>
      </c>
      <c r="AK79" s="53">
        <v>0.19444444444444445</v>
      </c>
      <c r="AL79" s="53">
        <v>0.37083333333333335</v>
      </c>
      <c r="AM79" s="53">
        <v>0.18611111111111112</v>
      </c>
      <c r="AN79" s="53">
        <v>0.39097222222222222</v>
      </c>
      <c r="AO79" s="53">
        <v>0.18124999999999999</v>
      </c>
      <c r="AP79" s="53">
        <v>0.39444444444444443</v>
      </c>
      <c r="AR79" s="69">
        <v>0.41597222222222224</v>
      </c>
      <c r="AS79" s="56"/>
      <c r="AT79" s="54"/>
      <c r="AU79" s="54"/>
      <c r="AZ79" s="53">
        <v>0.37638888888888888</v>
      </c>
      <c r="BB79" s="53">
        <v>0.37013888888888891</v>
      </c>
      <c r="BC79" s="53">
        <v>0.21597222222222223</v>
      </c>
      <c r="BD79" s="53">
        <v>0.36527777777777776</v>
      </c>
      <c r="BE79" s="53">
        <v>0.20208333333333334</v>
      </c>
      <c r="BF79" s="56"/>
      <c r="BG79" s="56"/>
      <c r="BH79">
        <f t="shared" si="9"/>
        <v>15</v>
      </c>
      <c r="BI79">
        <f t="shared" si="10"/>
        <v>11</v>
      </c>
      <c r="BJ79">
        <f t="shared" si="11"/>
        <v>2</v>
      </c>
    </row>
    <row r="80" spans="1:62" hidden="1">
      <c r="A80" s="59" t="s">
        <v>123</v>
      </c>
      <c r="B80" s="60" t="s">
        <v>132</v>
      </c>
      <c r="C80" s="60" t="s">
        <v>133</v>
      </c>
      <c r="D80" s="54"/>
      <c r="E80" s="54"/>
      <c r="F80" s="57"/>
      <c r="G80" s="57"/>
      <c r="H80" s="53">
        <v>0.38194444444444442</v>
      </c>
      <c r="I80" s="53">
        <v>0.1451388888888889</v>
      </c>
      <c r="J80" s="53">
        <v>0.36458333333333331</v>
      </c>
      <c r="K80" s="53">
        <v>0.14652777777777778</v>
      </c>
      <c r="L80" s="53">
        <v>0.40069444444444446</v>
      </c>
      <c r="M80" s="53">
        <v>0.13263888888888889</v>
      </c>
      <c r="N80" s="53">
        <v>0.3576388888888889</v>
      </c>
      <c r="P80" s="69">
        <v>0.3972222222222222</v>
      </c>
      <c r="Q80" s="56"/>
      <c r="R80" s="54"/>
      <c r="S80" s="54"/>
      <c r="T80" s="53">
        <v>0.38541666666666669</v>
      </c>
      <c r="U80" s="53">
        <v>0.15694444444444444</v>
      </c>
      <c r="V80" s="53">
        <v>0.37569444444444444</v>
      </c>
      <c r="W80" s="53">
        <v>0.14374999999999999</v>
      </c>
      <c r="X80" s="53">
        <v>0.37083333333333335</v>
      </c>
      <c r="Y80" s="53">
        <v>0.15347222222222223</v>
      </c>
      <c r="Z80" s="53">
        <v>0.37222222222222223</v>
      </c>
      <c r="AA80" s="53">
        <v>0.13958333333333334</v>
      </c>
      <c r="AB80" s="53">
        <v>0.375</v>
      </c>
      <c r="AC80" s="53">
        <v>0.13958333333333334</v>
      </c>
      <c r="AD80" s="69">
        <v>0.41944444444444445</v>
      </c>
      <c r="AE80" s="56"/>
      <c r="AF80" s="54"/>
      <c r="AG80" s="54"/>
      <c r="AH80" s="53">
        <v>0.39583333333333331</v>
      </c>
      <c r="AI80" s="53">
        <v>0.14027777777777778</v>
      </c>
      <c r="AJ80" s="53">
        <v>0.40347222222222223</v>
      </c>
      <c r="AK80" s="53">
        <v>0.13958333333333334</v>
      </c>
      <c r="AL80" s="53">
        <v>0.38055555555555554</v>
      </c>
      <c r="AM80" s="53">
        <v>0.15347222222222223</v>
      </c>
      <c r="AN80" s="53">
        <v>0.39861111111111114</v>
      </c>
      <c r="AO80" s="53">
        <v>0.15069444444444444</v>
      </c>
      <c r="AP80" s="53">
        <v>0.48749999999999999</v>
      </c>
      <c r="AQ80" s="53">
        <v>0.14652777777777778</v>
      </c>
      <c r="AR80" s="69">
        <v>0.3527777777777778</v>
      </c>
      <c r="AS80" s="56"/>
      <c r="AT80" s="54"/>
      <c r="AU80" s="54"/>
      <c r="AZ80" s="53">
        <v>0.37708333333333333</v>
      </c>
      <c r="BA80" s="53">
        <v>0.15833333333333333</v>
      </c>
      <c r="BB80" s="53">
        <v>0.38611111111111113</v>
      </c>
      <c r="BC80" s="53">
        <v>0.1361111111111111</v>
      </c>
      <c r="BD80" s="53">
        <v>0.35694444444444445</v>
      </c>
      <c r="BE80" s="53">
        <v>0.1736111111111111</v>
      </c>
      <c r="BF80" s="69">
        <v>0.33888888888888891</v>
      </c>
      <c r="BG80" s="69">
        <v>0.53333333333333333</v>
      </c>
      <c r="BH80">
        <f t="shared" si="9"/>
        <v>17</v>
      </c>
      <c r="BI80">
        <f t="shared" si="10"/>
        <v>16</v>
      </c>
      <c r="BJ80">
        <f t="shared" si="11"/>
        <v>4</v>
      </c>
    </row>
    <row r="81" spans="1:62" hidden="1">
      <c r="A81" s="59" t="s">
        <v>134</v>
      </c>
      <c r="B81" s="60" t="s">
        <v>135</v>
      </c>
      <c r="C81" s="60" t="s">
        <v>136</v>
      </c>
      <c r="D81" s="54"/>
      <c r="E81" s="54"/>
      <c r="F81" s="57"/>
      <c r="G81" s="57"/>
      <c r="H81" s="53">
        <v>0.37361111111111112</v>
      </c>
      <c r="J81" s="53">
        <v>0.3527777777777778</v>
      </c>
      <c r="L81" s="53">
        <v>0.3527777777777778</v>
      </c>
      <c r="N81" s="53">
        <v>0.36319444444444443</v>
      </c>
      <c r="P81" s="56"/>
      <c r="Q81" s="56"/>
      <c r="R81" s="54"/>
      <c r="S81" s="54"/>
      <c r="T81" s="53">
        <v>0.36666666666666664</v>
      </c>
      <c r="V81" s="53">
        <v>0.35902777777777778</v>
      </c>
      <c r="X81" s="53">
        <v>0.36249999999999999</v>
      </c>
      <c r="Z81" s="53">
        <v>0.35486111111111113</v>
      </c>
      <c r="AB81" s="53">
        <v>0.35972222222222222</v>
      </c>
      <c r="AD81" s="56"/>
      <c r="AE81" s="56"/>
      <c r="AF81" s="54"/>
      <c r="AG81" s="54"/>
      <c r="AH81" s="53">
        <v>0.35625000000000001</v>
      </c>
      <c r="AJ81" s="53">
        <v>0.35416666666666669</v>
      </c>
      <c r="AL81" s="53">
        <v>0.37916666666666665</v>
      </c>
      <c r="AP81" s="53">
        <v>0.36388888888888887</v>
      </c>
      <c r="AR81" s="56"/>
      <c r="AS81" s="56"/>
      <c r="AT81" s="54"/>
      <c r="AU81" s="54"/>
      <c r="AX81" s="53">
        <v>0.34930555555555554</v>
      </c>
      <c r="AZ81" s="53">
        <v>0.35347222222222224</v>
      </c>
      <c r="BB81" s="53">
        <v>0.35625000000000001</v>
      </c>
      <c r="BF81" s="56"/>
      <c r="BG81" s="56"/>
      <c r="BH81">
        <f t="shared" si="9"/>
        <v>16</v>
      </c>
      <c r="BI81">
        <f t="shared" si="10"/>
        <v>0</v>
      </c>
      <c r="BJ81">
        <f t="shared" si="11"/>
        <v>0</v>
      </c>
    </row>
    <row r="82" spans="1:62" hidden="1">
      <c r="A82" s="59" t="s">
        <v>134</v>
      </c>
      <c r="B82" s="60" t="s">
        <v>135</v>
      </c>
      <c r="C82" s="60" t="s">
        <v>137</v>
      </c>
      <c r="D82" s="54"/>
      <c r="E82" s="54"/>
      <c r="F82" s="57"/>
      <c r="G82" s="57"/>
      <c r="K82" s="53">
        <v>0.12083333333333333</v>
      </c>
      <c r="M82" s="53">
        <v>0.13333333333333333</v>
      </c>
      <c r="O82" s="53">
        <v>0.14722222222222223</v>
      </c>
      <c r="P82" s="56"/>
      <c r="Q82" s="56"/>
      <c r="R82" s="54"/>
      <c r="S82" s="54"/>
      <c r="Y82" s="53">
        <v>0.17777777777777778</v>
      </c>
      <c r="AA82" s="53">
        <v>0.13125000000000001</v>
      </c>
      <c r="AD82" s="56"/>
      <c r="AE82" s="56"/>
      <c r="AF82" s="54"/>
      <c r="AG82" s="54"/>
      <c r="AI82" s="53">
        <v>0.19236111111111112</v>
      </c>
      <c r="AM82" s="53">
        <v>0.14861111111111111</v>
      </c>
      <c r="AO82" s="53">
        <v>0.15694444444444444</v>
      </c>
      <c r="AQ82" s="53">
        <v>0.15069444444444444</v>
      </c>
      <c r="AR82" s="56"/>
      <c r="AS82" s="56"/>
      <c r="AT82" s="54"/>
      <c r="AU82" s="54"/>
      <c r="AV82" s="53">
        <v>0.37013888888888891</v>
      </c>
      <c r="AW82" s="53">
        <v>0.16111111111111112</v>
      </c>
      <c r="AY82" s="53">
        <v>0.14166666666666666</v>
      </c>
      <c r="BE82" s="53">
        <v>0.1111111111111111</v>
      </c>
      <c r="BF82" s="56"/>
      <c r="BG82" s="56"/>
      <c r="BH82">
        <f t="shared" si="9"/>
        <v>1</v>
      </c>
      <c r="BI82">
        <f t="shared" si="10"/>
        <v>12</v>
      </c>
      <c r="BJ82">
        <f t="shared" si="11"/>
        <v>0</v>
      </c>
    </row>
    <row r="83" spans="1:62" hidden="1">
      <c r="A83" s="59" t="s">
        <v>134</v>
      </c>
      <c r="B83" s="60" t="s">
        <v>135</v>
      </c>
      <c r="C83" s="60" t="s">
        <v>138</v>
      </c>
      <c r="D83" s="54"/>
      <c r="E83" s="54"/>
      <c r="F83" s="57"/>
      <c r="G83" s="57"/>
      <c r="P83" s="56"/>
      <c r="Q83" s="56"/>
      <c r="R83" s="54"/>
      <c r="S83" s="54"/>
      <c r="AD83" s="56"/>
      <c r="AE83" s="56"/>
      <c r="AF83" s="54"/>
      <c r="AG83" s="54"/>
      <c r="AR83" s="56"/>
      <c r="AS83" s="56"/>
      <c r="AT83" s="54"/>
      <c r="AU83" s="54"/>
      <c r="BF83" s="56"/>
      <c r="BG83" s="56"/>
      <c r="BH83">
        <f t="shared" si="9"/>
        <v>0</v>
      </c>
      <c r="BI83">
        <f t="shared" si="10"/>
        <v>0</v>
      </c>
      <c r="BJ83">
        <f t="shared" si="11"/>
        <v>0</v>
      </c>
    </row>
    <row r="84" spans="1:62" hidden="1">
      <c r="A84" s="59" t="s">
        <v>134</v>
      </c>
      <c r="B84" s="60" t="s">
        <v>135</v>
      </c>
      <c r="C84" s="60" t="s">
        <v>139</v>
      </c>
      <c r="D84" s="54"/>
      <c r="E84" s="54"/>
      <c r="F84" s="57"/>
      <c r="G84" s="57"/>
      <c r="P84" s="56"/>
      <c r="Q84" s="56"/>
      <c r="R84" s="54"/>
      <c r="S84" s="54"/>
      <c r="AD84" s="56"/>
      <c r="AE84" s="56"/>
      <c r="AF84" s="54"/>
      <c r="AG84" s="54"/>
      <c r="AR84" s="56"/>
      <c r="AS84" s="56"/>
      <c r="AT84" s="54"/>
      <c r="AU84" s="54"/>
      <c r="BF84" s="56"/>
      <c r="BG84" s="56"/>
      <c r="BH84">
        <f t="shared" si="9"/>
        <v>0</v>
      </c>
      <c r="BI84">
        <f t="shared" si="10"/>
        <v>0</v>
      </c>
      <c r="BJ84">
        <f t="shared" si="11"/>
        <v>0</v>
      </c>
    </row>
    <row r="85" spans="1:62" hidden="1">
      <c r="A85" s="59" t="s">
        <v>134</v>
      </c>
      <c r="B85" s="60" t="s">
        <v>135</v>
      </c>
      <c r="C85" s="60" t="s">
        <v>140</v>
      </c>
      <c r="D85" s="54"/>
      <c r="E85" s="54"/>
      <c r="F85" s="57"/>
      <c r="G85" s="57"/>
      <c r="P85" s="56"/>
      <c r="Q85" s="56"/>
      <c r="R85" s="54"/>
      <c r="S85" s="54"/>
      <c r="AD85" s="56"/>
      <c r="AE85" s="56"/>
      <c r="AF85" s="54"/>
      <c r="AG85" s="54"/>
      <c r="AR85" s="56"/>
      <c r="AS85" s="56"/>
      <c r="AT85" s="54"/>
      <c r="AU85" s="54"/>
      <c r="BF85" s="56"/>
      <c r="BG85" s="56"/>
      <c r="BH85">
        <f t="shared" si="9"/>
        <v>0</v>
      </c>
      <c r="BI85">
        <f t="shared" si="10"/>
        <v>0</v>
      </c>
      <c r="BJ85">
        <f t="shared" si="11"/>
        <v>0</v>
      </c>
    </row>
    <row r="86" spans="1:62" hidden="1">
      <c r="A86" s="59" t="s">
        <v>134</v>
      </c>
      <c r="B86" s="60" t="s">
        <v>141</v>
      </c>
      <c r="C86" s="60" t="s">
        <v>142</v>
      </c>
      <c r="D86" s="54"/>
      <c r="E86" s="54"/>
      <c r="F86" s="57"/>
      <c r="G86" s="57"/>
      <c r="H86" s="53">
        <v>0.38333333333333336</v>
      </c>
      <c r="I86" s="53">
        <v>0.21944444444444444</v>
      </c>
      <c r="J86" s="53">
        <v>0.37708333333333333</v>
      </c>
      <c r="K86" s="53">
        <v>0.13958333333333334</v>
      </c>
      <c r="L86" s="53">
        <v>0.38819444444444445</v>
      </c>
      <c r="M86" s="53">
        <v>0.20069444444444445</v>
      </c>
      <c r="N86" s="53">
        <v>0.38611111111111113</v>
      </c>
      <c r="O86" s="53">
        <v>0.17847222222222223</v>
      </c>
      <c r="P86" s="56"/>
      <c r="Q86" s="56"/>
      <c r="R86" s="54"/>
      <c r="S86" s="54"/>
      <c r="T86" s="53">
        <v>0.43472222222222223</v>
      </c>
      <c r="V86" s="53">
        <v>0.36944444444444446</v>
      </c>
      <c r="W86" s="53">
        <v>0.24444444444444444</v>
      </c>
      <c r="X86" s="53">
        <v>0.3840277777777778</v>
      </c>
      <c r="Y86" s="53">
        <v>0.24444444444444444</v>
      </c>
      <c r="Z86" s="53">
        <v>0.40277777777777779</v>
      </c>
      <c r="AB86" s="53">
        <v>0.4</v>
      </c>
      <c r="AC86" s="53">
        <v>0.14930555555555555</v>
      </c>
      <c r="AD86" s="56"/>
      <c r="AE86" s="56"/>
      <c r="AF86" s="54"/>
      <c r="AG86" s="54"/>
      <c r="AH86" s="53">
        <v>0.4152777777777778</v>
      </c>
      <c r="AJ86" s="53">
        <v>0.38819444444444445</v>
      </c>
      <c r="AL86" s="53">
        <v>0.38055555555555554</v>
      </c>
      <c r="AN86" s="53">
        <v>0.38333333333333336</v>
      </c>
      <c r="AP86" s="53">
        <v>0.38472222222222224</v>
      </c>
      <c r="AQ86" s="53">
        <v>0.14791666666666667</v>
      </c>
      <c r="AR86" s="56"/>
      <c r="AS86" s="56"/>
      <c r="AT86" s="54"/>
      <c r="AU86" s="54"/>
      <c r="AV86" s="53">
        <v>0.38958333333333334</v>
      </c>
      <c r="AX86" s="53">
        <v>0.39305555555555555</v>
      </c>
      <c r="AZ86" s="53">
        <v>0.39652777777777776</v>
      </c>
      <c r="BF86" s="56"/>
      <c r="BG86" s="56"/>
      <c r="BH86">
        <f t="shared" si="9"/>
        <v>17</v>
      </c>
      <c r="BI86">
        <f t="shared" si="10"/>
        <v>8</v>
      </c>
      <c r="BJ86">
        <f t="shared" si="11"/>
        <v>0</v>
      </c>
    </row>
    <row r="87" spans="1:62" hidden="1">
      <c r="A87" s="59" t="s">
        <v>134</v>
      </c>
      <c r="B87" s="60" t="s">
        <v>141</v>
      </c>
      <c r="C87" s="60" t="s">
        <v>143</v>
      </c>
      <c r="D87" s="54"/>
      <c r="E87" s="54"/>
      <c r="F87" s="57"/>
      <c r="G87" s="57"/>
      <c r="P87" s="56"/>
      <c r="Q87" s="56"/>
      <c r="R87" s="54"/>
      <c r="S87" s="54"/>
      <c r="AD87" s="56"/>
      <c r="AE87" s="56"/>
      <c r="AF87" s="54"/>
      <c r="AG87" s="54"/>
      <c r="AR87" s="56"/>
      <c r="AS87" s="56"/>
      <c r="AT87" s="54"/>
      <c r="AU87" s="54"/>
      <c r="BF87" s="56"/>
      <c r="BG87" s="56"/>
      <c r="BH87">
        <f t="shared" si="9"/>
        <v>0</v>
      </c>
      <c r="BI87">
        <f t="shared" si="10"/>
        <v>0</v>
      </c>
      <c r="BJ87">
        <f t="shared" si="11"/>
        <v>0</v>
      </c>
    </row>
    <row r="88" spans="1:62" hidden="1">
      <c r="A88" s="59" t="s">
        <v>134</v>
      </c>
      <c r="B88" s="60" t="s">
        <v>141</v>
      </c>
      <c r="C88" s="60" t="s">
        <v>144</v>
      </c>
      <c r="D88" s="54"/>
      <c r="E88" s="54"/>
      <c r="F88" s="57"/>
      <c r="G88" s="57"/>
      <c r="P88" s="56"/>
      <c r="Q88" s="56"/>
      <c r="R88" s="54"/>
      <c r="S88" s="54"/>
      <c r="AD88" s="56"/>
      <c r="AE88" s="56"/>
      <c r="AF88" s="54"/>
      <c r="AG88" s="54"/>
      <c r="AR88" s="56"/>
      <c r="AS88" s="56"/>
      <c r="AT88" s="54"/>
      <c r="AU88" s="54"/>
      <c r="BF88" s="56"/>
      <c r="BG88" s="56"/>
      <c r="BH88">
        <f t="shared" si="9"/>
        <v>0</v>
      </c>
      <c r="BI88">
        <f t="shared" si="10"/>
        <v>0</v>
      </c>
      <c r="BJ88">
        <f t="shared" si="11"/>
        <v>0</v>
      </c>
    </row>
    <row r="89" spans="1:62" hidden="1">
      <c r="A89" s="59" t="s">
        <v>134</v>
      </c>
      <c r="B89" s="60" t="s">
        <v>145</v>
      </c>
      <c r="C89" s="60" t="s">
        <v>146</v>
      </c>
      <c r="D89" s="54"/>
      <c r="E89" s="54"/>
      <c r="F89" s="57"/>
      <c r="G89" s="57"/>
      <c r="J89" s="53">
        <v>0.40138888888888891</v>
      </c>
      <c r="K89" s="53">
        <v>0.14444444444444443</v>
      </c>
      <c r="N89" s="53">
        <v>0.38958333333333334</v>
      </c>
      <c r="P89" s="56"/>
      <c r="Q89" s="56"/>
      <c r="R89" s="54"/>
      <c r="S89" s="54"/>
      <c r="V89" s="53">
        <v>0.3840277777777778</v>
      </c>
      <c r="W89" s="53">
        <v>0.1361111111111111</v>
      </c>
      <c r="Z89" s="53">
        <v>0.43055555555555558</v>
      </c>
      <c r="AD89" s="56"/>
      <c r="AE89" s="56"/>
      <c r="AF89" s="54"/>
      <c r="AG89" s="54"/>
      <c r="AL89" s="53">
        <v>0.38055555555555554</v>
      </c>
      <c r="AP89" s="53">
        <v>0.38194444444444442</v>
      </c>
      <c r="AQ89" s="53">
        <v>0.15486111111111112</v>
      </c>
      <c r="AR89" s="56"/>
      <c r="AS89" s="56"/>
      <c r="AT89" s="54"/>
      <c r="AU89" s="54"/>
      <c r="AX89" s="53">
        <v>0.44444444444444442</v>
      </c>
      <c r="BA89" s="53">
        <v>0.16666666666666666</v>
      </c>
      <c r="BF89" s="56"/>
      <c r="BG89" s="56"/>
      <c r="BH89">
        <f t="shared" si="9"/>
        <v>7</v>
      </c>
      <c r="BI89">
        <f t="shared" si="10"/>
        <v>4</v>
      </c>
      <c r="BJ89">
        <f t="shared" si="11"/>
        <v>0</v>
      </c>
    </row>
    <row r="90" spans="1:62" hidden="1">
      <c r="A90" s="59" t="s">
        <v>147</v>
      </c>
      <c r="B90" s="60" t="s">
        <v>148</v>
      </c>
      <c r="C90" s="60" t="s">
        <v>149</v>
      </c>
      <c r="D90" s="54"/>
      <c r="E90" s="54"/>
      <c r="F90" s="57"/>
      <c r="G90" s="57"/>
      <c r="H90" s="53">
        <v>0.34375</v>
      </c>
      <c r="I90" s="53">
        <v>0.1388888888888889</v>
      </c>
      <c r="J90" s="53">
        <v>0.3659722222222222</v>
      </c>
      <c r="K90" s="53">
        <v>0.17708333333333334</v>
      </c>
      <c r="L90" s="53">
        <v>0.3659722222222222</v>
      </c>
      <c r="N90" s="53">
        <v>0.36736111111111114</v>
      </c>
      <c r="O90" s="53">
        <v>0.15902777777777777</v>
      </c>
      <c r="P90" s="56"/>
      <c r="Q90" s="56"/>
      <c r="R90" s="54"/>
      <c r="S90" s="54"/>
      <c r="T90" s="53">
        <v>0.36527777777777776</v>
      </c>
      <c r="U90" s="53">
        <v>0.16111111111111112</v>
      </c>
      <c r="V90" s="53">
        <v>0.37013888888888891</v>
      </c>
      <c r="X90" s="53">
        <v>0.34166666666666667</v>
      </c>
      <c r="Z90" s="53">
        <v>0.36944444444444446</v>
      </c>
      <c r="AB90" s="53">
        <v>0.36736111111111114</v>
      </c>
      <c r="AC90" s="53">
        <v>0.10416666666666667</v>
      </c>
      <c r="AD90" s="56"/>
      <c r="AE90" s="56"/>
      <c r="AF90" s="54"/>
      <c r="AG90" s="54"/>
      <c r="AH90" s="53">
        <v>0.35555555555555557</v>
      </c>
      <c r="AI90" s="53">
        <v>0.18819444444444444</v>
      </c>
      <c r="AJ90" s="53">
        <v>0.3527777777777778</v>
      </c>
      <c r="AK90" s="53">
        <v>0.11666666666666667</v>
      </c>
      <c r="AL90" s="53">
        <v>0.37638888888888888</v>
      </c>
      <c r="AM90" s="53">
        <v>0.19513888888888889</v>
      </c>
      <c r="AN90" s="53">
        <v>0.39652777777777776</v>
      </c>
      <c r="AO90" s="53">
        <v>0.16319444444444445</v>
      </c>
      <c r="AP90" s="53">
        <v>0.38472222222222224</v>
      </c>
      <c r="AQ90" s="53">
        <v>0.16388888888888889</v>
      </c>
      <c r="AR90" s="56"/>
      <c r="AS90" s="56"/>
      <c r="AT90" s="54"/>
      <c r="AU90" s="54"/>
      <c r="AV90" s="53">
        <v>0.39861111111111114</v>
      </c>
      <c r="AW90" s="53">
        <v>0.16388888888888889</v>
      </c>
      <c r="AX90" s="53">
        <v>0.44444444444444442</v>
      </c>
      <c r="AY90" s="53">
        <v>0.13680555555555557</v>
      </c>
      <c r="AZ90" s="53">
        <v>0.39513888888888887</v>
      </c>
      <c r="BA90" s="53">
        <v>0.16111111111111112</v>
      </c>
      <c r="BB90" s="53">
        <v>0.39513888888888887</v>
      </c>
      <c r="BC90" s="53">
        <v>0.19166666666666668</v>
      </c>
      <c r="BD90" s="53">
        <v>0.45763888888888887</v>
      </c>
      <c r="BE90" s="53">
        <v>0.18541666666666667</v>
      </c>
      <c r="BF90" s="56"/>
      <c r="BG90" s="56"/>
      <c r="BH90">
        <f t="shared" si="9"/>
        <v>19</v>
      </c>
      <c r="BI90">
        <f t="shared" si="10"/>
        <v>15</v>
      </c>
      <c r="BJ90">
        <f t="shared" si="11"/>
        <v>0</v>
      </c>
    </row>
    <row r="91" spans="1:62" hidden="1">
      <c r="A91" s="59" t="s">
        <v>147</v>
      </c>
      <c r="B91" s="60"/>
      <c r="C91" s="60" t="s">
        <v>195</v>
      </c>
      <c r="D91" s="54"/>
      <c r="E91" s="54"/>
      <c r="F91" s="57"/>
      <c r="G91" s="57"/>
      <c r="H91" s="53"/>
      <c r="I91" s="53"/>
      <c r="J91" s="53"/>
      <c r="K91" s="53"/>
      <c r="L91" s="53"/>
      <c r="N91" s="53"/>
      <c r="O91" s="53"/>
      <c r="P91" s="56"/>
      <c r="Q91" s="56"/>
      <c r="R91" s="54"/>
      <c r="S91" s="54"/>
      <c r="T91" s="53"/>
      <c r="U91" s="53"/>
      <c r="V91" s="53"/>
      <c r="X91" s="53"/>
      <c r="Z91" s="53"/>
      <c r="AB91" s="53"/>
      <c r="AC91" s="53"/>
      <c r="AD91" s="56"/>
      <c r="AE91" s="56"/>
      <c r="AF91" s="54"/>
      <c r="AG91" s="54"/>
      <c r="AH91" s="53"/>
      <c r="AI91" s="53"/>
      <c r="AJ91" s="53">
        <v>0.36319444444444443</v>
      </c>
      <c r="AK91" s="53">
        <v>0.10208333333333333</v>
      </c>
      <c r="AL91" s="53">
        <v>0.37222222222222223</v>
      </c>
      <c r="AM91" s="53">
        <v>0.16944444444444445</v>
      </c>
      <c r="AN91" s="53">
        <v>0.37847222222222221</v>
      </c>
      <c r="AO91" s="53">
        <v>0.14444444444444443</v>
      </c>
      <c r="AP91" s="53">
        <v>0.34166666666666667</v>
      </c>
      <c r="AQ91" s="53">
        <v>0.15902777777777777</v>
      </c>
      <c r="AR91" s="56"/>
      <c r="AS91" s="56"/>
      <c r="AT91" s="54"/>
      <c r="AU91" s="54"/>
      <c r="AV91" s="53">
        <v>0.35625000000000001</v>
      </c>
      <c r="AW91" s="53">
        <v>0.1763888888888889</v>
      </c>
      <c r="BB91" s="53">
        <v>0.36875000000000002</v>
      </c>
      <c r="BF91" s="56"/>
      <c r="BG91" s="56"/>
      <c r="BH91">
        <f t="shared" ref="BH91" si="12">SUM(IF(AND(D91&lt;&gt;"",WEEKDAY(D$1,2)&lt;6),1,0),IF(AND(F91&lt;&gt;"",WEEKDAY(F$1,2)&lt;6),1,0),IF(AND(H91&lt;&gt;"",WEEKDAY(H$1,2)&lt;6),1,0),IF(AND(J91&lt;&gt;"",WEEKDAY(J$1,2)&lt;6),1,0),IF(AND(L91&lt;&gt;"",WEEKDAY(L$1,2)&lt;6),1,0),IF(AND(N91&lt;&gt;"",WEEKDAY(N$1,2)&lt;6),1,0),IF(AND(P91&lt;&gt;"",WEEKDAY(P$1,2)&lt;6),1,0),IF(AND(R91&lt;&gt;"",WEEKDAY(R$1,2)&lt;6),1,0),IF(AND(T91&lt;&gt;"",WEEKDAY(T$1,2)&lt;6),1,0),IF(AND(V91&lt;&gt;"",WEEKDAY(V$1,2)&lt;6),1,0),IF(AND(X91&lt;&gt;"",WEEKDAY(X$1,2)&lt;6),1,0),IF(AND(Z91&lt;&gt;"",WEEKDAY(Z$1,2)&lt;6),1,0),IF(AND(AB91&lt;&gt;"",WEEKDAY(AB$1,2)&lt;6),1,0),IF(AND(AD91&lt;&gt;"",WEEKDAY(AD$1,2)&lt;6),1,0),IF(AND(AF91&lt;&gt;"",WEEKDAY(AF$1,2)&lt;6),1,0),IF(AND(AH91&lt;&gt;"",WEEKDAY(AH$1,2)&lt;6),1,0),IF(AND(AJ91&lt;&gt;"",WEEKDAY(AJ$1,2)&lt;6),1,0),IF(AND(AL91&lt;&gt;"",WEEKDAY(AL$1,2)&lt;6),1,0),IF(AND(AN91&lt;&gt;"",WEEKDAY(AN$1,2)&lt;6),1,0),IF(AND(AP91&lt;&gt;"",WEEKDAY(AP$1,2)&lt;6),1,0),IF(AND(AR91&lt;&gt;"",WEEKDAY(AR$1,2)&lt;6),1,0),IF(AND(AT91&lt;&gt;"",WEEKDAY(AT$1,2)&lt;6),1,0),IF(AND(AV91&lt;&gt;"",WEEKDAY(AV$1,2)&lt;6),1,0),IF(AND(AX91&lt;&gt;"",WEEKDAY(AX$1,2)&lt;6),1,0),IF(AND(AZ91&lt;&gt;"",WEEKDAY(AZ$1,2)&lt;6),1,0),IF(AND(BB91&lt;&gt;"",WEEKDAY(BB$1,2)&lt;6),1,0),IF(AND(BD91&lt;&gt;"",WEEKDAY(BD$1,2)&lt;6),1,0),IF(AND(BF91&lt;&gt;"",WEEKDAY(BF$1,2)&lt;6),1,0))</f>
        <v>6</v>
      </c>
      <c r="BI91">
        <f t="shared" ref="BI91" si="13">SUM(IF(AND(E91&lt;&gt;"",WEEKDAY(D$1,2)&lt;6),1,0),IF(AND(G91&lt;&gt;"",WEEKDAY(F$1,2)&lt;6),1,0),IF(AND(I91&lt;&gt;"",WEEKDAY(H$1,2)&lt;6),1,0),IF(AND(K91&lt;&gt;"",WEEKDAY(J$1,2)&lt;6),1,0),IF(AND(M91&lt;&gt;"",WEEKDAY(L$1,2)&lt;6),1,0),IF(AND(O91&lt;&gt;"",WEEKDAY(N$1,2)&lt;6),1,0),IF(AND(Q91&lt;&gt;"",WEEKDAY(P$1,2)&lt;6),1,0),IF(AND(S91&lt;&gt;"",WEEKDAY(R$1,2)&lt;6),1,0),IF(AND(U91&lt;&gt;"",WEEKDAY(T$1,2)&lt;6),1,0),IF(AND(W91&lt;&gt;"",WEEKDAY(V$1,2)&lt;6),1,0),IF(AND(Y91&lt;&gt;"",WEEKDAY(X$1,2)&lt;6),1,0),IF(AND(AA91&lt;&gt;"",WEEKDAY(Z$1,2)&lt;6),1,0),IF(AND(AC91&lt;&gt;"",WEEKDAY(AB$1,2)&lt;6),1,0),IF(AND(AE91&lt;&gt;"",WEEKDAY(AD$1,2)&lt;6),1,0),IF(AND(AG91&lt;&gt;"",WEEKDAY(AF$1,2)&lt;6),1,0),IF(AND(AI91&lt;&gt;"",WEEKDAY(AH$1,2)&lt;6),1,0),IF(AND(AK91&lt;&gt;"",WEEKDAY(AJ$1,2)&lt;6),1,0),IF(AND(AM91&lt;&gt;"",WEEKDAY(AL$1,2)&lt;6),1,0),IF(AND(AO91&lt;&gt;"",WEEKDAY(AN$1,2)&lt;6),1,0),IF(AND(AQ91&lt;&gt;"",WEEKDAY(AP$1,2)&lt;6),1,0),IF(AND(AS91&lt;&gt;"",WEEKDAY(AR$1,2)&lt;6),1,0),IF(AND(AU91&lt;&gt;"",WEEKDAY(AT$1,2)&lt;6),1,0),IF(AND(AW91&lt;&gt;"",WEEKDAY(AV$1,2)&lt;6),1,0),IF(AND(AY91&lt;&gt;"",WEEKDAY(AX$1,2)&lt;6),1,0),IF(AND(BA91&lt;&gt;"",WEEKDAY(AZ$1,2)&lt;6),1,0),IF(AND(BC91&lt;&gt;"",WEEKDAY(BB$1,2)&lt;6),1,0),IF(AND(BE91&lt;&gt;"",WEEKDAY(BD$1,2)&lt;6),1,0),IF(AND(BG91&lt;&gt;"",WEEKDAY(BF$1,2)&lt;6),1,0))</f>
        <v>5</v>
      </c>
      <c r="BJ91">
        <f t="shared" ref="BJ91" si="14">SUM(IF(AND((D91&lt;&gt;"" )+(E91&lt;&gt;""),WEEKDAY(D$1,2)=6),1,0),IF(AND((F91&lt;&gt;"" )+(G91&lt;&gt;""),WEEKDAY(F$1,2)=6),1,0),IF(AND((H91&lt;&gt;"" )+(I91&lt;&gt;""),WEEKDAY(H$1,2)=6),1,0),IF(AND((J91&lt;&gt;"" )+(K91&lt;&gt;""),WEEKDAY(J$1,2)=6),1,0),IF(AND((L91&lt;&gt;"" )+(M91&lt;&gt;""),WEEKDAY(L$1,2)=6),1,0),IF(AND((N91&lt;&gt;"" )+(O91&lt;&gt;""),WEEKDAY(N$1,2)=6),1,0),IF(AND((P91&lt;&gt;"" )+(Q91&lt;&gt;""),WEEKDAY(P$1,2)=6),1,0),IF(AND((R91&lt;&gt;"" )+(S91&lt;&gt;""),WEEKDAY(R$1,2)=6),1,0),IF(AND((T91&lt;&gt;"" )+(U91&lt;&gt;""),WEEKDAY(T$1,2)=6),1,0),IF(AND((V91&lt;&gt;"" )+(W91&lt;&gt;""),WEEKDAY(V$1,2)=6),1,0),IF(AND((X91&lt;&gt;"" )+(Y91&lt;&gt;""),WEEKDAY(X$1,2)=6),1,0),IF(AND((Z91&lt;&gt;"" )+(AA91&lt;&gt;""),WEEKDAY(Z$1,2)=6),1,0),IF(AND((AB91&lt;&gt;"" )+(AC91&lt;&gt;""),WEEKDAY(AB$1,2)=6),1,0),IF(AND((AD91&lt;&gt;"" )+(AE91&lt;&gt;""),WEEKDAY(AD$1,2)=6),1,0),IF(AND((AF91&lt;&gt;"" )+(AG91&lt;&gt;""),WEEKDAY(AF$1,2)=6),1,0),IF(AND((AH91&lt;&gt;"" )+(AI91&lt;&gt;""),WEEKDAY(AH$1,2)=6),1,0),IF(AND((AJ91&lt;&gt;"" )+(AK91&lt;&gt;""),WEEKDAY(AJ$1,2)=6),1,0),IF(AND((AL91&lt;&gt;"" )+(AM91&lt;&gt;""),WEEKDAY(AL$1,2)=6),1,0),IF(AND((AN91&lt;&gt;"" )+(AO91&lt;&gt;""),WEEKDAY(AN$1,2)=6),1,0),IF(AND((AP91&lt;&gt;"" )+(AQ91&lt;&gt;""),WEEKDAY(AP$1,2)=6),1,0),IF(AND((AR91&lt;&gt;"" )+(AS91&lt;&gt;""),WEEKDAY(AR$1,2)=6),1,0),IF(AND((AT91&lt;&gt;"" )+(AU91&lt;&gt;""),WEEKDAY(AT$1,2)=6),1,0),IF(AND((AV91&lt;&gt;"" )+(AW91&lt;&gt;""),WEEKDAY(AV$1,2)=6),1,0),IF(AND((AX91&lt;&gt;"" )+(AY91&lt;&gt;""),WEEKDAY(AX$1,2)=6),1,0),IF(AND((AZ91&lt;&gt;"" )+(BA91&lt;&gt;""),WEEKDAY(AZ$1,2)=6),1,0),IF(AND((BB91&lt;&gt;"" )+(BC91&lt;&gt;""),WEEKDAY(BB$1,2)=6),1,0),IF(AND((BD91&lt;&gt;"" )+(BE91&lt;&gt;""),WEEKDAY(BD$1,2)=6),1,0),IF(AND((BF91&lt;&gt;"" )+(BG91&lt;&gt;""),WEEKDAY(BF$1,2)=6),1,0))</f>
        <v>0</v>
      </c>
    </row>
    <row r="92" spans="1:62" ht="16.5" hidden="1">
      <c r="A92" s="61" t="s">
        <v>150</v>
      </c>
      <c r="B92" s="62" t="s">
        <v>151</v>
      </c>
      <c r="C92" s="63" t="s">
        <v>152</v>
      </c>
      <c r="D92" s="54"/>
      <c r="E92" s="54"/>
      <c r="F92" s="57"/>
      <c r="G92" s="57"/>
      <c r="P92" s="56"/>
      <c r="Q92" s="56"/>
      <c r="R92" s="54"/>
      <c r="S92" s="54"/>
      <c r="V92" s="53">
        <v>0.42499999999999999</v>
      </c>
      <c r="AB92" s="53">
        <v>0.3840277777777778</v>
      </c>
      <c r="AD92" s="56"/>
      <c r="AE92" s="56"/>
      <c r="AF92" s="54"/>
      <c r="AG92" s="54"/>
      <c r="AR92" s="56"/>
      <c r="AS92" s="56"/>
      <c r="AT92" s="54"/>
      <c r="AU92" s="54"/>
      <c r="BF92" s="56"/>
      <c r="BG92" s="56"/>
      <c r="BH92" s="71">
        <f t="shared" si="9"/>
        <v>2</v>
      </c>
      <c r="BI92" s="71">
        <f t="shared" si="10"/>
        <v>0</v>
      </c>
      <c r="BJ92" s="71">
        <f t="shared" si="11"/>
        <v>0</v>
      </c>
    </row>
    <row r="93" spans="1:62" ht="16.5" hidden="1">
      <c r="A93" s="64" t="s">
        <v>150</v>
      </c>
      <c r="B93" s="65" t="s">
        <v>151</v>
      </c>
      <c r="C93" s="66" t="s">
        <v>153</v>
      </c>
      <c r="D93" s="54"/>
      <c r="E93" s="54"/>
      <c r="F93" s="57"/>
      <c r="G93" s="57"/>
      <c r="I93" s="53">
        <v>0.17083333333333334</v>
      </c>
      <c r="J93" s="53">
        <v>0.45208333333333334</v>
      </c>
      <c r="L93" s="53">
        <v>0.47361111111111109</v>
      </c>
      <c r="M93" s="53">
        <v>0.16111111111111112</v>
      </c>
      <c r="P93" s="56"/>
      <c r="Q93" s="56"/>
      <c r="R93" s="54"/>
      <c r="S93" s="54"/>
      <c r="AD93" s="56"/>
      <c r="AE93" s="56"/>
      <c r="AF93" s="54"/>
      <c r="AG93" s="54"/>
      <c r="AH93" s="53">
        <v>0.47986111111111113</v>
      </c>
      <c r="AM93" s="53">
        <v>0.1701388888888889</v>
      </c>
      <c r="AN93" s="53">
        <v>0.44305555555555554</v>
      </c>
      <c r="AR93" s="56"/>
      <c r="AS93" s="56"/>
      <c r="AT93" s="54"/>
      <c r="AU93" s="54"/>
      <c r="AV93" s="53">
        <v>0.41458333333333336</v>
      </c>
      <c r="BD93" s="53">
        <v>0.40972222222222221</v>
      </c>
      <c r="BF93" s="56"/>
      <c r="BG93" s="56"/>
      <c r="BH93" s="71">
        <f t="shared" si="9"/>
        <v>6</v>
      </c>
      <c r="BI93" s="71">
        <f t="shared" si="10"/>
        <v>3</v>
      </c>
      <c r="BJ93" s="71">
        <f t="shared" si="11"/>
        <v>0</v>
      </c>
    </row>
    <row r="94" spans="1:62" ht="16.5" hidden="1">
      <c r="A94" s="64" t="s">
        <v>150</v>
      </c>
      <c r="B94" s="65" t="s">
        <v>151</v>
      </c>
      <c r="C94" s="66" t="s">
        <v>154</v>
      </c>
      <c r="D94" s="54"/>
      <c r="E94" s="54"/>
      <c r="F94" s="57"/>
      <c r="G94" s="57"/>
      <c r="I94" s="53">
        <v>0.17569444444444443</v>
      </c>
      <c r="J94" s="53">
        <v>0.43541666666666667</v>
      </c>
      <c r="L94" s="53">
        <v>0.45347222222222222</v>
      </c>
      <c r="M94" s="53">
        <v>0.16180555555555556</v>
      </c>
      <c r="N94" s="53">
        <v>0.44513888888888886</v>
      </c>
      <c r="P94" s="56"/>
      <c r="Q94" s="56"/>
      <c r="R94" s="54"/>
      <c r="S94" s="54"/>
      <c r="T94" s="53">
        <v>0.41597222222222224</v>
      </c>
      <c r="U94" s="53">
        <v>0.18541666666666667</v>
      </c>
      <c r="V94" s="53">
        <v>0.40972222222222221</v>
      </c>
      <c r="Z94" s="53">
        <v>0.40833333333333333</v>
      </c>
      <c r="AB94" s="53">
        <v>0.38055555555555554</v>
      </c>
      <c r="AD94" s="56"/>
      <c r="AE94" s="56"/>
      <c r="AF94" s="54"/>
      <c r="AG94" s="54"/>
      <c r="AH94" s="53">
        <v>0.40486111111111112</v>
      </c>
      <c r="AM94" s="53">
        <v>0.16944444444444445</v>
      </c>
      <c r="AN94" s="53">
        <v>0.39513888888888887</v>
      </c>
      <c r="AO94" s="53">
        <v>0.20347222222222222</v>
      </c>
      <c r="AP94" s="53">
        <v>0.44166666666666665</v>
      </c>
      <c r="AR94" s="56"/>
      <c r="AS94" s="56"/>
      <c r="AT94" s="54"/>
      <c r="AU94" s="54"/>
      <c r="BB94" s="53">
        <v>0.43125000000000002</v>
      </c>
      <c r="BF94" s="56"/>
      <c r="BG94" s="56"/>
      <c r="BH94" s="71">
        <f t="shared" si="9"/>
        <v>11</v>
      </c>
      <c r="BI94" s="71">
        <f t="shared" si="10"/>
        <v>5</v>
      </c>
      <c r="BJ94" s="71">
        <f t="shared" si="11"/>
        <v>0</v>
      </c>
    </row>
    <row r="95" spans="1:62" ht="16.5" hidden="1">
      <c r="A95" s="64" t="s">
        <v>150</v>
      </c>
      <c r="B95" s="65" t="s">
        <v>155</v>
      </c>
      <c r="C95" s="66" t="s">
        <v>156</v>
      </c>
      <c r="D95" s="54"/>
      <c r="E95" s="54"/>
      <c r="F95" s="57"/>
      <c r="G95" s="57"/>
      <c r="H95" s="53">
        <v>0.3972222222222222</v>
      </c>
      <c r="I95" s="53">
        <v>0.12986111111111112</v>
      </c>
      <c r="J95" s="53">
        <v>0.39027777777777778</v>
      </c>
      <c r="K95" s="53">
        <v>0.14166666666666666</v>
      </c>
      <c r="L95" s="53">
        <v>0.39305555555555555</v>
      </c>
      <c r="M95" s="53">
        <v>0.13819444444444445</v>
      </c>
      <c r="N95" s="53">
        <v>0.3888888888888889</v>
      </c>
      <c r="O95" s="53">
        <v>0.16527777777777777</v>
      </c>
      <c r="P95" s="56"/>
      <c r="Q95" s="56"/>
      <c r="R95" s="54"/>
      <c r="S95" s="54"/>
      <c r="T95" s="53">
        <v>0.39305555555555555</v>
      </c>
      <c r="U95" s="53">
        <v>0.15625</v>
      </c>
      <c r="V95" s="53">
        <v>0.39097222222222222</v>
      </c>
      <c r="W95" s="53">
        <v>0.15138888888888888</v>
      </c>
      <c r="X95" s="53">
        <v>0.38750000000000001</v>
      </c>
      <c r="Y95" s="53">
        <v>0.14652777777777778</v>
      </c>
      <c r="Z95" s="53">
        <v>0.39097222222222222</v>
      </c>
      <c r="AA95" s="53">
        <v>0.13819444444444445</v>
      </c>
      <c r="AB95" s="53">
        <v>0.38750000000000001</v>
      </c>
      <c r="AC95" s="53">
        <v>0.14722222222222223</v>
      </c>
      <c r="AD95" s="56"/>
      <c r="AE95" s="56"/>
      <c r="AF95" s="54"/>
      <c r="AG95" s="54"/>
      <c r="AH95" s="53">
        <v>0.40416666666666667</v>
      </c>
      <c r="AI95" s="53">
        <v>0.14444444444444443</v>
      </c>
      <c r="AJ95" s="53">
        <v>0.38680555555555557</v>
      </c>
      <c r="AK95" s="53">
        <v>0.12986111111111112</v>
      </c>
      <c r="AL95" s="53">
        <v>0.39444444444444443</v>
      </c>
      <c r="AM95" s="53">
        <v>0.14027777777777778</v>
      </c>
      <c r="AN95" s="53">
        <v>0.39097222222222222</v>
      </c>
      <c r="AO95" s="53">
        <v>0.14305555555555555</v>
      </c>
      <c r="AP95" s="53">
        <v>0.38958333333333334</v>
      </c>
      <c r="AQ95" s="53">
        <v>0.1423611111111111</v>
      </c>
      <c r="AR95" s="56"/>
      <c r="AS95" s="56"/>
      <c r="AT95" s="54"/>
      <c r="AU95" s="54"/>
      <c r="AV95" s="53">
        <v>0.39374999999999999</v>
      </c>
      <c r="AW95" s="53">
        <v>0.14930555555555555</v>
      </c>
      <c r="AX95" s="53">
        <v>0.39791666666666664</v>
      </c>
      <c r="AZ95" s="53">
        <v>0.39166666666666666</v>
      </c>
      <c r="BB95" s="53">
        <v>0.3972222222222222</v>
      </c>
      <c r="BC95" s="53">
        <v>0.15555555555555556</v>
      </c>
      <c r="BD95" s="53">
        <v>0.38611111111111113</v>
      </c>
      <c r="BE95" s="53">
        <v>0.14305555555555555</v>
      </c>
      <c r="BF95" s="56"/>
      <c r="BG95" s="56"/>
      <c r="BH95" s="71">
        <f t="shared" si="9"/>
        <v>19</v>
      </c>
      <c r="BI95" s="71">
        <f t="shared" si="10"/>
        <v>17</v>
      </c>
      <c r="BJ95" s="71">
        <f t="shared" si="11"/>
        <v>0</v>
      </c>
    </row>
    <row r="96" spans="1:62" ht="16.5" hidden="1">
      <c r="A96" s="64" t="s">
        <v>150</v>
      </c>
      <c r="B96" s="65" t="s">
        <v>157</v>
      </c>
      <c r="C96" s="66" t="s">
        <v>158</v>
      </c>
      <c r="D96" s="54"/>
      <c r="E96" s="54"/>
      <c r="F96" s="57"/>
      <c r="G96" s="57"/>
      <c r="I96" s="53">
        <v>0.15833333333333333</v>
      </c>
      <c r="L96" s="53">
        <v>0.45555555555555555</v>
      </c>
      <c r="O96" s="53">
        <v>0.15763888888888888</v>
      </c>
      <c r="P96" s="56"/>
      <c r="Q96" s="56"/>
      <c r="R96" s="54"/>
      <c r="S96" s="54"/>
      <c r="U96" s="53">
        <v>0.16805555555555557</v>
      </c>
      <c r="V96" s="53">
        <v>0.40555555555555556</v>
      </c>
      <c r="Y96" s="53">
        <v>0.1673611111111111</v>
      </c>
      <c r="Z96" s="53">
        <v>0.4201388888888889</v>
      </c>
      <c r="AC96" s="53">
        <v>0.13263888888888889</v>
      </c>
      <c r="AD96" s="56"/>
      <c r="AE96" s="56"/>
      <c r="AF96" s="54"/>
      <c r="AG96" s="54"/>
      <c r="AH96" s="53">
        <v>0.4909722222222222</v>
      </c>
      <c r="AI96" s="53">
        <v>0.18263888888888888</v>
      </c>
      <c r="AL96" s="53">
        <v>0.4597222222222222</v>
      </c>
      <c r="AQ96" s="53">
        <v>0.13819444444444445</v>
      </c>
      <c r="AR96" s="56"/>
      <c r="AS96" s="56"/>
      <c r="AT96" s="54"/>
      <c r="AU96" s="54"/>
      <c r="AV96" s="53">
        <v>0.4597222222222222</v>
      </c>
      <c r="BC96" s="53">
        <v>0.18194444444444444</v>
      </c>
      <c r="BD96" s="53">
        <v>0.37291666666666667</v>
      </c>
      <c r="BF96" s="56"/>
      <c r="BG96" s="56"/>
      <c r="BH96" s="71">
        <f t="shared" si="9"/>
        <v>7</v>
      </c>
      <c r="BI96" s="71">
        <f t="shared" si="10"/>
        <v>8</v>
      </c>
      <c r="BJ96" s="71">
        <f t="shared" si="11"/>
        <v>0</v>
      </c>
    </row>
    <row r="97" spans="1:62" ht="16.5" hidden="1">
      <c r="A97" s="64" t="s">
        <v>150</v>
      </c>
      <c r="B97" s="65" t="s">
        <v>157</v>
      </c>
      <c r="C97" s="66" t="s">
        <v>159</v>
      </c>
      <c r="D97" s="54"/>
      <c r="E97" s="54"/>
      <c r="F97" s="57"/>
      <c r="G97" s="57"/>
      <c r="P97" s="56"/>
      <c r="Q97" s="56"/>
      <c r="R97" s="54"/>
      <c r="S97" s="54"/>
      <c r="AD97" s="56"/>
      <c r="AE97" s="56"/>
      <c r="AF97" s="54"/>
      <c r="AG97" s="54"/>
      <c r="AR97" s="56"/>
      <c r="AS97" s="56"/>
      <c r="AT97" s="54"/>
      <c r="AU97" s="54"/>
      <c r="BF97" s="56"/>
      <c r="BG97" s="56"/>
      <c r="BH97" s="71">
        <f t="shared" si="9"/>
        <v>0</v>
      </c>
      <c r="BI97" s="71">
        <f t="shared" si="10"/>
        <v>0</v>
      </c>
      <c r="BJ97" s="71">
        <f t="shared" si="11"/>
        <v>0</v>
      </c>
    </row>
    <row r="98" spans="1:62" ht="16.5" hidden="1">
      <c r="A98" s="64" t="s">
        <v>150</v>
      </c>
      <c r="B98" s="65" t="s">
        <v>160</v>
      </c>
      <c r="C98" s="66" t="s">
        <v>161</v>
      </c>
      <c r="D98" s="54"/>
      <c r="E98" s="54"/>
      <c r="F98" s="57"/>
      <c r="G98" s="57"/>
      <c r="J98" s="53">
        <v>0.41666666666666669</v>
      </c>
      <c r="N98" s="53">
        <v>0.44374999999999998</v>
      </c>
      <c r="P98" s="56"/>
      <c r="Q98" s="56"/>
      <c r="R98" s="54"/>
      <c r="S98" s="54"/>
      <c r="Y98" s="53">
        <v>0.25277777777777777</v>
      </c>
      <c r="AD98" s="56"/>
      <c r="AE98" s="56"/>
      <c r="AF98" s="54"/>
      <c r="AG98" s="54"/>
      <c r="AO98" s="53">
        <v>0.29791666666666666</v>
      </c>
      <c r="AR98" s="56"/>
      <c r="AS98" s="56"/>
      <c r="AT98" s="54"/>
      <c r="AU98" s="54"/>
      <c r="BB98" s="53">
        <v>0.40277777777777779</v>
      </c>
      <c r="BC98" s="53">
        <v>0.25972222222222224</v>
      </c>
      <c r="BD98" s="53">
        <v>0.43194444444444446</v>
      </c>
      <c r="BE98" s="53">
        <v>0.28263888888888888</v>
      </c>
      <c r="BF98" s="56"/>
      <c r="BG98" s="56"/>
      <c r="BH98" s="71">
        <f t="shared" si="9"/>
        <v>4</v>
      </c>
      <c r="BI98" s="71">
        <f t="shared" si="10"/>
        <v>4</v>
      </c>
      <c r="BJ98" s="71">
        <f t="shared" si="11"/>
        <v>0</v>
      </c>
    </row>
    <row r="99" spans="1:62" ht="16.5" hidden="1">
      <c r="A99" s="64" t="s">
        <v>150</v>
      </c>
      <c r="B99" s="65" t="s">
        <v>162</v>
      </c>
      <c r="C99" s="66" t="s">
        <v>163</v>
      </c>
      <c r="D99" s="54"/>
      <c r="E99" s="54"/>
      <c r="F99" s="57"/>
      <c r="G99" s="57"/>
      <c r="H99" s="53">
        <v>0.42152777777777778</v>
      </c>
      <c r="L99" s="53">
        <v>0.42569444444444443</v>
      </c>
      <c r="M99" s="53">
        <v>0.19652777777777777</v>
      </c>
      <c r="P99" s="56"/>
      <c r="Q99" s="56"/>
      <c r="R99" s="54"/>
      <c r="S99" s="54"/>
      <c r="T99" s="53">
        <v>0.43125000000000002</v>
      </c>
      <c r="U99" s="53">
        <v>0.22777777777777777</v>
      </c>
      <c r="Z99" s="53">
        <v>0.4152777777777778</v>
      </c>
      <c r="AA99" s="53">
        <v>0.22083333333333333</v>
      </c>
      <c r="AB99" s="53">
        <v>0.44861111111111113</v>
      </c>
      <c r="AD99" s="56"/>
      <c r="AE99" s="56"/>
      <c r="AF99" s="54"/>
      <c r="AG99" s="54"/>
      <c r="AH99" s="53">
        <v>0.49166666666666664</v>
      </c>
      <c r="AJ99" s="53">
        <v>0.42083333333333334</v>
      </c>
      <c r="AN99" s="53">
        <v>0.44930555555555557</v>
      </c>
      <c r="AR99" s="56"/>
      <c r="AS99" s="56"/>
      <c r="AT99" s="54"/>
      <c r="AU99" s="54"/>
      <c r="AX99" s="53">
        <v>0.40486111111111112</v>
      </c>
      <c r="AZ99" s="53">
        <v>0.40902777777777777</v>
      </c>
      <c r="BF99" s="56"/>
      <c r="BG99" s="56"/>
      <c r="BH99" s="71">
        <f t="shared" si="9"/>
        <v>10</v>
      </c>
      <c r="BI99" s="71">
        <f t="shared" si="10"/>
        <v>3</v>
      </c>
      <c r="BJ99" s="71">
        <f t="shared" si="11"/>
        <v>0</v>
      </c>
    </row>
    <row r="100" spans="1:62">
      <c r="D100" s="54"/>
      <c r="E100" s="54"/>
      <c r="F100" s="57"/>
      <c r="G100" s="57"/>
      <c r="P100" s="56"/>
      <c r="Q100" s="56"/>
      <c r="R100" s="54"/>
      <c r="S100" s="54"/>
      <c r="AD100" s="56"/>
      <c r="AE100" s="56"/>
      <c r="AF100" s="54"/>
      <c r="AG100" s="54"/>
      <c r="AR100" s="56"/>
      <c r="AS100" s="56"/>
      <c r="AT100" s="54"/>
      <c r="AU100" s="54"/>
      <c r="BF100" s="56"/>
      <c r="BG100" s="56"/>
    </row>
    <row r="101" spans="1:62">
      <c r="B101" s="72" t="s">
        <v>600</v>
      </c>
      <c r="C101" s="72" t="s">
        <v>601</v>
      </c>
    </row>
  </sheetData>
  <autoFilter ref="A1:BJ99" xr:uid="{FA486FF4-EBA1-4A88-8781-F5D5AA94E51C}">
    <filterColumn colId="0">
      <filters>
        <filter val="R5"/>
      </filters>
    </filterColumn>
    <filterColumn colId="1">
      <filters>
        <filter val="ALLAN A. GONZALEZ"/>
      </filters>
    </filterColumn>
  </autoFilter>
  <mergeCells count="3">
    <mergeCell ref="A1:A2"/>
    <mergeCell ref="B1:B2"/>
    <mergeCell ref="C1:C2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2478-986B-4627-B610-099A2D191831}">
  <sheetPr>
    <pageSetUpPr fitToPage="1"/>
  </sheetPr>
  <dimension ref="B1:U101"/>
  <sheetViews>
    <sheetView topLeftCell="D1" workbookViewId="0">
      <selection activeCell="T23" sqref="T23"/>
    </sheetView>
  </sheetViews>
  <sheetFormatPr defaultRowHeight="15" outlineLevelRow="1" outlineLevelCol="1"/>
  <cols>
    <col min="2" max="2" width="21.5703125" customWidth="1"/>
    <col min="3" max="3" width="33.42578125" customWidth="1"/>
    <col min="4" max="4" width="52" customWidth="1"/>
    <col min="5" max="5" width="12.140625" customWidth="1" outlineLevel="1"/>
    <col min="6" max="6" width="7.5703125" customWidth="1" outlineLevel="1"/>
    <col min="7" max="7" width="13.28515625" customWidth="1" outlineLevel="1"/>
    <col min="8" max="8" width="8.28515625" customWidth="1" outlineLevel="1"/>
    <col min="9" max="9" width="8.140625" customWidth="1" outlineLevel="1"/>
    <col min="10" max="10" width="17" customWidth="1"/>
    <col min="11" max="11" width="12.28515625" customWidth="1"/>
    <col min="12" max="12" width="9.140625" customWidth="1"/>
    <col min="13" max="13" width="14" customWidth="1"/>
    <col min="14" max="15" width="9.140625" customWidth="1"/>
    <col min="16" max="16" width="22.140625" customWidth="1"/>
    <col min="17" max="17" width="22" customWidth="1"/>
    <col min="18" max="18" width="20" customWidth="1"/>
    <col min="19" max="19" width="22.85546875" customWidth="1" outlineLevel="1"/>
    <col min="20" max="20" width="21" customWidth="1" outlineLevel="1"/>
    <col min="21" max="21" width="12.7109375" customWidth="1"/>
  </cols>
  <sheetData>
    <row r="1" spans="2:21" outlineLevel="1"/>
    <row r="2" spans="2:21" ht="47.25" customHeight="1" outlineLevel="1">
      <c r="B2" s="78" t="s">
        <v>602</v>
      </c>
      <c r="C2" s="78"/>
      <c r="D2" s="78" t="s">
        <v>176</v>
      </c>
      <c r="E2" s="390" t="s">
        <v>167</v>
      </c>
      <c r="F2" s="390"/>
      <c r="G2" s="390"/>
      <c r="H2" s="390"/>
      <c r="I2" s="390"/>
      <c r="J2" s="78"/>
      <c r="K2" s="390" t="s">
        <v>603</v>
      </c>
      <c r="L2" s="390"/>
      <c r="M2" s="390"/>
      <c r="N2" s="390"/>
      <c r="O2" s="390"/>
      <c r="P2" s="78">
        <v>2026</v>
      </c>
      <c r="Q2" s="74"/>
      <c r="R2" s="395" t="s">
        <v>604</v>
      </c>
      <c r="S2" s="396"/>
      <c r="T2" s="396"/>
      <c r="U2" s="397"/>
    </row>
    <row r="3" spans="2:21" ht="17.25" customHeight="1" outlineLevel="1">
      <c r="B3" s="51" t="s">
        <v>0</v>
      </c>
      <c r="C3" s="51" t="s">
        <v>1</v>
      </c>
      <c r="D3" s="51" t="s">
        <v>2</v>
      </c>
      <c r="E3" s="51" t="s">
        <v>170</v>
      </c>
      <c r="F3" s="51" t="s">
        <v>171</v>
      </c>
      <c r="G3" s="51" t="s">
        <v>172</v>
      </c>
      <c r="H3" s="51" t="s">
        <v>171</v>
      </c>
      <c r="I3" s="51" t="s">
        <v>173</v>
      </c>
      <c r="J3" s="79" t="s">
        <v>174</v>
      </c>
      <c r="K3" s="51" t="s">
        <v>170</v>
      </c>
      <c r="L3" s="51" t="s">
        <v>171</v>
      </c>
      <c r="M3" s="51" t="s">
        <v>172</v>
      </c>
      <c r="N3" s="51" t="s">
        <v>171</v>
      </c>
      <c r="O3" s="51" t="s">
        <v>173</v>
      </c>
      <c r="P3" s="79" t="s">
        <v>174</v>
      </c>
      <c r="Q3" s="80"/>
      <c r="R3" s="75" t="s">
        <v>175</v>
      </c>
      <c r="S3" s="76" t="s">
        <v>167</v>
      </c>
      <c r="T3" s="76" t="s">
        <v>603</v>
      </c>
      <c r="U3" s="76" t="s">
        <v>191</v>
      </c>
    </row>
    <row r="4" spans="2:21" ht="16.5">
      <c r="B4" s="51" t="s">
        <v>5</v>
      </c>
      <c r="C4" s="30" t="s">
        <v>6</v>
      </c>
      <c r="D4" s="30" t="s">
        <v>7</v>
      </c>
      <c r="E4" s="383">
        <f>'TOP FEBRERO 2026'!BH3+'TOP FEBRERO 2026'!BH4</f>
        <v>19</v>
      </c>
      <c r="F4" s="384">
        <f>E4/18</f>
        <v>1.0555555555555556</v>
      </c>
      <c r="G4" s="383">
        <f>'TOP FEBRERO 2026'!BI3+'TOP FEBRERO 2026'!BI4</f>
        <v>17</v>
      </c>
      <c r="H4" s="384">
        <f>G4/18</f>
        <v>0.94444444444444442</v>
      </c>
      <c r="I4" s="383">
        <f>E4+G4</f>
        <v>36</v>
      </c>
      <c r="J4" s="384">
        <f>I4/36</f>
        <v>1</v>
      </c>
      <c r="K4" s="383" t="e">
        <f>#REF!+#REF!</f>
        <v>#REF!</v>
      </c>
      <c r="L4" s="384" t="e">
        <f>K4/18</f>
        <v>#REF!</v>
      </c>
      <c r="M4" s="383" t="e">
        <f>#REF!+#REF!</f>
        <v>#REF!</v>
      </c>
      <c r="N4" s="384" t="e">
        <f>M4/18</f>
        <v>#REF!</v>
      </c>
      <c r="O4" s="383" t="e">
        <f>K4+M4</f>
        <v>#REF!</v>
      </c>
      <c r="P4" s="384" t="e">
        <f>O4/36</f>
        <v>#REF!</v>
      </c>
      <c r="Q4" s="81" t="s">
        <v>179</v>
      </c>
      <c r="R4" s="77">
        <v>1</v>
      </c>
      <c r="S4" s="33">
        <f>AVERAGE(J4:J19)</f>
        <v>0.99305555555555547</v>
      </c>
      <c r="T4" s="33" t="e">
        <f>AVERAGE(P4:P19)</f>
        <v>#REF!</v>
      </c>
      <c r="U4" s="33" t="e">
        <f>AVERAGE(S4:T4)</f>
        <v>#REF!</v>
      </c>
    </row>
    <row r="5" spans="2:21" ht="16.5">
      <c r="B5" s="51" t="s">
        <v>5</v>
      </c>
      <c r="C5" s="30" t="s">
        <v>6</v>
      </c>
      <c r="D5" s="30" t="s">
        <v>8</v>
      </c>
      <c r="E5" s="383"/>
      <c r="F5" s="384"/>
      <c r="G5" s="383"/>
      <c r="H5" s="384"/>
      <c r="I5" s="383"/>
      <c r="J5" s="384"/>
      <c r="K5" s="383"/>
      <c r="L5" s="384"/>
      <c r="M5" s="383"/>
      <c r="N5" s="384"/>
      <c r="O5" s="383"/>
      <c r="P5" s="384"/>
      <c r="Q5" s="81" t="s">
        <v>180</v>
      </c>
      <c r="R5" s="77">
        <v>2</v>
      </c>
      <c r="S5" s="33">
        <f>AVERAGE(J20:J30)</f>
        <v>0.79444444444444451</v>
      </c>
      <c r="T5" s="33" t="e">
        <f>AVERAGE(P20:P30)</f>
        <v>#REF!</v>
      </c>
      <c r="U5" s="33" t="e">
        <f>AVERAGE(S5:T5)</f>
        <v>#REF!</v>
      </c>
    </row>
    <row r="6" spans="2:21" ht="16.5">
      <c r="B6" s="51" t="s">
        <v>5</v>
      </c>
      <c r="C6" s="30" t="s">
        <v>9</v>
      </c>
      <c r="D6" s="30" t="s">
        <v>10</v>
      </c>
      <c r="E6" s="383">
        <f>'TOP FEBRERO 2026'!BH5+'TOP FEBRERO 2026'!BH6+'TOP FEBRERO 2026'!BH7+'TOP FEBRERO 2026'!BH8+'TOP FEBRERO 2026'!BH9</f>
        <v>19</v>
      </c>
      <c r="F6" s="384">
        <f>E6/18</f>
        <v>1.0555555555555556</v>
      </c>
      <c r="G6" s="383">
        <f>'TOP FEBRERO 2026'!BI5+'TOP FEBRERO 2026'!BI6+'TOP FEBRERO 2026'!BI7+'TOP FEBRERO 2026'!BI8+'TOP FEBRERO 2026'!BI9</f>
        <v>17</v>
      </c>
      <c r="H6" s="384">
        <f>G6/18</f>
        <v>0.94444444444444442</v>
      </c>
      <c r="I6" s="383">
        <f t="shared" ref="I6:I69" si="0">E6+G6</f>
        <v>36</v>
      </c>
      <c r="J6" s="384">
        <f>I6/36</f>
        <v>1</v>
      </c>
      <c r="K6" s="383" t="e">
        <f>#REF!+#REF!+#REF!+#REF!+#REF!</f>
        <v>#REF!</v>
      </c>
      <c r="L6" s="384" t="e">
        <f>K6/18</f>
        <v>#REF!</v>
      </c>
      <c r="M6" s="383" t="e">
        <f>#REF!+#REF!+#REF!+#REF!+#REF!</f>
        <v>#REF!</v>
      </c>
      <c r="N6" s="384" t="e">
        <f>M6/18</f>
        <v>#REF!</v>
      </c>
      <c r="O6" s="383" t="e">
        <f t="shared" ref="O6:O69" si="1">K6+M6</f>
        <v>#REF!</v>
      </c>
      <c r="P6" s="384" t="e">
        <f>O6/36</f>
        <v>#REF!</v>
      </c>
      <c r="Q6" s="81" t="s">
        <v>181</v>
      </c>
      <c r="R6" s="77">
        <v>3</v>
      </c>
      <c r="S6" s="33">
        <f>AVERAGE(J31:J37)</f>
        <v>0.95555555555555549</v>
      </c>
      <c r="T6" s="33" t="e">
        <f>AVERAGE(P31:P37)</f>
        <v>#REF!</v>
      </c>
      <c r="U6" s="33" t="e">
        <f>AVERAGE(S6:T6)</f>
        <v>#REF!</v>
      </c>
    </row>
    <row r="7" spans="2:21" ht="16.5">
      <c r="B7" s="51" t="s">
        <v>5</v>
      </c>
      <c r="C7" s="30" t="s">
        <v>9</v>
      </c>
      <c r="D7" s="30" t="s">
        <v>11</v>
      </c>
      <c r="E7" s="383"/>
      <c r="F7" s="384"/>
      <c r="G7" s="383"/>
      <c r="H7" s="384"/>
      <c r="I7" s="383"/>
      <c r="J7" s="384"/>
      <c r="K7" s="383"/>
      <c r="L7" s="384"/>
      <c r="M7" s="383"/>
      <c r="N7" s="384"/>
      <c r="O7" s="383"/>
      <c r="P7" s="384"/>
      <c r="Q7" s="81" t="s">
        <v>182</v>
      </c>
      <c r="R7" s="77">
        <v>4</v>
      </c>
      <c r="S7" s="33" t="e">
        <f>AVERAGE(J38:J46)</f>
        <v>#REF!</v>
      </c>
      <c r="T7" s="33" t="e">
        <f>AVERAGE(P38:P46)</f>
        <v>#REF!</v>
      </c>
      <c r="U7" s="33" t="e">
        <f>AVERAGE(S7:T7)</f>
        <v>#REF!</v>
      </c>
    </row>
    <row r="8" spans="2:21" ht="16.5">
      <c r="B8" s="51" t="s">
        <v>5</v>
      </c>
      <c r="C8" s="30" t="s">
        <v>9</v>
      </c>
      <c r="D8" s="30" t="s">
        <v>12</v>
      </c>
      <c r="E8" s="383"/>
      <c r="F8" s="384"/>
      <c r="G8" s="383"/>
      <c r="H8" s="384"/>
      <c r="I8" s="383"/>
      <c r="J8" s="384"/>
      <c r="K8" s="383"/>
      <c r="L8" s="384"/>
      <c r="M8" s="383"/>
      <c r="N8" s="384"/>
      <c r="O8" s="383"/>
      <c r="P8" s="384"/>
      <c r="Q8" s="81" t="s">
        <v>605</v>
      </c>
      <c r="R8" s="77">
        <v>5</v>
      </c>
      <c r="S8" s="33">
        <f>AVERAGE(J47:J61)</f>
        <v>0.98611111111111105</v>
      </c>
      <c r="T8" s="33" t="e">
        <f>AVERAGE(P47:P61)</f>
        <v>#REF!</v>
      </c>
      <c r="U8" s="33" t="e">
        <f>AVERAGE(S8:T8)</f>
        <v>#REF!</v>
      </c>
    </row>
    <row r="9" spans="2:21" ht="16.5">
      <c r="B9" s="51" t="s">
        <v>5</v>
      </c>
      <c r="C9" s="30" t="s">
        <v>9</v>
      </c>
      <c r="D9" s="30" t="s">
        <v>13</v>
      </c>
      <c r="E9" s="383"/>
      <c r="F9" s="384"/>
      <c r="G9" s="383"/>
      <c r="H9" s="384"/>
      <c r="I9" s="383"/>
      <c r="J9" s="384"/>
      <c r="K9" s="383"/>
      <c r="L9" s="384"/>
      <c r="M9" s="383"/>
      <c r="N9" s="384"/>
      <c r="O9" s="383"/>
      <c r="P9" s="384"/>
      <c r="Q9" s="81" t="s">
        <v>184</v>
      </c>
      <c r="R9" s="77">
        <v>6</v>
      </c>
      <c r="S9" s="33">
        <f>AVERAGE(J63:J68)</f>
        <v>0.75694444444444442</v>
      </c>
      <c r="T9" s="33" t="e">
        <f>AVERAGE(P63:P68)</f>
        <v>#REF!</v>
      </c>
      <c r="U9" s="33" t="e">
        <f>AVERAGE(S9:T9)</f>
        <v>#REF!</v>
      </c>
    </row>
    <row r="10" spans="2:21" ht="16.5">
      <c r="B10" s="51" t="s">
        <v>5</v>
      </c>
      <c r="C10" s="30" t="s">
        <v>9</v>
      </c>
      <c r="D10" s="30" t="s">
        <v>14</v>
      </c>
      <c r="E10" s="383"/>
      <c r="F10" s="384"/>
      <c r="G10" s="383"/>
      <c r="H10" s="384"/>
      <c r="I10" s="383"/>
      <c r="J10" s="384"/>
      <c r="K10" s="383"/>
      <c r="L10" s="384"/>
      <c r="M10" s="383"/>
      <c r="N10" s="384"/>
      <c r="O10" s="383"/>
      <c r="P10" s="384"/>
      <c r="Q10" s="81" t="s">
        <v>185</v>
      </c>
      <c r="R10" s="77">
        <v>7</v>
      </c>
      <c r="S10" s="33">
        <f>AVERAGE(J69:J76)</f>
        <v>0.84722222222222232</v>
      </c>
      <c r="T10" s="33" t="e">
        <f>AVERAGE(P69:P76)</f>
        <v>#REF!</v>
      </c>
      <c r="U10" s="33" t="e">
        <f>AVERAGE(S10:T10)</f>
        <v>#REF!</v>
      </c>
    </row>
    <row r="11" spans="2:21" ht="16.5">
      <c r="B11" s="51" t="s">
        <v>5</v>
      </c>
      <c r="C11" s="30" t="s">
        <v>15</v>
      </c>
      <c r="D11" s="30" t="s">
        <v>16</v>
      </c>
      <c r="E11" s="383">
        <f>'TOP FEBRERO 2026'!BH10+'TOP FEBRERO 2026'!BH11+'TOP FEBRERO 2026'!BH12+'TOP FEBRERO 2026'!BH13+'TOP FEBRERO 2026'!BH14+'TOP FEBRERO 2026'!BH15</f>
        <v>20</v>
      </c>
      <c r="F11" s="384">
        <f>E11/18</f>
        <v>1.1111111111111112</v>
      </c>
      <c r="G11" s="383">
        <f>'TOP FEBRERO 2026'!BI10+'TOP FEBRERO 2026'!BI11+'TOP FEBRERO 2026'!BI12+'TOP FEBRERO 2026'!BI13+'TOP FEBRERO 2026'!BI14+'TOP FEBRERO 2026'!BI15</f>
        <v>18</v>
      </c>
      <c r="H11" s="384">
        <f>G11/18</f>
        <v>1</v>
      </c>
      <c r="I11" s="383">
        <f t="shared" si="0"/>
        <v>38</v>
      </c>
      <c r="J11" s="384">
        <f>I11/36</f>
        <v>1.0555555555555556</v>
      </c>
      <c r="K11" s="383" t="e">
        <f>#REF!+#REF!+#REF!+#REF!+#REF!+#REF!</f>
        <v>#REF!</v>
      </c>
      <c r="L11" s="384" t="e">
        <f>K11/18</f>
        <v>#REF!</v>
      </c>
      <c r="M11" s="383" t="e">
        <f>#REF!+#REF!+#REF!+#REF!+#REF!+#REF!</f>
        <v>#REF!</v>
      </c>
      <c r="N11" s="384" t="e">
        <f>M11/18</f>
        <v>#REF!</v>
      </c>
      <c r="O11" s="383" t="e">
        <f t="shared" ref="O11:O74" si="2">K11+M11</f>
        <v>#REF!</v>
      </c>
      <c r="P11" s="384" t="e">
        <f>O11/36</f>
        <v>#REF!</v>
      </c>
      <c r="Q11" s="81" t="s">
        <v>186</v>
      </c>
      <c r="R11" s="77">
        <v>8</v>
      </c>
      <c r="S11" s="33">
        <f>AVERAGE(J77:J81)</f>
        <v>0.81111111111111123</v>
      </c>
      <c r="T11" s="33" t="e">
        <f>AVERAGE(P77:P81)</f>
        <v>#REF!</v>
      </c>
      <c r="U11" s="33" t="e">
        <f>AVERAGE(S11:T11)</f>
        <v>#REF!</v>
      </c>
    </row>
    <row r="12" spans="2:21" ht="16.5">
      <c r="B12" s="51" t="s">
        <v>5</v>
      </c>
      <c r="C12" s="30" t="s">
        <v>15</v>
      </c>
      <c r="D12" s="30" t="s">
        <v>17</v>
      </c>
      <c r="E12" s="383"/>
      <c r="F12" s="384"/>
      <c r="G12" s="383"/>
      <c r="H12" s="384"/>
      <c r="I12" s="383"/>
      <c r="J12" s="384"/>
      <c r="K12" s="383"/>
      <c r="L12" s="384"/>
      <c r="M12" s="383"/>
      <c r="N12" s="384"/>
      <c r="O12" s="383"/>
      <c r="P12" s="384"/>
      <c r="Q12" s="81" t="s">
        <v>187</v>
      </c>
      <c r="R12" s="77">
        <v>9</v>
      </c>
      <c r="S12" s="33">
        <f>AVERAGE(J82)</f>
        <v>0.80555555555555558</v>
      </c>
      <c r="T12" s="33" t="e">
        <f>AVERAGE(P82)</f>
        <v>#REF!</v>
      </c>
      <c r="U12" s="33" t="e">
        <f>AVERAGE(S12:T12)</f>
        <v>#REF!</v>
      </c>
    </row>
    <row r="13" spans="2:21" ht="16.5">
      <c r="B13" s="51" t="s">
        <v>5</v>
      </c>
      <c r="C13" s="30" t="s">
        <v>15</v>
      </c>
      <c r="D13" s="30" t="s">
        <v>18</v>
      </c>
      <c r="E13" s="383"/>
      <c r="F13" s="384"/>
      <c r="G13" s="383"/>
      <c r="H13" s="384"/>
      <c r="I13" s="383"/>
      <c r="J13" s="384"/>
      <c r="K13" s="383"/>
      <c r="L13" s="384"/>
      <c r="M13" s="383"/>
      <c r="N13" s="384"/>
      <c r="O13" s="383"/>
      <c r="P13" s="384"/>
      <c r="Q13" s="81" t="s">
        <v>188</v>
      </c>
      <c r="R13" s="77">
        <v>10</v>
      </c>
      <c r="S13" s="33">
        <f>AVERAGE(J91:J92)</f>
        <v>0.77777777777777779</v>
      </c>
      <c r="T13" s="33" t="e">
        <f>AVERAGE(P91:P92)</f>
        <v>#REF!</v>
      </c>
      <c r="U13" s="33" t="e">
        <f>AVERAGE(S13:T13)</f>
        <v>#REF!</v>
      </c>
    </row>
    <row r="14" spans="2:21" ht="16.5">
      <c r="B14" s="51" t="s">
        <v>5</v>
      </c>
      <c r="C14" s="30" t="s">
        <v>15</v>
      </c>
      <c r="D14" s="30" t="s">
        <v>19</v>
      </c>
      <c r="E14" s="383"/>
      <c r="F14" s="384"/>
      <c r="G14" s="383"/>
      <c r="H14" s="384"/>
      <c r="I14" s="383"/>
      <c r="J14" s="384"/>
      <c r="K14" s="383"/>
      <c r="L14" s="384"/>
      <c r="M14" s="383"/>
      <c r="N14" s="384"/>
      <c r="O14" s="383"/>
      <c r="P14" s="384"/>
      <c r="Q14" s="81"/>
      <c r="R14" s="77" t="s">
        <v>150</v>
      </c>
      <c r="S14" s="33">
        <f>AVERAGE(J93:J100)</f>
        <v>0.30937500000000007</v>
      </c>
      <c r="T14" s="33" t="e">
        <f>AVERAGE(P93:P100)</f>
        <v>#REF!</v>
      </c>
      <c r="U14" s="33" t="e">
        <f>AVERAGE(S14:T14)</f>
        <v>#REF!</v>
      </c>
    </row>
    <row r="15" spans="2:21" ht="16.5">
      <c r="B15" s="51" t="s">
        <v>5</v>
      </c>
      <c r="C15" s="30" t="s">
        <v>15</v>
      </c>
      <c r="D15" s="30" t="s">
        <v>20</v>
      </c>
      <c r="E15" s="383"/>
      <c r="F15" s="384"/>
      <c r="G15" s="383"/>
      <c r="H15" s="384"/>
      <c r="I15" s="383"/>
      <c r="J15" s="384"/>
      <c r="K15" s="383"/>
      <c r="L15" s="384"/>
      <c r="M15" s="383"/>
      <c r="N15" s="384"/>
      <c r="O15" s="383"/>
      <c r="P15" s="384"/>
      <c r="Q15" s="81"/>
      <c r="R15" s="77" t="s">
        <v>190</v>
      </c>
      <c r="S15" s="33">
        <f>AVERAGE(J62)</f>
        <v>1.0555555555555556</v>
      </c>
      <c r="T15" s="33" t="e">
        <f>AVERAGE(P62)</f>
        <v>#REF!</v>
      </c>
      <c r="U15" s="33" t="e">
        <f>AVERAGE(S15:T15)</f>
        <v>#REF!</v>
      </c>
    </row>
    <row r="16" spans="2:21" ht="16.5">
      <c r="B16" s="51" t="s">
        <v>5</v>
      </c>
      <c r="C16" s="30" t="s">
        <v>15</v>
      </c>
      <c r="D16" s="30" t="s">
        <v>21</v>
      </c>
      <c r="E16" s="383"/>
      <c r="F16" s="384"/>
      <c r="G16" s="383"/>
      <c r="H16" s="384"/>
      <c r="I16" s="383"/>
      <c r="J16" s="384"/>
      <c r="K16" s="383"/>
      <c r="L16" s="384"/>
      <c r="M16" s="383"/>
      <c r="N16" s="384"/>
      <c r="O16" s="383"/>
      <c r="P16" s="384"/>
      <c r="Q16" s="81"/>
      <c r="R16" s="115" t="s">
        <v>191</v>
      </c>
      <c r="S16" s="116" t="e">
        <f>AVERAGE(S4:S15)</f>
        <v>#REF!</v>
      </c>
      <c r="T16" s="116" t="e">
        <f>AVERAGE(T4:T15)</f>
        <v>#REF!</v>
      </c>
      <c r="U16" s="116" t="e">
        <f>AVERAGE(U4:U15)</f>
        <v>#REF!</v>
      </c>
    </row>
    <row r="17" spans="2:17" ht="16.5">
      <c r="B17" s="51" t="s">
        <v>5</v>
      </c>
      <c r="C17" s="30" t="s">
        <v>22</v>
      </c>
      <c r="D17" s="30" t="s">
        <v>23</v>
      </c>
      <c r="E17" s="383">
        <f>'TOP FEBRERO 2026'!BH16+'TOP FEBRERO 2026'!BH17+'TOP FEBRERO 2026'!BH18</f>
        <v>17</v>
      </c>
      <c r="F17" s="384">
        <f>E17/18</f>
        <v>0.94444444444444442</v>
      </c>
      <c r="G17" s="383">
        <f>'TOP FEBRERO 2026'!BI16+'TOP FEBRERO 2026'!BI17+'TOP FEBRERO 2026'!BI18</f>
        <v>16</v>
      </c>
      <c r="H17" s="384">
        <f>G17/18</f>
        <v>0.88888888888888884</v>
      </c>
      <c r="I17" s="383">
        <f t="shared" si="0"/>
        <v>33</v>
      </c>
      <c r="J17" s="384">
        <f>I17/36</f>
        <v>0.91666666666666663</v>
      </c>
      <c r="K17" s="383" t="e">
        <f>#REF!+#REF!+#REF!</f>
        <v>#REF!</v>
      </c>
      <c r="L17" s="384" t="e">
        <f>K17/18</f>
        <v>#REF!</v>
      </c>
      <c r="M17" s="383" t="e">
        <f>#REF!+#REF!+#REF!</f>
        <v>#REF!</v>
      </c>
      <c r="N17" s="384" t="e">
        <f>M17/18</f>
        <v>#REF!</v>
      </c>
      <c r="O17" s="383" t="e">
        <f t="shared" ref="O17:O80" si="3">K17+M17</f>
        <v>#REF!</v>
      </c>
      <c r="P17" s="384" t="e">
        <f>O17/36</f>
        <v>#REF!</v>
      </c>
      <c r="Q17" s="81"/>
    </row>
    <row r="18" spans="2:17" ht="16.5">
      <c r="B18" s="51" t="s">
        <v>5</v>
      </c>
      <c r="C18" s="30" t="s">
        <v>22</v>
      </c>
      <c r="D18" s="30" t="s">
        <v>24</v>
      </c>
      <c r="E18" s="383"/>
      <c r="F18" s="384"/>
      <c r="G18" s="383"/>
      <c r="H18" s="384"/>
      <c r="I18" s="383"/>
      <c r="J18" s="384"/>
      <c r="K18" s="383"/>
      <c r="L18" s="384"/>
      <c r="M18" s="383"/>
      <c r="N18" s="384"/>
      <c r="O18" s="383"/>
      <c r="P18" s="384"/>
      <c r="Q18" s="81"/>
    </row>
    <row r="19" spans="2:17" ht="16.5">
      <c r="B19" s="51" t="s">
        <v>5</v>
      </c>
      <c r="C19" s="30" t="s">
        <v>22</v>
      </c>
      <c r="D19" s="30" t="s">
        <v>25</v>
      </c>
      <c r="E19" s="383"/>
      <c r="F19" s="384"/>
      <c r="G19" s="383"/>
      <c r="H19" s="384"/>
      <c r="I19" s="383"/>
      <c r="J19" s="384"/>
      <c r="K19" s="383"/>
      <c r="L19" s="384"/>
      <c r="M19" s="383"/>
      <c r="N19" s="384"/>
      <c r="O19" s="383"/>
      <c r="P19" s="384"/>
      <c r="Q19" s="81"/>
    </row>
    <row r="20" spans="2:17" ht="16.5">
      <c r="B20" s="82" t="s">
        <v>26</v>
      </c>
      <c r="C20" s="49" t="s">
        <v>27</v>
      </c>
      <c r="D20" s="49" t="s">
        <v>28</v>
      </c>
      <c r="E20" s="49">
        <f>'TOP FEBRERO 2026'!BH19</f>
        <v>18</v>
      </c>
      <c r="F20" s="50">
        <f>E20/18</f>
        <v>1</v>
      </c>
      <c r="G20" s="49">
        <f>'TOP FEBRERO 2026'!BI19</f>
        <v>16</v>
      </c>
      <c r="H20" s="50">
        <f>G20/18</f>
        <v>0.88888888888888884</v>
      </c>
      <c r="I20" s="49">
        <f>E20+G20</f>
        <v>34</v>
      </c>
      <c r="J20" s="50">
        <f>I20/36</f>
        <v>0.94444444444444442</v>
      </c>
      <c r="K20" s="49" t="e">
        <f>#REF!</f>
        <v>#REF!</v>
      </c>
      <c r="L20" s="50" t="e">
        <f>K20/18</f>
        <v>#REF!</v>
      </c>
      <c r="M20" s="49" t="e">
        <f>#REF!</f>
        <v>#REF!</v>
      </c>
      <c r="N20" s="50" t="e">
        <f>M20/18</f>
        <v>#REF!</v>
      </c>
      <c r="O20" s="49" t="e">
        <f>K20+M20</f>
        <v>#REF!</v>
      </c>
      <c r="P20" s="50" t="e">
        <f>O20/36</f>
        <v>#REF!</v>
      </c>
    </row>
    <row r="21" spans="2:17" ht="16.5">
      <c r="B21" s="34" t="s">
        <v>26</v>
      </c>
      <c r="C21" s="30" t="s">
        <v>29</v>
      </c>
      <c r="D21" s="30" t="s">
        <v>30</v>
      </c>
      <c r="E21" s="30">
        <f>'TOP FEBRERO 2026'!BH20</f>
        <v>18</v>
      </c>
      <c r="F21" s="33">
        <f>E21/18</f>
        <v>1</v>
      </c>
      <c r="G21" s="30">
        <f>'TOP FEBRERO 2026'!BI20</f>
        <v>18</v>
      </c>
      <c r="H21" s="33">
        <f>G21/18</f>
        <v>1</v>
      </c>
      <c r="I21" s="30">
        <f>E21+G21</f>
        <v>36</v>
      </c>
      <c r="J21" s="33">
        <f>I21/36</f>
        <v>1</v>
      </c>
      <c r="K21" s="30" t="e">
        <f>#REF!</f>
        <v>#REF!</v>
      </c>
      <c r="L21" s="33" t="e">
        <f>K21/18</f>
        <v>#REF!</v>
      </c>
      <c r="M21" s="30" t="e">
        <f>#REF!</f>
        <v>#REF!</v>
      </c>
      <c r="N21" s="33" t="e">
        <f>M21/18</f>
        <v>#REF!</v>
      </c>
      <c r="O21" s="30" t="e">
        <f>K21+M21</f>
        <v>#REF!</v>
      </c>
      <c r="P21" s="33" t="e">
        <f>O21/36</f>
        <v>#REF!</v>
      </c>
    </row>
    <row r="22" spans="2:17" ht="16.5">
      <c r="B22" s="34" t="s">
        <v>26</v>
      </c>
      <c r="C22" s="30" t="s">
        <v>31</v>
      </c>
      <c r="D22" s="30" t="s">
        <v>32</v>
      </c>
      <c r="E22" s="371">
        <f>'TOP FEBRERO 2026'!BH21+'TOP FEBRERO 2026'!BH22+'TOP FEBRERO 2026'!BH23+'TOP FEBRERO 2026'!BH24+'TOP FEBRERO 2026'!BH25+'TOP FEBRERO 2026'!BH26+'TOP FEBRERO 2026'!BH27</f>
        <v>15</v>
      </c>
      <c r="F22" s="373">
        <f>E22/18</f>
        <v>0.83333333333333337</v>
      </c>
      <c r="G22" s="371">
        <f>'TOP FEBRERO 2026'!BI21+'TOP FEBRERO 2026'!BI22+'TOP FEBRERO 2026'!BI23+'TOP FEBRERO 2026'!BI24+'TOP FEBRERO 2026'!BI25+'TOP FEBRERO 2026'!BI26+'TOP FEBRERO 2026'!BI27</f>
        <v>3</v>
      </c>
      <c r="H22" s="373">
        <f>G22/18</f>
        <v>0.16666666666666666</v>
      </c>
      <c r="I22" s="371">
        <f t="shared" si="0"/>
        <v>18</v>
      </c>
      <c r="J22" s="373">
        <f>I22/36</f>
        <v>0.5</v>
      </c>
      <c r="K22" s="371" t="e">
        <f>#REF!+#REF!+#REF!+#REF!+#REF!+#REF!+#REF!</f>
        <v>#REF!</v>
      </c>
      <c r="L22" s="373" t="e">
        <f>K22/18</f>
        <v>#REF!</v>
      </c>
      <c r="M22" s="371" t="e">
        <f>#REF!+#REF!+#REF!+#REF!+#REF!+#REF!+#REF!</f>
        <v>#REF!</v>
      </c>
      <c r="N22" s="373" t="e">
        <f>M22/18</f>
        <v>#REF!</v>
      </c>
      <c r="O22" s="371" t="e">
        <f t="shared" ref="O22:O30" si="4">K22+M22</f>
        <v>#REF!</v>
      </c>
      <c r="P22" s="373" t="e">
        <f>O22/36</f>
        <v>#REF!</v>
      </c>
    </row>
    <row r="23" spans="2:17" ht="16.5">
      <c r="B23" s="34" t="s">
        <v>26</v>
      </c>
      <c r="C23" s="30" t="s">
        <v>31</v>
      </c>
      <c r="D23" s="30" t="s">
        <v>33</v>
      </c>
      <c r="E23" s="378"/>
      <c r="F23" s="379"/>
      <c r="G23" s="378"/>
      <c r="H23" s="379"/>
      <c r="I23" s="378"/>
      <c r="J23" s="379"/>
      <c r="K23" s="378"/>
      <c r="L23" s="379"/>
      <c r="M23" s="378"/>
      <c r="N23" s="379"/>
      <c r="O23" s="378"/>
      <c r="P23" s="379"/>
    </row>
    <row r="24" spans="2:17" ht="16.5">
      <c r="B24" s="34" t="s">
        <v>26</v>
      </c>
      <c r="C24" s="30" t="s">
        <v>31</v>
      </c>
      <c r="D24" s="30" t="s">
        <v>34</v>
      </c>
      <c r="E24" s="378"/>
      <c r="F24" s="379"/>
      <c r="G24" s="378"/>
      <c r="H24" s="379"/>
      <c r="I24" s="378"/>
      <c r="J24" s="379"/>
      <c r="K24" s="378"/>
      <c r="L24" s="379"/>
      <c r="M24" s="378"/>
      <c r="N24" s="379"/>
      <c r="O24" s="378"/>
      <c r="P24" s="379"/>
    </row>
    <row r="25" spans="2:17" ht="16.5">
      <c r="B25" s="34" t="s">
        <v>26</v>
      </c>
      <c r="C25" s="30" t="s">
        <v>31</v>
      </c>
      <c r="D25" s="30" t="s">
        <v>35</v>
      </c>
      <c r="E25" s="378"/>
      <c r="F25" s="379"/>
      <c r="G25" s="378"/>
      <c r="H25" s="379"/>
      <c r="I25" s="378"/>
      <c r="J25" s="379"/>
      <c r="K25" s="378"/>
      <c r="L25" s="379"/>
      <c r="M25" s="378"/>
      <c r="N25" s="379"/>
      <c r="O25" s="378"/>
      <c r="P25" s="379"/>
    </row>
    <row r="26" spans="2:17" ht="16.5">
      <c r="B26" s="34" t="s">
        <v>26</v>
      </c>
      <c r="C26" s="30" t="s">
        <v>31</v>
      </c>
      <c r="D26" s="30" t="s">
        <v>36</v>
      </c>
      <c r="E26" s="378"/>
      <c r="F26" s="379"/>
      <c r="G26" s="378"/>
      <c r="H26" s="379"/>
      <c r="I26" s="378"/>
      <c r="J26" s="379"/>
      <c r="K26" s="378"/>
      <c r="L26" s="379"/>
      <c r="M26" s="378"/>
      <c r="N26" s="379"/>
      <c r="O26" s="378"/>
      <c r="P26" s="379"/>
    </row>
    <row r="27" spans="2:17" ht="16.5">
      <c r="B27" s="34" t="s">
        <v>26</v>
      </c>
      <c r="C27" s="30" t="s">
        <v>31</v>
      </c>
      <c r="D27" s="30" t="s">
        <v>37</v>
      </c>
      <c r="E27" s="378"/>
      <c r="F27" s="379"/>
      <c r="G27" s="378"/>
      <c r="H27" s="379"/>
      <c r="I27" s="378"/>
      <c r="J27" s="379"/>
      <c r="K27" s="378"/>
      <c r="L27" s="379"/>
      <c r="M27" s="378"/>
      <c r="N27" s="379"/>
      <c r="O27" s="378"/>
      <c r="P27" s="379"/>
    </row>
    <row r="28" spans="2:17" ht="16.5">
      <c r="B28" s="34" t="s">
        <v>26</v>
      </c>
      <c r="C28" s="30" t="s">
        <v>31</v>
      </c>
      <c r="D28" s="30" t="s">
        <v>38</v>
      </c>
      <c r="E28" s="372"/>
      <c r="F28" s="374"/>
      <c r="G28" s="372"/>
      <c r="H28" s="374"/>
      <c r="I28" s="372"/>
      <c r="J28" s="374"/>
      <c r="K28" s="372"/>
      <c r="L28" s="374"/>
      <c r="M28" s="372"/>
      <c r="N28" s="374"/>
      <c r="O28" s="372"/>
      <c r="P28" s="374"/>
    </row>
    <row r="29" spans="2:17" ht="16.5">
      <c r="B29" s="34" t="s">
        <v>26</v>
      </c>
      <c r="C29" s="30" t="s">
        <v>39</v>
      </c>
      <c r="D29" s="30" t="s">
        <v>40</v>
      </c>
      <c r="E29" s="30">
        <f>'TOP FEBRERO 2026'!BH28</f>
        <v>19</v>
      </c>
      <c r="F29" s="33">
        <f>E29/18</f>
        <v>1.0555555555555556</v>
      </c>
      <c r="G29" s="30">
        <f>'TOP FEBRERO 2026'!BI28</f>
        <v>17</v>
      </c>
      <c r="H29" s="33">
        <f>G29/18</f>
        <v>0.94444444444444442</v>
      </c>
      <c r="I29" s="30">
        <f t="shared" si="0"/>
        <v>36</v>
      </c>
      <c r="J29" s="33">
        <f>I29/36</f>
        <v>1</v>
      </c>
      <c r="K29" s="30" t="e">
        <f>#REF!</f>
        <v>#REF!</v>
      </c>
      <c r="L29" s="33" t="e">
        <f>K29/18</f>
        <v>#REF!</v>
      </c>
      <c r="M29" s="30" t="e">
        <f>#REF!</f>
        <v>#REF!</v>
      </c>
      <c r="N29" s="33" t="e">
        <f>M29/18</f>
        <v>#REF!</v>
      </c>
      <c r="O29" s="30" t="e">
        <f t="shared" ref="O29:O33" si="5">K29+M29</f>
        <v>#REF!</v>
      </c>
      <c r="P29" s="33" t="e">
        <f>O29/36</f>
        <v>#REF!</v>
      </c>
    </row>
    <row r="30" spans="2:17" ht="16.5">
      <c r="B30" s="34" t="s">
        <v>26</v>
      </c>
      <c r="C30" s="30" t="s">
        <v>41</v>
      </c>
      <c r="D30" s="30" t="s">
        <v>42</v>
      </c>
      <c r="E30" s="30">
        <f>'TOP FEBRERO 2026'!BH29</f>
        <v>15</v>
      </c>
      <c r="F30" s="33">
        <f>E30/18</f>
        <v>0.83333333333333337</v>
      </c>
      <c r="G30" s="30">
        <f>'TOP FEBRERO 2026'!BI29</f>
        <v>4</v>
      </c>
      <c r="H30" s="33">
        <f>G30/18</f>
        <v>0.22222222222222221</v>
      </c>
      <c r="I30" s="30">
        <f t="shared" si="0"/>
        <v>19</v>
      </c>
      <c r="J30" s="33">
        <f>I30/36</f>
        <v>0.52777777777777779</v>
      </c>
      <c r="K30" s="30" t="e">
        <f>#REF!</f>
        <v>#REF!</v>
      </c>
      <c r="L30" s="33" t="e">
        <f>K30/18</f>
        <v>#REF!</v>
      </c>
      <c r="M30" s="30" t="e">
        <f>#REF!</f>
        <v>#REF!</v>
      </c>
      <c r="N30" s="33" t="e">
        <f>M30/18</f>
        <v>#REF!</v>
      </c>
      <c r="O30" s="30" t="e">
        <f t="shared" si="5"/>
        <v>#REF!</v>
      </c>
      <c r="P30" s="33" t="e">
        <f>O30/36</f>
        <v>#REF!</v>
      </c>
    </row>
    <row r="31" spans="2:17" ht="16.5">
      <c r="B31" s="34" t="s">
        <v>43</v>
      </c>
      <c r="C31" s="30" t="s">
        <v>44</v>
      </c>
      <c r="D31" s="30" t="s">
        <v>45</v>
      </c>
      <c r="E31" s="30">
        <f>'TOP FEBRERO 2026'!BH30</f>
        <v>19</v>
      </c>
      <c r="F31" s="33">
        <f>E31/18</f>
        <v>1.0555555555555556</v>
      </c>
      <c r="G31" s="30">
        <f>'TOP FEBRERO 2026'!BI30</f>
        <v>18</v>
      </c>
      <c r="H31" s="33">
        <f>G31/18</f>
        <v>1</v>
      </c>
      <c r="I31" s="30">
        <f t="shared" si="0"/>
        <v>37</v>
      </c>
      <c r="J31" s="33">
        <f>I31/36</f>
        <v>1.0277777777777777</v>
      </c>
      <c r="K31" s="30" t="e">
        <f>#REF!</f>
        <v>#REF!</v>
      </c>
      <c r="L31" s="33" t="e">
        <f>K31/18</f>
        <v>#REF!</v>
      </c>
      <c r="M31" s="30" t="e">
        <f>#REF!</f>
        <v>#REF!</v>
      </c>
      <c r="N31" s="33" t="e">
        <f>M31/18</f>
        <v>#REF!</v>
      </c>
      <c r="O31" s="30" t="e">
        <f t="shared" si="5"/>
        <v>#REF!</v>
      </c>
      <c r="P31" s="33" t="e">
        <f>O31/36</f>
        <v>#REF!</v>
      </c>
    </row>
    <row r="32" spans="2:17" ht="16.5">
      <c r="B32" s="34" t="s">
        <v>43</v>
      </c>
      <c r="C32" s="30" t="s">
        <v>46</v>
      </c>
      <c r="D32" s="30" t="s">
        <v>47</v>
      </c>
      <c r="E32" s="30">
        <f>'TOP FEBRERO 2026'!BH31</f>
        <v>19</v>
      </c>
      <c r="F32" s="33">
        <f>E32/18</f>
        <v>1.0555555555555556</v>
      </c>
      <c r="G32" s="30">
        <f>'TOP FEBRERO 2026'!BI31</f>
        <v>16</v>
      </c>
      <c r="H32" s="33">
        <f>G32/18</f>
        <v>0.88888888888888884</v>
      </c>
      <c r="I32" s="30">
        <f t="shared" si="0"/>
        <v>35</v>
      </c>
      <c r="J32" s="33">
        <f>I32/36</f>
        <v>0.97222222222222221</v>
      </c>
      <c r="K32" s="30" t="e">
        <f>#REF!</f>
        <v>#REF!</v>
      </c>
      <c r="L32" s="33" t="e">
        <f>K32/18</f>
        <v>#REF!</v>
      </c>
      <c r="M32" s="30" t="e">
        <f>#REF!</f>
        <v>#REF!</v>
      </c>
      <c r="N32" s="33" t="e">
        <f>M32/18</f>
        <v>#REF!</v>
      </c>
      <c r="O32" s="30" t="e">
        <f t="shared" si="5"/>
        <v>#REF!</v>
      </c>
      <c r="P32" s="33" t="e">
        <f>O32/36</f>
        <v>#REF!</v>
      </c>
    </row>
    <row r="33" spans="2:16" ht="16.5">
      <c r="B33" s="34" t="s">
        <v>43</v>
      </c>
      <c r="C33" s="30" t="s">
        <v>48</v>
      </c>
      <c r="D33" s="30" t="s">
        <v>49</v>
      </c>
      <c r="E33" s="371">
        <f>'TOP FEBRERO 2026'!BH32+'TOP FEBRERO 2026'!BH33</f>
        <v>19</v>
      </c>
      <c r="F33" s="373">
        <f>E33/18</f>
        <v>1.0555555555555556</v>
      </c>
      <c r="G33" s="371">
        <f>'TOP FEBRERO 2026'!BI32+'TOP FEBRERO 2026'!BI33</f>
        <v>16</v>
      </c>
      <c r="H33" s="373">
        <f>G33/18</f>
        <v>0.88888888888888884</v>
      </c>
      <c r="I33" s="371">
        <f t="shared" si="0"/>
        <v>35</v>
      </c>
      <c r="J33" s="373">
        <f>I33/36</f>
        <v>0.97222222222222221</v>
      </c>
      <c r="K33" s="371" t="e">
        <f>#REF!+#REF!</f>
        <v>#REF!</v>
      </c>
      <c r="L33" s="373" t="e">
        <f>K33/18</f>
        <v>#REF!</v>
      </c>
      <c r="M33" s="371" t="e">
        <f>#REF!+#REF!</f>
        <v>#REF!</v>
      </c>
      <c r="N33" s="373" t="e">
        <f>M33/18</f>
        <v>#REF!</v>
      </c>
      <c r="O33" s="371" t="e">
        <f t="shared" si="5"/>
        <v>#REF!</v>
      </c>
      <c r="P33" s="373" t="e">
        <f>O33/36</f>
        <v>#REF!</v>
      </c>
    </row>
    <row r="34" spans="2:16" ht="16.5">
      <c r="B34" s="34" t="s">
        <v>43</v>
      </c>
      <c r="C34" s="30" t="s">
        <v>48</v>
      </c>
      <c r="D34" s="30" t="s">
        <v>50</v>
      </c>
      <c r="E34" s="372"/>
      <c r="F34" s="374"/>
      <c r="G34" s="372"/>
      <c r="H34" s="374"/>
      <c r="I34" s="372"/>
      <c r="J34" s="374"/>
      <c r="K34" s="372"/>
      <c r="L34" s="374"/>
      <c r="M34" s="372"/>
      <c r="N34" s="374"/>
      <c r="O34" s="372"/>
      <c r="P34" s="374"/>
    </row>
    <row r="35" spans="2:16" ht="16.5">
      <c r="B35" s="34" t="s">
        <v>43</v>
      </c>
      <c r="C35" s="30" t="s">
        <v>51</v>
      </c>
      <c r="D35" s="30" t="s">
        <v>52</v>
      </c>
      <c r="E35" s="371">
        <f>'TOP FEBRERO 2026'!BH34+'TOP FEBRERO 2026'!BH35</f>
        <v>18</v>
      </c>
      <c r="F35" s="373">
        <f>E35/18</f>
        <v>1</v>
      </c>
      <c r="G35" s="371">
        <f>'TOP FEBRERO 2026'!BI34+'TOP FEBRERO 2026'!BI35</f>
        <v>14</v>
      </c>
      <c r="H35" s="373">
        <f>G35/18</f>
        <v>0.77777777777777779</v>
      </c>
      <c r="I35" s="371">
        <f t="shared" si="0"/>
        <v>32</v>
      </c>
      <c r="J35" s="373">
        <f>I35/36</f>
        <v>0.88888888888888884</v>
      </c>
      <c r="K35" s="371" t="e">
        <f>#REF!+#REF!</f>
        <v>#REF!</v>
      </c>
      <c r="L35" s="373" t="e">
        <f>K35/18</f>
        <v>#REF!</v>
      </c>
      <c r="M35" s="371" t="e">
        <f>#REF!+#REF!</f>
        <v>#REF!</v>
      </c>
      <c r="N35" s="373" t="e">
        <f>M35/18</f>
        <v>#REF!</v>
      </c>
      <c r="O35" s="371" t="e">
        <f t="shared" ref="O35:O37" si="6">K35+M35</f>
        <v>#REF!</v>
      </c>
      <c r="P35" s="373" t="e">
        <f>O35/36</f>
        <v>#REF!</v>
      </c>
    </row>
    <row r="36" spans="2:16" ht="16.5">
      <c r="B36" s="34" t="s">
        <v>43</v>
      </c>
      <c r="C36" s="30" t="s">
        <v>51</v>
      </c>
      <c r="D36" s="30" t="s">
        <v>53</v>
      </c>
      <c r="E36" s="372"/>
      <c r="F36" s="374"/>
      <c r="G36" s="372"/>
      <c r="H36" s="374"/>
      <c r="I36" s="372"/>
      <c r="J36" s="374"/>
      <c r="K36" s="372"/>
      <c r="L36" s="374"/>
      <c r="M36" s="372"/>
      <c r="N36" s="374"/>
      <c r="O36" s="372"/>
      <c r="P36" s="374"/>
    </row>
    <row r="37" spans="2:16" ht="16.5">
      <c r="B37" s="34" t="s">
        <v>43</v>
      </c>
      <c r="C37" s="30" t="s">
        <v>54</v>
      </c>
      <c r="D37" s="30" t="s">
        <v>55</v>
      </c>
      <c r="E37" s="30">
        <f>'TOP FEBRERO 2026'!BH36</f>
        <v>18</v>
      </c>
      <c r="F37" s="33">
        <f>E37/18</f>
        <v>1</v>
      </c>
      <c r="G37" s="30">
        <f>'TOP FEBRERO 2026'!BI36</f>
        <v>15</v>
      </c>
      <c r="H37" s="33">
        <f>G37/18</f>
        <v>0.83333333333333337</v>
      </c>
      <c r="I37" s="30">
        <f t="shared" si="0"/>
        <v>33</v>
      </c>
      <c r="J37" s="33">
        <f>I37/36</f>
        <v>0.91666666666666663</v>
      </c>
      <c r="K37" s="30" t="e">
        <f>#REF!</f>
        <v>#REF!</v>
      </c>
      <c r="L37" s="33" t="e">
        <f>K37/18</f>
        <v>#REF!</v>
      </c>
      <c r="M37" s="30" t="e">
        <f>#REF!</f>
        <v>#REF!</v>
      </c>
      <c r="N37" s="33" t="e">
        <f>M37/18</f>
        <v>#REF!</v>
      </c>
      <c r="O37" s="30" t="e">
        <f t="shared" ref="O37:O38" si="7">K37+M37</f>
        <v>#REF!</v>
      </c>
      <c r="P37" s="33" t="e">
        <f>O37/36</f>
        <v>#REF!</v>
      </c>
    </row>
    <row r="38" spans="2:16" ht="16.5">
      <c r="B38" s="34" t="s">
        <v>56</v>
      </c>
      <c r="C38" s="30" t="s">
        <v>57</v>
      </c>
      <c r="D38" s="30" t="s">
        <v>58</v>
      </c>
      <c r="E38" s="371">
        <f>'TOP FEBRERO 2026'!BH37+'TOP FEBRERO 2026'!BH38</f>
        <v>16</v>
      </c>
      <c r="F38" s="373">
        <f>E38/18</f>
        <v>0.88888888888888884</v>
      </c>
      <c r="G38" s="371">
        <f>'TOP FEBRERO 2026'!BI37+'TOP FEBRERO 2026'!BI38</f>
        <v>16</v>
      </c>
      <c r="H38" s="373">
        <f>G38/18</f>
        <v>0.88888888888888884</v>
      </c>
      <c r="I38" s="371">
        <f t="shared" si="0"/>
        <v>32</v>
      </c>
      <c r="J38" s="373">
        <f>I38/36</f>
        <v>0.88888888888888884</v>
      </c>
      <c r="K38" s="371" t="e">
        <f>#REF!+#REF!</f>
        <v>#REF!</v>
      </c>
      <c r="L38" s="373" t="e">
        <f>K38/18</f>
        <v>#REF!</v>
      </c>
      <c r="M38" s="371" t="e">
        <f>#REF!+#REF!</f>
        <v>#REF!</v>
      </c>
      <c r="N38" s="373" t="e">
        <f>M38/18</f>
        <v>#REF!</v>
      </c>
      <c r="O38" s="371" t="e">
        <f t="shared" si="7"/>
        <v>#REF!</v>
      </c>
      <c r="P38" s="373" t="e">
        <f>O38/36</f>
        <v>#REF!</v>
      </c>
    </row>
    <row r="39" spans="2:16" ht="16.5">
      <c r="B39" s="34" t="s">
        <v>56</v>
      </c>
      <c r="C39" s="30" t="s">
        <v>57</v>
      </c>
      <c r="D39" s="30" t="s">
        <v>59</v>
      </c>
      <c r="E39" s="372"/>
      <c r="F39" s="374"/>
      <c r="G39" s="372"/>
      <c r="H39" s="374"/>
      <c r="I39" s="372"/>
      <c r="J39" s="374"/>
      <c r="K39" s="372"/>
      <c r="L39" s="374"/>
      <c r="M39" s="372"/>
      <c r="N39" s="374"/>
      <c r="O39" s="372"/>
      <c r="P39" s="374"/>
    </row>
    <row r="40" spans="2:16" ht="16.5">
      <c r="B40" s="34" t="s">
        <v>56</v>
      </c>
      <c r="C40" s="30" t="s">
        <v>60</v>
      </c>
      <c r="D40" s="30" t="s">
        <v>61</v>
      </c>
      <c r="E40" s="371">
        <f>'TOP FEBRERO 2026'!BH39+'TOP FEBRERO 2026'!BH40</f>
        <v>19</v>
      </c>
      <c r="F40" s="373">
        <f>E40/18</f>
        <v>1.0555555555555556</v>
      </c>
      <c r="G40" s="371">
        <f>'TOP FEBRERO 2026'!BI39+'TOP FEBRERO 2026'!BI40</f>
        <v>15</v>
      </c>
      <c r="H40" s="373">
        <f>G40/18</f>
        <v>0.83333333333333337</v>
      </c>
      <c r="I40" s="371">
        <f t="shared" si="0"/>
        <v>34</v>
      </c>
      <c r="J40" s="373">
        <f>I40/36</f>
        <v>0.94444444444444442</v>
      </c>
      <c r="K40" s="371" t="e">
        <f>#REF!+#REF!</f>
        <v>#REF!</v>
      </c>
      <c r="L40" s="373" t="e">
        <f>K40/18</f>
        <v>#REF!</v>
      </c>
      <c r="M40" s="371" t="e">
        <f>#REF!+#REF!</f>
        <v>#REF!</v>
      </c>
      <c r="N40" s="373" t="e">
        <f>M40/18</f>
        <v>#REF!</v>
      </c>
      <c r="O40" s="371" t="e">
        <f t="shared" ref="O40:O46" si="8">K40+M40</f>
        <v>#REF!</v>
      </c>
      <c r="P40" s="373" t="e">
        <f>O40/36</f>
        <v>#REF!</v>
      </c>
    </row>
    <row r="41" spans="2:16" ht="16.5">
      <c r="B41" s="34" t="s">
        <v>56</v>
      </c>
      <c r="C41" s="30" t="s">
        <v>60</v>
      </c>
      <c r="D41" s="30" t="s">
        <v>62</v>
      </c>
      <c r="E41" s="372"/>
      <c r="F41" s="374"/>
      <c r="G41" s="372"/>
      <c r="H41" s="374"/>
      <c r="I41" s="372"/>
      <c r="J41" s="374"/>
      <c r="K41" s="372"/>
      <c r="L41" s="374"/>
      <c r="M41" s="372"/>
      <c r="N41" s="374"/>
      <c r="O41" s="372"/>
      <c r="P41" s="374"/>
    </row>
    <row r="42" spans="2:16" ht="16.5">
      <c r="B42" s="34" t="s">
        <v>56</v>
      </c>
      <c r="C42" s="30" t="s">
        <v>63</v>
      </c>
      <c r="D42" s="30" t="s">
        <v>64</v>
      </c>
      <c r="E42" s="371">
        <f>'TOP FEBRERO 2026'!BH41+'TOP FEBRERO 2026'!BH42</f>
        <v>16</v>
      </c>
      <c r="F42" s="373">
        <f>E42/18</f>
        <v>0.88888888888888884</v>
      </c>
      <c r="G42" s="371">
        <f>'TOP FEBRERO 2026'!BI41+'TOP FEBRERO 2026'!BI42</f>
        <v>9</v>
      </c>
      <c r="H42" s="373">
        <f>G42/18</f>
        <v>0.5</v>
      </c>
      <c r="I42" s="371">
        <f t="shared" si="0"/>
        <v>25</v>
      </c>
      <c r="J42" s="373">
        <f>I42/36</f>
        <v>0.69444444444444442</v>
      </c>
      <c r="K42" s="371" t="e">
        <f>#REF!+#REF!</f>
        <v>#REF!</v>
      </c>
      <c r="L42" s="373" t="e">
        <f>K42/18</f>
        <v>#REF!</v>
      </c>
      <c r="M42" s="371" t="e">
        <f>#REF!+#REF!</f>
        <v>#REF!</v>
      </c>
      <c r="N42" s="373" t="e">
        <f>M42/18</f>
        <v>#REF!</v>
      </c>
      <c r="O42" s="371" t="e">
        <f t="shared" ref="O42:O46" si="9">K42+M42</f>
        <v>#REF!</v>
      </c>
      <c r="P42" s="373" t="e">
        <f>O42/36</f>
        <v>#REF!</v>
      </c>
    </row>
    <row r="43" spans="2:16" ht="16.5">
      <c r="B43" s="34" t="s">
        <v>56</v>
      </c>
      <c r="C43" s="30" t="s">
        <v>63</v>
      </c>
      <c r="D43" s="30" t="s">
        <v>65</v>
      </c>
      <c r="E43" s="372"/>
      <c r="F43" s="374"/>
      <c r="G43" s="372"/>
      <c r="H43" s="374"/>
      <c r="I43" s="372"/>
      <c r="J43" s="374"/>
      <c r="K43" s="372"/>
      <c r="L43" s="374"/>
      <c r="M43" s="372"/>
      <c r="N43" s="374"/>
      <c r="O43" s="372"/>
      <c r="P43" s="374"/>
    </row>
    <row r="44" spans="2:16" ht="16.5">
      <c r="B44" s="34" t="s">
        <v>56</v>
      </c>
      <c r="C44" s="30" t="s">
        <v>66</v>
      </c>
      <c r="D44" s="30" t="s">
        <v>67</v>
      </c>
      <c r="E44" s="30">
        <f>'TOP FEBRERO 2026'!BH43</f>
        <v>17</v>
      </c>
      <c r="F44" s="33">
        <f>E44/18</f>
        <v>0.94444444444444442</v>
      </c>
      <c r="G44" s="30">
        <f>'TOP FEBRERO 2026'!BI43</f>
        <v>14</v>
      </c>
      <c r="H44" s="33">
        <f>G44/18</f>
        <v>0.77777777777777779</v>
      </c>
      <c r="I44" s="30">
        <f t="shared" si="0"/>
        <v>31</v>
      </c>
      <c r="J44" s="33">
        <f>I44/36</f>
        <v>0.86111111111111116</v>
      </c>
      <c r="K44" s="30" t="e">
        <f>#REF!</f>
        <v>#REF!</v>
      </c>
      <c r="L44" s="33" t="e">
        <f>K44/18</f>
        <v>#REF!</v>
      </c>
      <c r="M44" s="30" t="e">
        <f>#REF!</f>
        <v>#REF!</v>
      </c>
      <c r="N44" s="33" t="e">
        <f>M44/18</f>
        <v>#REF!</v>
      </c>
      <c r="O44" s="30" t="e">
        <f t="shared" ref="O44:O46" si="10">K44+M44</f>
        <v>#REF!</v>
      </c>
      <c r="P44" s="33" t="e">
        <f>O44/36</f>
        <v>#REF!</v>
      </c>
    </row>
    <row r="45" spans="2:16" ht="16.5">
      <c r="B45" s="34" t="s">
        <v>56</v>
      </c>
      <c r="C45" s="30" t="s">
        <v>68</v>
      </c>
      <c r="D45" s="30" t="s">
        <v>69</v>
      </c>
      <c r="E45" s="30">
        <f>'TOP FEBRERO 2026'!BH44</f>
        <v>4</v>
      </c>
      <c r="F45" s="33">
        <f>E45/18</f>
        <v>0.22222222222222221</v>
      </c>
      <c r="G45" s="30">
        <f>'TOP FEBRERO 2026'!BI44</f>
        <v>1</v>
      </c>
      <c r="H45" s="33">
        <f>G45/18</f>
        <v>5.5555555555555552E-2</v>
      </c>
      <c r="I45" s="30">
        <f t="shared" ref="I45:I46" si="11">E45+G45</f>
        <v>5</v>
      </c>
      <c r="J45" s="33">
        <f>I45/36</f>
        <v>0.1388888888888889</v>
      </c>
      <c r="K45" s="30" t="e">
        <f>#REF!</f>
        <v>#REF!</v>
      </c>
      <c r="L45" s="33" t="e">
        <f>K45/18</f>
        <v>#REF!</v>
      </c>
      <c r="M45" s="30" t="e">
        <f>#REF!</f>
        <v>#REF!</v>
      </c>
      <c r="N45" s="33" t="e">
        <f>M45/18</f>
        <v>#REF!</v>
      </c>
      <c r="O45" s="30" t="e">
        <f t="shared" si="10"/>
        <v>#REF!</v>
      </c>
      <c r="P45" s="33" t="e">
        <f>O45/36</f>
        <v>#REF!</v>
      </c>
    </row>
    <row r="46" spans="2:16" ht="16.5">
      <c r="B46" s="34" t="s">
        <v>56</v>
      </c>
      <c r="C46" s="30" t="s">
        <v>70</v>
      </c>
      <c r="D46" s="30" t="s">
        <v>71</v>
      </c>
      <c r="E46" s="30">
        <f>'TOP FEBRERO 2026'!BH45</f>
        <v>17</v>
      </c>
      <c r="F46" s="33">
        <f>E46/18</f>
        <v>0.94444444444444442</v>
      </c>
      <c r="G46" s="30" t="e">
        <f>#REF!</f>
        <v>#REF!</v>
      </c>
      <c r="H46" s="33" t="e">
        <f>G46/18</f>
        <v>#REF!</v>
      </c>
      <c r="I46" s="30" t="e">
        <f t="shared" si="11"/>
        <v>#REF!</v>
      </c>
      <c r="J46" s="33" t="e">
        <f>I46/36</f>
        <v>#REF!</v>
      </c>
      <c r="K46" s="30" t="e">
        <f>#REF!</f>
        <v>#REF!</v>
      </c>
      <c r="L46" s="33" t="e">
        <f>K46/18</f>
        <v>#REF!</v>
      </c>
      <c r="M46" s="30" t="e">
        <f>#REF!</f>
        <v>#REF!</v>
      </c>
      <c r="N46" s="33" t="e">
        <f>M46/18</f>
        <v>#REF!</v>
      </c>
      <c r="O46" s="30" t="e">
        <f t="shared" si="10"/>
        <v>#REF!</v>
      </c>
      <c r="P46" s="33" t="e">
        <f>O46/36</f>
        <v>#REF!</v>
      </c>
    </row>
    <row r="47" spans="2:16" ht="16.5">
      <c r="B47" s="34" t="s">
        <v>72</v>
      </c>
      <c r="C47" s="30" t="s">
        <v>73</v>
      </c>
      <c r="D47" s="30" t="s">
        <v>74</v>
      </c>
      <c r="E47" s="371">
        <f>'TOP FEBRERO 2026'!BH46+'TOP FEBRERO 2026'!BH47</f>
        <v>16</v>
      </c>
      <c r="F47" s="373">
        <f>E47/18</f>
        <v>0.88888888888888884</v>
      </c>
      <c r="G47" s="371">
        <f>'TOP FEBRERO 2026'!BI46+'TOP FEBRERO 2026'!BI47</f>
        <v>17</v>
      </c>
      <c r="H47" s="373">
        <f>G47/18</f>
        <v>0.94444444444444442</v>
      </c>
      <c r="I47" s="371">
        <f>E47+G47</f>
        <v>33</v>
      </c>
      <c r="J47" s="373">
        <f>I47/36</f>
        <v>0.91666666666666663</v>
      </c>
      <c r="K47" s="371" t="e">
        <f>#REF!+#REF!</f>
        <v>#REF!</v>
      </c>
      <c r="L47" s="373" t="e">
        <f>K47/18</f>
        <v>#REF!</v>
      </c>
      <c r="M47" s="371" t="e">
        <f>#REF!+#REF!</f>
        <v>#REF!</v>
      </c>
      <c r="N47" s="373" t="e">
        <f>M47/18</f>
        <v>#REF!</v>
      </c>
      <c r="O47" s="371" t="e">
        <f>K47+M47</f>
        <v>#REF!</v>
      </c>
      <c r="P47" s="373" t="e">
        <f>O47/36</f>
        <v>#REF!</v>
      </c>
    </row>
    <row r="48" spans="2:16" ht="16.5">
      <c r="B48" s="34" t="s">
        <v>72</v>
      </c>
      <c r="C48" s="30" t="s">
        <v>73</v>
      </c>
      <c r="D48" s="30" t="s">
        <v>75</v>
      </c>
      <c r="E48" s="372"/>
      <c r="F48" s="374"/>
      <c r="G48" s="372"/>
      <c r="H48" s="374"/>
      <c r="I48" s="372"/>
      <c r="J48" s="374"/>
      <c r="K48" s="372"/>
      <c r="L48" s="374"/>
      <c r="M48" s="372"/>
      <c r="N48" s="374"/>
      <c r="O48" s="372"/>
      <c r="P48" s="374"/>
    </row>
    <row r="49" spans="2:16" ht="16.5">
      <c r="B49" s="34" t="s">
        <v>72</v>
      </c>
      <c r="C49" s="30" t="s">
        <v>76</v>
      </c>
      <c r="D49" s="30" t="s">
        <v>77</v>
      </c>
      <c r="E49" s="371">
        <f>'TOP FEBRERO 2026'!BH48+'TOP FEBRERO 2026'!BH49+'TOP FEBRERO 2026'!BH50+'TOP FEBRERO 2026'!BH51+'TOP FEBRERO 2026'!BH52</f>
        <v>18</v>
      </c>
      <c r="F49" s="373">
        <f>E49/18</f>
        <v>1</v>
      </c>
      <c r="G49" s="371">
        <f>'TOP FEBRERO 2026'!BI48+'TOP FEBRERO 2026'!BI49+'TOP FEBRERO 2026'!BI50+'TOP FEBRERO 2026'!BI51+'TOP FEBRERO 2026'!BI52</f>
        <v>17</v>
      </c>
      <c r="H49" s="373">
        <f>G49/18</f>
        <v>0.94444444444444442</v>
      </c>
      <c r="I49" s="371">
        <f t="shared" si="0"/>
        <v>35</v>
      </c>
      <c r="J49" s="373">
        <f>I49/36</f>
        <v>0.97222222222222221</v>
      </c>
      <c r="K49" s="371" t="e">
        <f>#REF!+#REF!+#REF!+#REF!+#REF!</f>
        <v>#REF!</v>
      </c>
      <c r="L49" s="373" t="e">
        <f>K49/18</f>
        <v>#REF!</v>
      </c>
      <c r="M49" s="371" t="e">
        <f>#REF!+#REF!+#REF!+#REF!+#REF!</f>
        <v>#REF!</v>
      </c>
      <c r="N49" s="373" t="e">
        <f>M49/18</f>
        <v>#REF!</v>
      </c>
      <c r="O49" s="371" t="e">
        <f t="shared" ref="O49:O61" si="12">K49+M49</f>
        <v>#REF!</v>
      </c>
      <c r="P49" s="373" t="e">
        <f>O49/36</f>
        <v>#REF!</v>
      </c>
    </row>
    <row r="50" spans="2:16" ht="16.5">
      <c r="B50" s="34" t="s">
        <v>72</v>
      </c>
      <c r="C50" s="30" t="s">
        <v>76</v>
      </c>
      <c r="D50" s="30" t="s">
        <v>78</v>
      </c>
      <c r="E50" s="378"/>
      <c r="F50" s="379"/>
      <c r="G50" s="378"/>
      <c r="H50" s="379"/>
      <c r="I50" s="378"/>
      <c r="J50" s="379"/>
      <c r="K50" s="378"/>
      <c r="L50" s="379"/>
      <c r="M50" s="378"/>
      <c r="N50" s="379"/>
      <c r="O50" s="378"/>
      <c r="P50" s="379"/>
    </row>
    <row r="51" spans="2:16" ht="16.5">
      <c r="B51" s="34" t="s">
        <v>72</v>
      </c>
      <c r="C51" s="30" t="s">
        <v>76</v>
      </c>
      <c r="D51" s="30" t="s">
        <v>79</v>
      </c>
      <c r="E51" s="378"/>
      <c r="F51" s="379"/>
      <c r="G51" s="378"/>
      <c r="H51" s="379"/>
      <c r="I51" s="378"/>
      <c r="J51" s="379"/>
      <c r="K51" s="378"/>
      <c r="L51" s="379"/>
      <c r="M51" s="378"/>
      <c r="N51" s="379"/>
      <c r="O51" s="378"/>
      <c r="P51" s="379"/>
    </row>
    <row r="52" spans="2:16" ht="16.5">
      <c r="B52" s="34" t="s">
        <v>72</v>
      </c>
      <c r="C52" s="30" t="s">
        <v>76</v>
      </c>
      <c r="D52" s="30" t="s">
        <v>80</v>
      </c>
      <c r="E52" s="378"/>
      <c r="F52" s="379"/>
      <c r="G52" s="378"/>
      <c r="H52" s="379"/>
      <c r="I52" s="378"/>
      <c r="J52" s="379"/>
      <c r="K52" s="378"/>
      <c r="L52" s="379"/>
      <c r="M52" s="378"/>
      <c r="N52" s="379"/>
      <c r="O52" s="378"/>
      <c r="P52" s="379"/>
    </row>
    <row r="53" spans="2:16" ht="16.5">
      <c r="B53" s="34" t="s">
        <v>72</v>
      </c>
      <c r="C53" s="30" t="s">
        <v>76</v>
      </c>
      <c r="D53" s="30" t="s">
        <v>81</v>
      </c>
      <c r="E53" s="372"/>
      <c r="F53" s="374"/>
      <c r="G53" s="372"/>
      <c r="H53" s="374"/>
      <c r="I53" s="372"/>
      <c r="J53" s="374"/>
      <c r="K53" s="372"/>
      <c r="L53" s="374"/>
      <c r="M53" s="372"/>
      <c r="N53" s="374"/>
      <c r="O53" s="372"/>
      <c r="P53" s="374"/>
    </row>
    <row r="54" spans="2:16" ht="16.5">
      <c r="B54" s="34" t="s">
        <v>72</v>
      </c>
      <c r="C54" s="30" t="s">
        <v>82</v>
      </c>
      <c r="D54" s="30" t="s">
        <v>83</v>
      </c>
      <c r="E54" s="371">
        <f>'TOP FEBRERO 2026'!BH53+'TOP FEBRERO 2026'!BH54</f>
        <v>18</v>
      </c>
      <c r="F54" s="373">
        <f>E54/18</f>
        <v>1</v>
      </c>
      <c r="G54" s="371">
        <f>'TOP FEBRERO 2026'!BI53+'TOP FEBRERO 2026'!BI54</f>
        <v>16</v>
      </c>
      <c r="H54" s="373">
        <f>G54/18</f>
        <v>0.88888888888888884</v>
      </c>
      <c r="I54" s="371">
        <f t="shared" si="0"/>
        <v>34</v>
      </c>
      <c r="J54" s="373">
        <f>I54/36</f>
        <v>0.94444444444444442</v>
      </c>
      <c r="K54" s="371" t="e">
        <f>#REF!+#REF!</f>
        <v>#REF!</v>
      </c>
      <c r="L54" s="373" t="e">
        <f>K54/18</f>
        <v>#REF!</v>
      </c>
      <c r="M54" s="371" t="e">
        <f>#REF!+#REF!</f>
        <v>#REF!</v>
      </c>
      <c r="N54" s="373" t="e">
        <f>M54/18</f>
        <v>#REF!</v>
      </c>
      <c r="O54" s="371" t="e">
        <f t="shared" ref="O54:O61" si="13">K54+M54</f>
        <v>#REF!</v>
      </c>
      <c r="P54" s="373" t="e">
        <f>O54/36</f>
        <v>#REF!</v>
      </c>
    </row>
    <row r="55" spans="2:16" ht="16.5">
      <c r="B55" s="34" t="s">
        <v>72</v>
      </c>
      <c r="C55" s="30" t="s">
        <v>82</v>
      </c>
      <c r="D55" s="30" t="s">
        <v>84</v>
      </c>
      <c r="E55" s="372"/>
      <c r="F55" s="374"/>
      <c r="G55" s="372"/>
      <c r="H55" s="374"/>
      <c r="I55" s="372"/>
      <c r="J55" s="374"/>
      <c r="K55" s="372"/>
      <c r="L55" s="374"/>
      <c r="M55" s="372"/>
      <c r="N55" s="374"/>
      <c r="O55" s="372"/>
      <c r="P55" s="374"/>
    </row>
    <row r="56" spans="2:16" ht="16.5">
      <c r="B56" s="34" t="s">
        <v>72</v>
      </c>
      <c r="C56" s="30" t="s">
        <v>85</v>
      </c>
      <c r="D56" s="30" t="s">
        <v>86</v>
      </c>
      <c r="E56" s="371">
        <f>'TOP FEBRERO 2026'!BH55+'TOP FEBRERO 2026'!BH56+'TOP FEBRERO 2026'!BH57</f>
        <v>19</v>
      </c>
      <c r="F56" s="373">
        <f>E56/18</f>
        <v>1.0555555555555556</v>
      </c>
      <c r="G56" s="371">
        <f>'TOP FEBRERO 2026'!BI55+'TOP FEBRERO 2026'!BI56+'TOP FEBRERO 2026'!BI57</f>
        <v>19</v>
      </c>
      <c r="H56" s="373">
        <f>G56/18</f>
        <v>1.0555555555555556</v>
      </c>
      <c r="I56" s="371">
        <f t="shared" si="0"/>
        <v>38</v>
      </c>
      <c r="J56" s="373">
        <f>I56/36</f>
        <v>1.0555555555555556</v>
      </c>
      <c r="K56" s="371" t="e">
        <f>#REF!+#REF!+#REF!</f>
        <v>#REF!</v>
      </c>
      <c r="L56" s="373" t="e">
        <f>K56/18</f>
        <v>#REF!</v>
      </c>
      <c r="M56" s="371" t="e">
        <f>#REF!+#REF!+#REF!</f>
        <v>#REF!</v>
      </c>
      <c r="N56" s="373" t="e">
        <f>M56/18</f>
        <v>#REF!</v>
      </c>
      <c r="O56" s="371" t="e">
        <f t="shared" ref="O56:O61" si="14">K56+M56</f>
        <v>#REF!</v>
      </c>
      <c r="P56" s="373" t="e">
        <f>O56/36</f>
        <v>#REF!</v>
      </c>
    </row>
    <row r="57" spans="2:16" ht="16.5">
      <c r="B57" s="34" t="s">
        <v>72</v>
      </c>
      <c r="C57" s="30" t="s">
        <v>85</v>
      </c>
      <c r="D57" s="30" t="s">
        <v>87</v>
      </c>
      <c r="E57" s="378"/>
      <c r="F57" s="379"/>
      <c r="G57" s="378"/>
      <c r="H57" s="379"/>
      <c r="I57" s="378"/>
      <c r="J57" s="379"/>
      <c r="K57" s="378"/>
      <c r="L57" s="379"/>
      <c r="M57" s="378"/>
      <c r="N57" s="379"/>
      <c r="O57" s="378"/>
      <c r="P57" s="379"/>
    </row>
    <row r="58" spans="2:16" ht="16.5">
      <c r="B58" s="34" t="s">
        <v>72</v>
      </c>
      <c r="C58" s="30" t="s">
        <v>85</v>
      </c>
      <c r="D58" s="30" t="s">
        <v>88</v>
      </c>
      <c r="E58" s="372"/>
      <c r="F58" s="374"/>
      <c r="G58" s="372"/>
      <c r="H58" s="374"/>
      <c r="I58" s="372"/>
      <c r="J58" s="374"/>
      <c r="K58" s="372"/>
      <c r="L58" s="374"/>
      <c r="M58" s="372"/>
      <c r="N58" s="374"/>
      <c r="O58" s="372"/>
      <c r="P58" s="374"/>
    </row>
    <row r="59" spans="2:16" ht="16.5">
      <c r="B59" s="34" t="s">
        <v>72</v>
      </c>
      <c r="C59" s="30" t="s">
        <v>89</v>
      </c>
      <c r="D59" s="30" t="s">
        <v>90</v>
      </c>
      <c r="E59" s="30">
        <f>'TOP FEBRERO 2026'!BH58</f>
        <v>19</v>
      </c>
      <c r="F59" s="33">
        <f>E59/18</f>
        <v>1.0555555555555556</v>
      </c>
      <c r="G59" s="30">
        <f>'TOP FEBRERO 2026'!BI59</f>
        <v>18</v>
      </c>
      <c r="H59" s="33">
        <f>G59/18</f>
        <v>1</v>
      </c>
      <c r="I59" s="30">
        <f t="shared" si="0"/>
        <v>37</v>
      </c>
      <c r="J59" s="33">
        <f>I59/36</f>
        <v>1.0277777777777777</v>
      </c>
      <c r="K59" s="30" t="e">
        <f>#REF!</f>
        <v>#REF!</v>
      </c>
      <c r="L59" s="33" t="e">
        <f>K59/18</f>
        <v>#REF!</v>
      </c>
      <c r="M59" s="30" t="e">
        <f>#REF!</f>
        <v>#REF!</v>
      </c>
      <c r="N59" s="33" t="e">
        <f>M59/18</f>
        <v>#REF!</v>
      </c>
      <c r="O59" s="30" t="e">
        <f t="shared" ref="O59:O61" si="15">K59+M59</f>
        <v>#REF!</v>
      </c>
      <c r="P59" s="33" t="e">
        <f>O59/36</f>
        <v>#REF!</v>
      </c>
    </row>
    <row r="60" spans="2:16" ht="16.5">
      <c r="B60" s="34" t="s">
        <v>72</v>
      </c>
      <c r="C60" s="30" t="s">
        <v>91</v>
      </c>
      <c r="D60" s="30" t="s">
        <v>92</v>
      </c>
      <c r="E60" s="371">
        <f>'TOP FEBRERO 2026'!BH59+'TOP FEBRERO 2026'!BH60</f>
        <v>18</v>
      </c>
      <c r="F60" s="373">
        <f>E60/18</f>
        <v>1</v>
      </c>
      <c r="G60" s="371">
        <f>'TOP FEBRERO 2026'!BI59+'TOP FEBRERO 2026'!BI60</f>
        <v>18</v>
      </c>
      <c r="H60" s="373">
        <f>G60/18</f>
        <v>1</v>
      </c>
      <c r="I60" s="371">
        <f t="shared" si="0"/>
        <v>36</v>
      </c>
      <c r="J60" s="373">
        <f>I60/36</f>
        <v>1</v>
      </c>
      <c r="K60" s="371" t="e">
        <f>#REF!</f>
        <v>#REF!</v>
      </c>
      <c r="L60" s="373" t="e">
        <f>K60/18</f>
        <v>#REF!</v>
      </c>
      <c r="M60" s="371" t="e">
        <f>#REF!</f>
        <v>#REF!</v>
      </c>
      <c r="N60" s="373" t="e">
        <f>M60/18</f>
        <v>#REF!</v>
      </c>
      <c r="O60" s="371" t="e">
        <f t="shared" si="15"/>
        <v>#REF!</v>
      </c>
      <c r="P60" s="373" t="e">
        <f>O60/36</f>
        <v>#REF!</v>
      </c>
    </row>
    <row r="61" spans="2:16" ht="16.5">
      <c r="B61" s="34" t="s">
        <v>72</v>
      </c>
      <c r="C61" s="30" t="s">
        <v>91</v>
      </c>
      <c r="D61" s="30" t="s">
        <v>93</v>
      </c>
      <c r="E61" s="372"/>
      <c r="F61" s="374"/>
      <c r="G61" s="372"/>
      <c r="H61" s="374"/>
      <c r="I61" s="372"/>
      <c r="J61" s="374"/>
      <c r="K61" s="372"/>
      <c r="L61" s="374"/>
      <c r="M61" s="372"/>
      <c r="N61" s="374"/>
      <c r="O61" s="372"/>
      <c r="P61" s="374"/>
    </row>
    <row r="62" spans="2:16" ht="16.5">
      <c r="B62" s="34" t="s">
        <v>94</v>
      </c>
      <c r="C62" s="30" t="s">
        <v>95</v>
      </c>
      <c r="D62" s="30" t="s">
        <v>96</v>
      </c>
      <c r="E62" s="30">
        <f>'TOP FEBRERO 2026'!BH61</f>
        <v>19</v>
      </c>
      <c r="F62" s="33">
        <f>E62/18</f>
        <v>1.0555555555555556</v>
      </c>
      <c r="G62" s="30">
        <f>'TOP FEBRERO 2026'!BI61</f>
        <v>19</v>
      </c>
      <c r="H62" s="33">
        <f>G62/18</f>
        <v>1.0555555555555556</v>
      </c>
      <c r="I62" s="30">
        <f t="shared" si="0"/>
        <v>38</v>
      </c>
      <c r="J62" s="33">
        <f>I62/36</f>
        <v>1.0555555555555556</v>
      </c>
      <c r="K62" s="30" t="e">
        <f>#REF!</f>
        <v>#REF!</v>
      </c>
      <c r="L62" s="33" t="e">
        <f>K62/18</f>
        <v>#REF!</v>
      </c>
      <c r="M62" s="30" t="e">
        <f>#REF!</f>
        <v>#REF!</v>
      </c>
      <c r="N62" s="33" t="e">
        <f>M62/18</f>
        <v>#REF!</v>
      </c>
      <c r="O62" s="30" t="e">
        <f t="shared" ref="O62:O100" si="16">K62+M62</f>
        <v>#REF!</v>
      </c>
      <c r="P62" s="33" t="e">
        <f>O62/36</f>
        <v>#REF!</v>
      </c>
    </row>
    <row r="63" spans="2:16" ht="16.5">
      <c r="B63" s="34" t="s">
        <v>97</v>
      </c>
      <c r="C63" s="30" t="s">
        <v>192</v>
      </c>
      <c r="D63" s="30" t="s">
        <v>99</v>
      </c>
      <c r="E63" s="30">
        <f>'TOP FEBRERO 2026'!BH62</f>
        <v>15</v>
      </c>
      <c r="F63" s="33">
        <f>E63/18</f>
        <v>0.83333333333333337</v>
      </c>
      <c r="G63" s="30">
        <f>'TOP FEBRERO 2026'!BI62</f>
        <v>12</v>
      </c>
      <c r="H63" s="33">
        <f>G63/18</f>
        <v>0.66666666666666663</v>
      </c>
      <c r="I63" s="30">
        <f t="shared" ref="I63:I64" si="17">E63+G63</f>
        <v>27</v>
      </c>
      <c r="J63" s="33">
        <f>I63/36</f>
        <v>0.75</v>
      </c>
      <c r="K63" s="30" t="e">
        <f>#REF!</f>
        <v>#REF!</v>
      </c>
      <c r="L63" s="33" t="e">
        <f>K63/18</f>
        <v>#REF!</v>
      </c>
      <c r="M63" s="30" t="e">
        <f>#REF!</f>
        <v>#REF!</v>
      </c>
      <c r="N63" s="33" t="e">
        <f>M63/18</f>
        <v>#REF!</v>
      </c>
      <c r="O63" s="30" t="e">
        <f t="shared" si="16"/>
        <v>#REF!</v>
      </c>
      <c r="P63" s="33" t="e">
        <f>O63/36</f>
        <v>#REF!</v>
      </c>
    </row>
    <row r="64" spans="2:16" ht="16.5">
      <c r="B64" s="34" t="s">
        <v>97</v>
      </c>
      <c r="C64" s="30" t="s">
        <v>100</v>
      </c>
      <c r="D64" s="30" t="s">
        <v>101</v>
      </c>
      <c r="E64" s="30">
        <f>'TOP FEBRERO 2026'!BH63</f>
        <v>18</v>
      </c>
      <c r="F64" s="33">
        <f>E64/18</f>
        <v>1</v>
      </c>
      <c r="G64" s="30">
        <f>'TOP FEBRERO 2026'!BI63</f>
        <v>11</v>
      </c>
      <c r="H64" s="33">
        <f>G64/18</f>
        <v>0.61111111111111116</v>
      </c>
      <c r="I64" s="30">
        <f t="shared" si="17"/>
        <v>29</v>
      </c>
      <c r="J64" s="33">
        <f>I64/36</f>
        <v>0.80555555555555558</v>
      </c>
      <c r="K64" s="30" t="e">
        <f>#REF!</f>
        <v>#REF!</v>
      </c>
      <c r="L64" s="33" t="e">
        <f>K64/18</f>
        <v>#REF!</v>
      </c>
      <c r="M64" s="30" t="e">
        <f>#REF!</f>
        <v>#REF!</v>
      </c>
      <c r="N64" s="33" t="e">
        <f>M64/18</f>
        <v>#REF!</v>
      </c>
      <c r="O64" s="30" t="e">
        <f t="shared" si="16"/>
        <v>#REF!</v>
      </c>
      <c r="P64" s="33" t="e">
        <f>O64/36</f>
        <v>#REF!</v>
      </c>
    </row>
    <row r="65" spans="2:16" ht="16.5">
      <c r="B65" s="34" t="s">
        <v>97</v>
      </c>
      <c r="C65" s="30" t="s">
        <v>102</v>
      </c>
      <c r="D65" s="30" t="s">
        <v>103</v>
      </c>
      <c r="E65" s="371">
        <f>'TOP FEBRERO 2026'!BH64+'TOP FEBRERO 2026'!BH65</f>
        <v>16</v>
      </c>
      <c r="F65" s="373">
        <f>E65/18</f>
        <v>0.88888888888888884</v>
      </c>
      <c r="G65" s="371">
        <f>'TOP FEBRERO 2026'!BI64+'TOP FEBRERO 2026'!BI65</f>
        <v>13</v>
      </c>
      <c r="H65" s="373">
        <f>G65/18</f>
        <v>0.72222222222222221</v>
      </c>
      <c r="I65" s="371">
        <f t="shared" si="0"/>
        <v>29</v>
      </c>
      <c r="J65" s="373">
        <f>I65/36</f>
        <v>0.80555555555555558</v>
      </c>
      <c r="K65" s="371" t="e">
        <f>#REF!+#REF!</f>
        <v>#REF!</v>
      </c>
      <c r="L65" s="373" t="e">
        <f>K65/18</f>
        <v>#REF!</v>
      </c>
      <c r="M65" s="371" t="e">
        <f>#REF!+#REF!</f>
        <v>#REF!</v>
      </c>
      <c r="N65" s="373" t="e">
        <f>M65/18</f>
        <v>#REF!</v>
      </c>
      <c r="O65" s="371" t="e">
        <f t="shared" si="16"/>
        <v>#REF!</v>
      </c>
      <c r="P65" s="373" t="e">
        <f>O65/36</f>
        <v>#REF!</v>
      </c>
    </row>
    <row r="66" spans="2:16" ht="16.5">
      <c r="B66" s="34" t="s">
        <v>97</v>
      </c>
      <c r="C66" s="30" t="s">
        <v>102</v>
      </c>
      <c r="D66" s="30" t="s">
        <v>104</v>
      </c>
      <c r="E66" s="372"/>
      <c r="F66" s="374"/>
      <c r="G66" s="372"/>
      <c r="H66" s="374"/>
      <c r="I66" s="372"/>
      <c r="J66" s="374"/>
      <c r="K66" s="372"/>
      <c r="L66" s="374"/>
      <c r="M66" s="372"/>
      <c r="N66" s="374"/>
      <c r="O66" s="372"/>
      <c r="P66" s="374"/>
    </row>
    <row r="67" spans="2:16" ht="16.5">
      <c r="B67" s="34" t="s">
        <v>97</v>
      </c>
      <c r="C67" s="30" t="s">
        <v>105</v>
      </c>
      <c r="D67" s="30" t="s">
        <v>106</v>
      </c>
      <c r="E67" s="371">
        <f>'TOP FEBRERO 2026'!BH66+'TOP FEBRERO 2026'!BH67</f>
        <v>13</v>
      </c>
      <c r="F67" s="373">
        <f>E67/18</f>
        <v>0.72222222222222221</v>
      </c>
      <c r="G67" s="371">
        <f>'TOP FEBRERO 2026'!BI66+'TOP FEBRERO 2026'!BI67</f>
        <v>11</v>
      </c>
      <c r="H67" s="373">
        <f>G67/18</f>
        <v>0.61111111111111116</v>
      </c>
      <c r="I67" s="371">
        <f t="shared" si="0"/>
        <v>24</v>
      </c>
      <c r="J67" s="373">
        <f>I67/36</f>
        <v>0.66666666666666663</v>
      </c>
      <c r="K67" s="371" t="e">
        <f>#REF!+#REF!</f>
        <v>#REF!</v>
      </c>
      <c r="L67" s="373" t="e">
        <f>K67/18</f>
        <v>#REF!</v>
      </c>
      <c r="M67" s="371" t="e">
        <f>#REF!+#REF!</f>
        <v>#REF!</v>
      </c>
      <c r="N67" s="373" t="e">
        <f>M67/18</f>
        <v>#REF!</v>
      </c>
      <c r="O67" s="371" t="e">
        <f t="shared" ref="O67:O68" si="18">K67+M67</f>
        <v>#REF!</v>
      </c>
      <c r="P67" s="373" t="e">
        <f>O67/36</f>
        <v>#REF!</v>
      </c>
    </row>
    <row r="68" spans="2:16" ht="16.5">
      <c r="B68" s="34" t="s">
        <v>97</v>
      </c>
      <c r="C68" s="30" t="s">
        <v>105</v>
      </c>
      <c r="D68" s="30" t="s">
        <v>107</v>
      </c>
      <c r="E68" s="372"/>
      <c r="F68" s="374"/>
      <c r="G68" s="372"/>
      <c r="H68" s="374"/>
      <c r="I68" s="372"/>
      <c r="J68" s="374"/>
      <c r="K68" s="372"/>
      <c r="L68" s="374"/>
      <c r="M68" s="372"/>
      <c r="N68" s="374"/>
      <c r="O68" s="372"/>
      <c r="P68" s="374"/>
    </row>
    <row r="69" spans="2:16" ht="16.5">
      <c r="B69" s="34" t="s">
        <v>108</v>
      </c>
      <c r="C69" s="30" t="s">
        <v>109</v>
      </c>
      <c r="D69" s="30" t="s">
        <v>110</v>
      </c>
      <c r="E69" s="371">
        <f>'TOP FEBRERO 2026'!BH68+'TOP FEBRERO 2026'!BH69</f>
        <v>17</v>
      </c>
      <c r="F69" s="373">
        <f>E69/18</f>
        <v>0.94444444444444442</v>
      </c>
      <c r="G69" s="371">
        <f>'TOP FEBRERO 2026'!BI68+'TOP FEBRERO 2026'!BI69</f>
        <v>9</v>
      </c>
      <c r="H69" s="373">
        <f>G69/18</f>
        <v>0.5</v>
      </c>
      <c r="I69" s="371">
        <f t="shared" si="0"/>
        <v>26</v>
      </c>
      <c r="J69" s="373">
        <f>I69/36</f>
        <v>0.72222222222222221</v>
      </c>
      <c r="K69" s="371" t="e">
        <f>#REF!+#REF!</f>
        <v>#REF!</v>
      </c>
      <c r="L69" s="373" t="e">
        <f>K69/18</f>
        <v>#REF!</v>
      </c>
      <c r="M69" s="371" t="e">
        <f>#REF!+#REF!</f>
        <v>#REF!</v>
      </c>
      <c r="N69" s="373" t="e">
        <f>M69/18</f>
        <v>#REF!</v>
      </c>
      <c r="O69" s="371" t="e">
        <f t="shared" ref="O69:O76" si="19">K69+M69</f>
        <v>#REF!</v>
      </c>
      <c r="P69" s="373" t="e">
        <f>O69/36</f>
        <v>#REF!</v>
      </c>
    </row>
    <row r="70" spans="2:16" ht="16.5">
      <c r="B70" s="34" t="s">
        <v>108</v>
      </c>
      <c r="C70" s="30" t="s">
        <v>109</v>
      </c>
      <c r="D70" s="30" t="s">
        <v>111</v>
      </c>
      <c r="E70" s="372"/>
      <c r="F70" s="374"/>
      <c r="G70" s="372"/>
      <c r="H70" s="374"/>
      <c r="I70" s="372"/>
      <c r="J70" s="374"/>
      <c r="K70" s="372"/>
      <c r="L70" s="374"/>
      <c r="M70" s="372"/>
      <c r="N70" s="374"/>
      <c r="O70" s="372"/>
      <c r="P70" s="374"/>
    </row>
    <row r="71" spans="2:16" ht="16.5">
      <c r="B71" s="34" t="s">
        <v>108</v>
      </c>
      <c r="C71" s="30" t="s">
        <v>112</v>
      </c>
      <c r="D71" s="30" t="s">
        <v>113</v>
      </c>
      <c r="E71" s="371">
        <f>'TOP FEBRERO 2026'!BH70+'TOP FEBRERO 2026'!BH71</f>
        <v>18</v>
      </c>
      <c r="F71" s="373">
        <f>E71/18</f>
        <v>1</v>
      </c>
      <c r="G71" s="371">
        <f>'TOP FEBRERO 2026'!BI70+'TOP FEBRERO 2026'!BI71</f>
        <v>14</v>
      </c>
      <c r="H71" s="373">
        <f>G71/18</f>
        <v>0.77777777777777779</v>
      </c>
      <c r="I71" s="371">
        <f t="shared" ref="I70:I100" si="20">E71+G71</f>
        <v>32</v>
      </c>
      <c r="J71" s="373">
        <f>I71/36</f>
        <v>0.88888888888888884</v>
      </c>
      <c r="K71" s="371" t="e">
        <f>#REF!+#REF!</f>
        <v>#REF!</v>
      </c>
      <c r="L71" s="373" t="e">
        <f>K71/18</f>
        <v>#REF!</v>
      </c>
      <c r="M71" s="371" t="e">
        <f>#REF!+#REF!</f>
        <v>#REF!</v>
      </c>
      <c r="N71" s="373" t="e">
        <f>M71/18</f>
        <v>#REF!</v>
      </c>
      <c r="O71" s="371" t="e">
        <f t="shared" ref="O71:O76" si="21">K71+M71</f>
        <v>#REF!</v>
      </c>
      <c r="P71" s="373" t="e">
        <f>O71/36</f>
        <v>#REF!</v>
      </c>
    </row>
    <row r="72" spans="2:16" ht="16.5">
      <c r="B72" s="34" t="s">
        <v>108</v>
      </c>
      <c r="C72" s="30" t="s">
        <v>112</v>
      </c>
      <c r="D72" s="30" t="s">
        <v>114</v>
      </c>
      <c r="E72" s="372"/>
      <c r="F72" s="374"/>
      <c r="G72" s="372"/>
      <c r="H72" s="374"/>
      <c r="I72" s="372"/>
      <c r="J72" s="374"/>
      <c r="K72" s="372"/>
      <c r="L72" s="374"/>
      <c r="M72" s="372"/>
      <c r="N72" s="374"/>
      <c r="O72" s="372"/>
      <c r="P72" s="374"/>
    </row>
    <row r="73" spans="2:16" ht="16.5">
      <c r="B73" s="34" t="s">
        <v>108</v>
      </c>
      <c r="C73" s="30" t="s">
        <v>115</v>
      </c>
      <c r="D73" s="30" t="s">
        <v>116</v>
      </c>
      <c r="E73" s="30">
        <f>'TOP FEBRERO 2026'!BH72</f>
        <v>19</v>
      </c>
      <c r="F73" s="33">
        <f>E73/18</f>
        <v>1.0555555555555556</v>
      </c>
      <c r="G73" s="30">
        <f>'TOP FEBRERO 2026'!BI72</f>
        <v>19</v>
      </c>
      <c r="H73" s="33">
        <f>G73/18</f>
        <v>1.0555555555555556</v>
      </c>
      <c r="I73" s="30">
        <f t="shared" si="20"/>
        <v>38</v>
      </c>
      <c r="J73" s="33">
        <f>I73/36</f>
        <v>1.0555555555555556</v>
      </c>
      <c r="K73" s="30" t="e">
        <f>#REF!</f>
        <v>#REF!</v>
      </c>
      <c r="L73" s="33" t="e">
        <f>K73/18</f>
        <v>#REF!</v>
      </c>
      <c r="M73" s="30" t="e">
        <f>#REF!</f>
        <v>#REF!</v>
      </c>
      <c r="N73" s="33" t="e">
        <f>M73/18</f>
        <v>#REF!</v>
      </c>
      <c r="O73" s="30" t="e">
        <f t="shared" ref="O73:O81" si="22">K73+M73</f>
        <v>#REF!</v>
      </c>
      <c r="P73" s="33" t="e">
        <f>O73/36</f>
        <v>#REF!</v>
      </c>
    </row>
    <row r="74" spans="2:16" ht="16.5">
      <c r="B74" s="34" t="s">
        <v>108</v>
      </c>
      <c r="C74" s="30" t="s">
        <v>117</v>
      </c>
      <c r="D74" s="30" t="s">
        <v>118</v>
      </c>
      <c r="E74" s="30">
        <f>'TOP FEBRERO 2026'!BH73</f>
        <v>19</v>
      </c>
      <c r="F74" s="33">
        <f>E74/18</f>
        <v>1.0555555555555556</v>
      </c>
      <c r="G74" s="30">
        <f>'TOP FEBRERO 2026'!BI73</f>
        <v>18</v>
      </c>
      <c r="H74" s="33">
        <f>G74/18</f>
        <v>1</v>
      </c>
      <c r="I74" s="30">
        <f t="shared" ref="I74:I81" si="23">E74+G74</f>
        <v>37</v>
      </c>
      <c r="J74" s="33">
        <f t="shared" ref="J74:J81" si="24">I74/36</f>
        <v>1.0277777777777777</v>
      </c>
      <c r="K74" s="30" t="e">
        <f>#REF!</f>
        <v>#REF!</v>
      </c>
      <c r="L74" s="33" t="e">
        <f>K74/18</f>
        <v>#REF!</v>
      </c>
      <c r="M74" s="30" t="e">
        <f>#REF!</f>
        <v>#REF!</v>
      </c>
      <c r="N74" s="33" t="e">
        <f>M74/18</f>
        <v>#REF!</v>
      </c>
      <c r="O74" s="30" t="e">
        <f t="shared" si="22"/>
        <v>#REF!</v>
      </c>
      <c r="P74" s="33" t="e">
        <f t="shared" ref="P74:P81" si="25">O74/36</f>
        <v>#REF!</v>
      </c>
    </row>
    <row r="75" spans="2:16" ht="16.5">
      <c r="B75" s="34" t="s">
        <v>108</v>
      </c>
      <c r="C75" s="30" t="s">
        <v>119</v>
      </c>
      <c r="D75" s="30" t="s">
        <v>120</v>
      </c>
      <c r="E75" s="30">
        <f>'TOP FEBRERO 2026'!BH74</f>
        <v>18</v>
      </c>
      <c r="F75" s="33">
        <f>E75/18</f>
        <v>1</v>
      </c>
      <c r="G75" s="30">
        <f>'TOP FEBRERO 2026'!BI74</f>
        <v>17</v>
      </c>
      <c r="H75" s="33">
        <f>G75/18</f>
        <v>0.94444444444444442</v>
      </c>
      <c r="I75" s="30">
        <f t="shared" si="23"/>
        <v>35</v>
      </c>
      <c r="J75" s="33">
        <f t="shared" si="24"/>
        <v>0.97222222222222221</v>
      </c>
      <c r="K75" s="30" t="e">
        <f>#REF!</f>
        <v>#REF!</v>
      </c>
      <c r="L75" s="33" t="e">
        <f>K75/18</f>
        <v>#REF!</v>
      </c>
      <c r="M75" s="30" t="e">
        <f>#REF!</f>
        <v>#REF!</v>
      </c>
      <c r="N75" s="33" t="e">
        <f>M75/18</f>
        <v>#REF!</v>
      </c>
      <c r="O75" s="30" t="e">
        <f t="shared" si="22"/>
        <v>#REF!</v>
      </c>
      <c r="P75" s="33" t="e">
        <f t="shared" si="25"/>
        <v>#REF!</v>
      </c>
    </row>
    <row r="76" spans="2:16" ht="16.5">
      <c r="B76" s="34" t="s">
        <v>108</v>
      </c>
      <c r="C76" s="30" t="s">
        <v>121</v>
      </c>
      <c r="D76" s="30" t="s">
        <v>122</v>
      </c>
      <c r="E76" s="30">
        <f>'TOP FEBRERO 2026'!BH75</f>
        <v>1</v>
      </c>
      <c r="F76" s="33">
        <f>E76/18</f>
        <v>5.5555555555555552E-2</v>
      </c>
      <c r="G76" s="30">
        <f>'TOP FEBRERO 2026'!BI75</f>
        <v>14</v>
      </c>
      <c r="H76" s="33">
        <f>G76/18</f>
        <v>0.77777777777777779</v>
      </c>
      <c r="I76" s="30">
        <f t="shared" si="23"/>
        <v>15</v>
      </c>
      <c r="J76" s="33">
        <f t="shared" si="24"/>
        <v>0.41666666666666669</v>
      </c>
      <c r="K76" s="30" t="e">
        <f>#REF!</f>
        <v>#REF!</v>
      </c>
      <c r="L76" s="33" t="e">
        <f>K76/18</f>
        <v>#REF!</v>
      </c>
      <c r="M76" s="30" t="e">
        <f>#REF!</f>
        <v>#REF!</v>
      </c>
      <c r="N76" s="33" t="e">
        <f>M76/18</f>
        <v>#REF!</v>
      </c>
      <c r="O76" s="30" t="e">
        <f t="shared" si="22"/>
        <v>#REF!</v>
      </c>
      <c r="P76" s="33" t="e">
        <f t="shared" si="25"/>
        <v>#REF!</v>
      </c>
    </row>
    <row r="77" spans="2:16" ht="16.5">
      <c r="B77" s="34" t="s">
        <v>123</v>
      </c>
      <c r="C77" s="30" t="s">
        <v>124</v>
      </c>
      <c r="D77" s="30" t="s">
        <v>125</v>
      </c>
      <c r="E77" s="30">
        <f>'TOP FEBRERO 2026'!BH76</f>
        <v>18</v>
      </c>
      <c r="F77" s="33">
        <f>E77/18</f>
        <v>1</v>
      </c>
      <c r="G77" s="30">
        <f>'TOP FEBRERO 2026'!BI76</f>
        <v>16</v>
      </c>
      <c r="H77" s="33">
        <f>G77/18</f>
        <v>0.88888888888888884</v>
      </c>
      <c r="I77" s="30">
        <f t="shared" si="23"/>
        <v>34</v>
      </c>
      <c r="J77" s="33">
        <f t="shared" si="24"/>
        <v>0.94444444444444442</v>
      </c>
      <c r="K77" s="30" t="e">
        <f>#REF!</f>
        <v>#REF!</v>
      </c>
      <c r="L77" s="33" t="e">
        <f>K77/18</f>
        <v>#REF!</v>
      </c>
      <c r="M77" s="30" t="e">
        <f>#REF!</f>
        <v>#REF!</v>
      </c>
      <c r="N77" s="33" t="e">
        <f>M77/18</f>
        <v>#REF!</v>
      </c>
      <c r="O77" s="30" t="e">
        <f t="shared" si="22"/>
        <v>#REF!</v>
      </c>
      <c r="P77" s="33" t="e">
        <f t="shared" si="25"/>
        <v>#REF!</v>
      </c>
    </row>
    <row r="78" spans="2:16" ht="16.5">
      <c r="B78" s="34" t="s">
        <v>123</v>
      </c>
      <c r="C78" s="30" t="s">
        <v>126</v>
      </c>
      <c r="D78" s="30" t="s">
        <v>127</v>
      </c>
      <c r="E78" s="30">
        <f>'TOP FEBRERO 2026'!BH77</f>
        <v>17</v>
      </c>
      <c r="F78" s="33">
        <f t="shared" ref="F78:F81" si="26">E78/18</f>
        <v>0.94444444444444442</v>
      </c>
      <c r="G78" s="30">
        <f>'TOP FEBRERO 2026'!BI77</f>
        <v>16</v>
      </c>
      <c r="H78" s="33">
        <f t="shared" ref="H78:H81" si="27">G78/18</f>
        <v>0.88888888888888884</v>
      </c>
      <c r="I78" s="30">
        <f t="shared" ref="I78:I81" si="28">E78+G78</f>
        <v>33</v>
      </c>
      <c r="J78" s="33">
        <f t="shared" si="24"/>
        <v>0.91666666666666663</v>
      </c>
      <c r="K78" s="30" t="e">
        <f>#REF!</f>
        <v>#REF!</v>
      </c>
      <c r="L78" s="33" t="e">
        <f t="shared" ref="L78:L81" si="29">K78/18</f>
        <v>#REF!</v>
      </c>
      <c r="M78" s="30" t="e">
        <f>#REF!</f>
        <v>#REF!</v>
      </c>
      <c r="N78" s="33" t="e">
        <f t="shared" ref="N78:N81" si="30">M78/18</f>
        <v>#REF!</v>
      </c>
      <c r="O78" s="30" t="e">
        <f t="shared" ref="O78:O82" si="31">K78+M78</f>
        <v>#REF!</v>
      </c>
      <c r="P78" s="33" t="e">
        <f t="shared" si="25"/>
        <v>#REF!</v>
      </c>
    </row>
    <row r="79" spans="2:16" ht="16.5">
      <c r="B79" s="34" t="s">
        <v>123</v>
      </c>
      <c r="C79" s="30" t="s">
        <v>128</v>
      </c>
      <c r="D79" s="30" t="s">
        <v>129</v>
      </c>
      <c r="E79" s="30">
        <f>'TOP FEBRERO 2026'!BH78</f>
        <v>13</v>
      </c>
      <c r="F79" s="33">
        <f t="shared" si="26"/>
        <v>0.72222222222222221</v>
      </c>
      <c r="G79" s="30">
        <f>'TOP FEBRERO 2026'!BI78</f>
        <v>7</v>
      </c>
      <c r="H79" s="33">
        <f t="shared" si="27"/>
        <v>0.3888888888888889</v>
      </c>
      <c r="I79" s="30">
        <f t="shared" si="28"/>
        <v>20</v>
      </c>
      <c r="J79" s="33">
        <f t="shared" si="24"/>
        <v>0.55555555555555558</v>
      </c>
      <c r="K79" s="30" t="e">
        <f>#REF!</f>
        <v>#REF!</v>
      </c>
      <c r="L79" s="33" t="e">
        <f t="shared" si="29"/>
        <v>#REF!</v>
      </c>
      <c r="M79" s="30" t="e">
        <f>#REF!</f>
        <v>#REF!</v>
      </c>
      <c r="N79" s="33" t="e">
        <f t="shared" si="30"/>
        <v>#REF!</v>
      </c>
      <c r="O79" s="30" t="e">
        <f t="shared" si="31"/>
        <v>#REF!</v>
      </c>
      <c r="P79" s="33" t="e">
        <f t="shared" si="25"/>
        <v>#REF!</v>
      </c>
    </row>
    <row r="80" spans="2:16" ht="16.5">
      <c r="B80" s="34" t="s">
        <v>123</v>
      </c>
      <c r="C80" s="30" t="s">
        <v>130</v>
      </c>
      <c r="D80" s="30" t="s">
        <v>131</v>
      </c>
      <c r="E80" s="30">
        <f>'TOP FEBRERO 2026'!BH79</f>
        <v>15</v>
      </c>
      <c r="F80" s="33">
        <f t="shared" si="26"/>
        <v>0.83333333333333337</v>
      </c>
      <c r="G80" s="30">
        <f>'TOP FEBRERO 2026'!BI79</f>
        <v>11</v>
      </c>
      <c r="H80" s="33">
        <f t="shared" si="27"/>
        <v>0.61111111111111116</v>
      </c>
      <c r="I80" s="30">
        <f t="shared" si="28"/>
        <v>26</v>
      </c>
      <c r="J80" s="33">
        <f t="shared" si="24"/>
        <v>0.72222222222222221</v>
      </c>
      <c r="K80" s="30" t="e">
        <f>#REF!</f>
        <v>#REF!</v>
      </c>
      <c r="L80" s="33" t="e">
        <f t="shared" si="29"/>
        <v>#REF!</v>
      </c>
      <c r="M80" s="30" t="e">
        <f>#REF!</f>
        <v>#REF!</v>
      </c>
      <c r="N80" s="33" t="e">
        <f t="shared" si="30"/>
        <v>#REF!</v>
      </c>
      <c r="O80" s="30" t="e">
        <f t="shared" si="31"/>
        <v>#REF!</v>
      </c>
      <c r="P80" s="33" t="e">
        <f t="shared" si="25"/>
        <v>#REF!</v>
      </c>
    </row>
    <row r="81" spans="2:16" ht="16.5">
      <c r="B81" s="34" t="s">
        <v>123</v>
      </c>
      <c r="C81" s="30" t="s">
        <v>132</v>
      </c>
      <c r="D81" s="30" t="s">
        <v>133</v>
      </c>
      <c r="E81" s="30">
        <f>'TOP FEBRERO 2026'!BH80</f>
        <v>17</v>
      </c>
      <c r="F81" s="33">
        <f t="shared" si="26"/>
        <v>0.94444444444444442</v>
      </c>
      <c r="G81" s="30">
        <f>'TOP FEBRERO 2026'!BI80</f>
        <v>16</v>
      </c>
      <c r="H81" s="33">
        <f t="shared" si="27"/>
        <v>0.88888888888888884</v>
      </c>
      <c r="I81" s="30">
        <f t="shared" si="28"/>
        <v>33</v>
      </c>
      <c r="J81" s="33">
        <f t="shared" si="24"/>
        <v>0.91666666666666663</v>
      </c>
      <c r="K81" s="30" t="e">
        <f>#REF!</f>
        <v>#REF!</v>
      </c>
      <c r="L81" s="33" t="e">
        <f t="shared" si="29"/>
        <v>#REF!</v>
      </c>
      <c r="M81" s="30" t="e">
        <f>#REF!</f>
        <v>#REF!</v>
      </c>
      <c r="N81" s="33" t="e">
        <f t="shared" si="30"/>
        <v>#REF!</v>
      </c>
      <c r="O81" s="30" t="e">
        <f t="shared" si="31"/>
        <v>#REF!</v>
      </c>
      <c r="P81" s="33" t="e">
        <f t="shared" si="25"/>
        <v>#REF!</v>
      </c>
    </row>
    <row r="82" spans="2:16" ht="16.5">
      <c r="B82" s="34" t="s">
        <v>134</v>
      </c>
      <c r="C82" s="30" t="s">
        <v>135</v>
      </c>
      <c r="D82" s="30" t="s">
        <v>136</v>
      </c>
      <c r="E82" s="371">
        <f>'TOP FEBRERO 2026'!BH81+'TOP FEBRERO 2026'!BH82+'TOP FEBRERO 2026'!BH83+'TOP FEBRERO 2026'!BH84+'TOP FEBRERO 2026'!BH85</f>
        <v>17</v>
      </c>
      <c r="F82" s="373">
        <f>E82/18</f>
        <v>0.94444444444444442</v>
      </c>
      <c r="G82" s="371">
        <f>'TOP FEBRERO 2026'!BI81+'TOP FEBRERO 2026'!BI82+'TOP FEBRERO 2026'!BI83+'TOP FEBRERO 2026'!BI84+'TOP FEBRERO 2026'!BI85</f>
        <v>12</v>
      </c>
      <c r="H82" s="373">
        <f>G82/18</f>
        <v>0.66666666666666663</v>
      </c>
      <c r="I82" s="371">
        <f t="shared" si="20"/>
        <v>29</v>
      </c>
      <c r="J82" s="373">
        <f>I82/36</f>
        <v>0.80555555555555558</v>
      </c>
      <c r="K82" s="371" t="e">
        <f>#REF!+#REF!+#REF!+#REF!+#REF!</f>
        <v>#REF!</v>
      </c>
      <c r="L82" s="373" t="e">
        <f>K82/18</f>
        <v>#REF!</v>
      </c>
      <c r="M82" s="371" t="e">
        <f>#REF!+#REF!+#REF!+#REF!+#REF!</f>
        <v>#REF!</v>
      </c>
      <c r="N82" s="373" t="e">
        <f>M82/18</f>
        <v>#REF!</v>
      </c>
      <c r="O82" s="371" t="e">
        <f t="shared" si="31"/>
        <v>#REF!</v>
      </c>
      <c r="P82" s="373" t="e">
        <f>O82/36</f>
        <v>#REF!</v>
      </c>
    </row>
    <row r="83" spans="2:16" ht="16.5">
      <c r="B83" s="34" t="s">
        <v>134</v>
      </c>
      <c r="C83" s="30" t="s">
        <v>135</v>
      </c>
      <c r="D83" s="30" t="s">
        <v>137</v>
      </c>
      <c r="E83" s="378"/>
      <c r="F83" s="379"/>
      <c r="G83" s="378"/>
      <c r="H83" s="379"/>
      <c r="I83" s="378"/>
      <c r="J83" s="379"/>
      <c r="K83" s="378"/>
      <c r="L83" s="379"/>
      <c r="M83" s="378"/>
      <c r="N83" s="379"/>
      <c r="O83" s="378"/>
      <c r="P83" s="379"/>
    </row>
    <row r="84" spans="2:16" ht="16.5">
      <c r="B84" s="34" t="s">
        <v>134</v>
      </c>
      <c r="C84" s="30" t="s">
        <v>135</v>
      </c>
      <c r="D84" s="30" t="s">
        <v>138</v>
      </c>
      <c r="E84" s="378"/>
      <c r="F84" s="379"/>
      <c r="G84" s="378"/>
      <c r="H84" s="379"/>
      <c r="I84" s="378"/>
      <c r="J84" s="379"/>
      <c r="K84" s="378"/>
      <c r="L84" s="379"/>
      <c r="M84" s="378"/>
      <c r="N84" s="379"/>
      <c r="O84" s="378"/>
      <c r="P84" s="379"/>
    </row>
    <row r="85" spans="2:16" ht="16.5">
      <c r="B85" s="34" t="s">
        <v>134</v>
      </c>
      <c r="C85" s="30" t="s">
        <v>135</v>
      </c>
      <c r="D85" s="30" t="s">
        <v>139</v>
      </c>
      <c r="E85" s="378"/>
      <c r="F85" s="379"/>
      <c r="G85" s="378"/>
      <c r="H85" s="379"/>
      <c r="I85" s="378"/>
      <c r="J85" s="379"/>
      <c r="K85" s="378"/>
      <c r="L85" s="379"/>
      <c r="M85" s="378"/>
      <c r="N85" s="379"/>
      <c r="O85" s="378"/>
      <c r="P85" s="379"/>
    </row>
    <row r="86" spans="2:16" ht="16.5">
      <c r="B86" s="34" t="s">
        <v>134</v>
      </c>
      <c r="C86" s="30" t="s">
        <v>135</v>
      </c>
      <c r="D86" s="30" t="s">
        <v>140</v>
      </c>
      <c r="E86" s="372"/>
      <c r="F86" s="374"/>
      <c r="G86" s="372"/>
      <c r="H86" s="374"/>
      <c r="I86" s="372"/>
      <c r="J86" s="374"/>
      <c r="K86" s="372"/>
      <c r="L86" s="374"/>
      <c r="M86" s="372"/>
      <c r="N86" s="374"/>
      <c r="O86" s="372"/>
      <c r="P86" s="374"/>
    </row>
    <row r="87" spans="2:16" ht="16.5">
      <c r="B87" s="34" t="s">
        <v>134</v>
      </c>
      <c r="C87" s="30" t="s">
        <v>141</v>
      </c>
      <c r="D87" s="30" t="s">
        <v>142</v>
      </c>
      <c r="E87" s="371">
        <f>'TOP FEBRERO 2026'!BH86+'TOP FEBRERO 2026'!BH87+'TOP FEBRERO 2026'!BH88</f>
        <v>17</v>
      </c>
      <c r="F87" s="373">
        <f>E87/18</f>
        <v>0.94444444444444442</v>
      </c>
      <c r="G87" s="371">
        <f>'TOP FEBRERO 2026'!BI86+'TOP FEBRERO 2026'!BI87+'TOP FEBRERO 2026'!BI88</f>
        <v>8</v>
      </c>
      <c r="H87" s="373">
        <f>G87/18</f>
        <v>0.44444444444444442</v>
      </c>
      <c r="I87" s="371">
        <f t="shared" si="20"/>
        <v>25</v>
      </c>
      <c r="J87" s="373">
        <f>I87/36</f>
        <v>0.69444444444444442</v>
      </c>
      <c r="K87" s="371" t="e">
        <f>#REF!+#REF!+#REF!</f>
        <v>#REF!</v>
      </c>
      <c r="L87" s="373" t="e">
        <f>K87/18</f>
        <v>#REF!</v>
      </c>
      <c r="M87" s="371" t="e">
        <f>#REF!+#REF!+#REF!</f>
        <v>#REF!</v>
      </c>
      <c r="N87" s="373" t="e">
        <f>M87/18</f>
        <v>#REF!</v>
      </c>
      <c r="O87" s="371" t="e">
        <f t="shared" ref="O87:O90" si="32">K87+M87</f>
        <v>#REF!</v>
      </c>
      <c r="P87" s="373" t="e">
        <f>O87/36</f>
        <v>#REF!</v>
      </c>
    </row>
    <row r="88" spans="2:16" ht="16.5">
      <c r="B88" s="34" t="s">
        <v>134</v>
      </c>
      <c r="C88" s="30" t="s">
        <v>141</v>
      </c>
      <c r="D88" s="30" t="s">
        <v>143</v>
      </c>
      <c r="E88" s="378"/>
      <c r="F88" s="379"/>
      <c r="G88" s="378"/>
      <c r="H88" s="379"/>
      <c r="I88" s="378"/>
      <c r="J88" s="379"/>
      <c r="K88" s="378"/>
      <c r="L88" s="379"/>
      <c r="M88" s="378"/>
      <c r="N88" s="379"/>
      <c r="O88" s="378"/>
      <c r="P88" s="379"/>
    </row>
    <row r="89" spans="2:16" ht="16.5">
      <c r="B89" s="34" t="s">
        <v>134</v>
      </c>
      <c r="C89" s="30" t="s">
        <v>141</v>
      </c>
      <c r="D89" s="30" t="s">
        <v>144</v>
      </c>
      <c r="E89" s="372"/>
      <c r="F89" s="374"/>
      <c r="G89" s="372"/>
      <c r="H89" s="374"/>
      <c r="I89" s="372"/>
      <c r="J89" s="374"/>
      <c r="K89" s="372"/>
      <c r="L89" s="374"/>
      <c r="M89" s="372"/>
      <c r="N89" s="374"/>
      <c r="O89" s="372"/>
      <c r="P89" s="374"/>
    </row>
    <row r="90" spans="2:16" ht="16.5">
      <c r="B90" s="34" t="s">
        <v>134</v>
      </c>
      <c r="C90" s="30" t="s">
        <v>145</v>
      </c>
      <c r="D90" s="30" t="s">
        <v>146</v>
      </c>
      <c r="E90" s="30">
        <f>'TOP FEBRERO 2026'!BH89</f>
        <v>7</v>
      </c>
      <c r="F90" s="33">
        <f>E90/8</f>
        <v>0.875</v>
      </c>
      <c r="G90" s="30">
        <f>'TOP FEBRERO 2026'!BI89</f>
        <v>4</v>
      </c>
      <c r="H90" s="33">
        <f>G90/8</f>
        <v>0.5</v>
      </c>
      <c r="I90" s="30">
        <f t="shared" si="20"/>
        <v>11</v>
      </c>
      <c r="J90" s="33">
        <f>I90/16</f>
        <v>0.6875</v>
      </c>
      <c r="K90" s="30" t="e">
        <f>#REF!</f>
        <v>#REF!</v>
      </c>
      <c r="L90" s="33" t="e">
        <f>K90/8</f>
        <v>#REF!</v>
      </c>
      <c r="M90" s="30" t="e">
        <f>#REF!</f>
        <v>#REF!</v>
      </c>
      <c r="N90" s="33" t="e">
        <f>M90/8</f>
        <v>#REF!</v>
      </c>
      <c r="O90" s="30" t="e">
        <f t="shared" ref="O90:O92" si="33">K90+M90</f>
        <v>#REF!</v>
      </c>
      <c r="P90" s="33" t="e">
        <f>O90/16</f>
        <v>#REF!</v>
      </c>
    </row>
    <row r="91" spans="2:16" ht="16.5">
      <c r="B91" s="34" t="s">
        <v>147</v>
      </c>
      <c r="C91" s="30" t="s">
        <v>148</v>
      </c>
      <c r="D91" s="30" t="s">
        <v>149</v>
      </c>
      <c r="E91" s="30">
        <f>'TOP FEBRERO 2026'!BH90</f>
        <v>19</v>
      </c>
      <c r="F91" s="33">
        <f>E91/18</f>
        <v>1.0555555555555556</v>
      </c>
      <c r="G91" s="30">
        <f>'TOP FEBRERO 2026'!BI90</f>
        <v>15</v>
      </c>
      <c r="H91" s="33">
        <f>G91/18</f>
        <v>0.83333333333333337</v>
      </c>
      <c r="I91" s="30">
        <f t="shared" ref="I91:I100" si="34">E91+G91</f>
        <v>34</v>
      </c>
      <c r="J91" s="33">
        <f>I91/36</f>
        <v>0.94444444444444442</v>
      </c>
      <c r="K91" s="30" t="e">
        <f>#REF!</f>
        <v>#REF!</v>
      </c>
      <c r="L91" s="33" t="e">
        <f>K91/18</f>
        <v>#REF!</v>
      </c>
      <c r="M91" s="30" t="e">
        <f>#REF!</f>
        <v>#REF!</v>
      </c>
      <c r="N91" s="33" t="e">
        <f>M91/18</f>
        <v>#REF!</v>
      </c>
      <c r="O91" s="30" t="e">
        <f t="shared" si="33"/>
        <v>#REF!</v>
      </c>
      <c r="P91" s="33" t="e">
        <f>O91/36</f>
        <v>#REF!</v>
      </c>
    </row>
    <row r="92" spans="2:16" ht="16.5">
      <c r="B92" s="70" t="s">
        <v>147</v>
      </c>
      <c r="C92" s="30"/>
      <c r="D92" s="30" t="s">
        <v>195</v>
      </c>
      <c r="E92" s="30">
        <f>'TOP FEBRERO 2026'!BH91</f>
        <v>6</v>
      </c>
      <c r="F92" s="33">
        <f>E92/9</f>
        <v>0.66666666666666663</v>
      </c>
      <c r="G92" s="30">
        <f>'TOP FEBRERO 2026'!BI91</f>
        <v>5</v>
      </c>
      <c r="H92" s="33">
        <f>G92/9</f>
        <v>0.55555555555555558</v>
      </c>
      <c r="I92" s="30">
        <f t="shared" si="34"/>
        <v>11</v>
      </c>
      <c r="J92" s="33">
        <f>I92/18</f>
        <v>0.61111111111111116</v>
      </c>
      <c r="K92" s="30" t="e">
        <f>#REF!</f>
        <v>#REF!</v>
      </c>
      <c r="L92" s="33" t="e">
        <f>K92/9</f>
        <v>#REF!</v>
      </c>
      <c r="M92" s="30" t="e">
        <f>#REF!</f>
        <v>#REF!</v>
      </c>
      <c r="N92" s="33" t="e">
        <f>M92/9</f>
        <v>#REF!</v>
      </c>
      <c r="O92" s="30" t="e">
        <f t="shared" si="33"/>
        <v>#REF!</v>
      </c>
      <c r="P92" s="33" t="e">
        <f>O92/18</f>
        <v>#REF!</v>
      </c>
    </row>
    <row r="93" spans="2:16" ht="16.5">
      <c r="B93" s="35" t="s">
        <v>150</v>
      </c>
      <c r="C93" s="31" t="s">
        <v>151</v>
      </c>
      <c r="D93" s="32" t="s">
        <v>152</v>
      </c>
      <c r="E93" s="30">
        <f>'TOP FEBRERO 2026'!BH92</f>
        <v>2</v>
      </c>
      <c r="F93" s="33">
        <f t="shared" ref="F91:F100" si="35">E93/19</f>
        <v>0.10526315789473684</v>
      </c>
      <c r="G93" s="30">
        <f>'TOP FEBRERO 2026'!BI92</f>
        <v>0</v>
      </c>
      <c r="H93" s="33">
        <f t="shared" ref="H91:H100" si="36">G93/19</f>
        <v>0</v>
      </c>
      <c r="I93" s="30">
        <f t="shared" si="34"/>
        <v>2</v>
      </c>
      <c r="J93" s="33">
        <f>I93/40</f>
        <v>0.05</v>
      </c>
      <c r="K93" s="30" t="e">
        <f>#REF!</f>
        <v>#REF!</v>
      </c>
      <c r="L93" s="33" t="e">
        <f t="shared" ref="L91:L100" si="37">K93/19</f>
        <v>#REF!</v>
      </c>
      <c r="M93" s="30" t="e">
        <f>#REF!</f>
        <v>#REF!</v>
      </c>
      <c r="N93" s="33" t="e">
        <f t="shared" ref="N91:N100" si="38">M93/19</f>
        <v>#REF!</v>
      </c>
      <c r="O93" s="30" t="e">
        <f t="shared" ref="O90:O100" si="39">K93+M93</f>
        <v>#REF!</v>
      </c>
      <c r="P93" s="33" t="e">
        <f>O93/40</f>
        <v>#REF!</v>
      </c>
    </row>
    <row r="94" spans="2:16" ht="16.5">
      <c r="B94" s="36" t="s">
        <v>150</v>
      </c>
      <c r="C94" s="31" t="s">
        <v>198</v>
      </c>
      <c r="D94" s="31" t="s">
        <v>153</v>
      </c>
      <c r="E94" s="30">
        <f>'TOP FEBRERO 2026'!BH93</f>
        <v>6</v>
      </c>
      <c r="F94" s="33">
        <f t="shared" ref="F94:F100" si="40">E94/19</f>
        <v>0.31578947368421051</v>
      </c>
      <c r="G94" s="30">
        <f>'TOP FEBRERO 2026'!BI93</f>
        <v>3</v>
      </c>
      <c r="H94" s="33">
        <f t="shared" ref="H94:H100" si="41">G94/19</f>
        <v>0.15789473684210525</v>
      </c>
      <c r="I94" s="30">
        <f t="shared" ref="I94:I100" si="42">E94+G94</f>
        <v>9</v>
      </c>
      <c r="J94" s="33">
        <f t="shared" ref="J94:J100" si="43">I94/40</f>
        <v>0.22500000000000001</v>
      </c>
      <c r="K94" s="30" t="e">
        <f>#REF!</f>
        <v>#REF!</v>
      </c>
      <c r="L94" s="33" t="e">
        <f t="shared" ref="L94:L100" si="44">K94/19</f>
        <v>#REF!</v>
      </c>
      <c r="M94" s="30" t="e">
        <f>#REF!</f>
        <v>#REF!</v>
      </c>
      <c r="N94" s="33" t="e">
        <f t="shared" ref="N94:N100" si="45">M94/19</f>
        <v>#REF!</v>
      </c>
      <c r="O94" s="30" t="e">
        <f t="shared" ref="O94:O100" si="46">K94+M94</f>
        <v>#REF!</v>
      </c>
      <c r="P94" s="33" t="e">
        <f t="shared" ref="P94:P100" si="47">O94/40</f>
        <v>#REF!</v>
      </c>
    </row>
    <row r="95" spans="2:16" ht="16.5">
      <c r="B95" s="36" t="s">
        <v>150</v>
      </c>
      <c r="C95" s="31" t="s">
        <v>198</v>
      </c>
      <c r="D95" s="31" t="s">
        <v>154</v>
      </c>
      <c r="E95" s="30">
        <f>'TOP FEBRERO 2026'!BH94</f>
        <v>11</v>
      </c>
      <c r="F95" s="33">
        <f t="shared" si="40"/>
        <v>0.57894736842105265</v>
      </c>
      <c r="G95" s="30">
        <f>'TOP FEBRERO 2026'!BI94</f>
        <v>5</v>
      </c>
      <c r="H95" s="33">
        <f t="shared" si="41"/>
        <v>0.26315789473684209</v>
      </c>
      <c r="I95" s="30">
        <f t="shared" si="42"/>
        <v>16</v>
      </c>
      <c r="J95" s="33">
        <f t="shared" si="43"/>
        <v>0.4</v>
      </c>
      <c r="K95" s="30" t="e">
        <f>#REF!</f>
        <v>#REF!</v>
      </c>
      <c r="L95" s="33" t="e">
        <f t="shared" si="44"/>
        <v>#REF!</v>
      </c>
      <c r="M95" s="30" t="e">
        <f>#REF!</f>
        <v>#REF!</v>
      </c>
      <c r="N95" s="33" t="e">
        <f t="shared" si="45"/>
        <v>#REF!</v>
      </c>
      <c r="O95" s="30" t="e">
        <f t="shared" si="46"/>
        <v>#REF!</v>
      </c>
      <c r="P95" s="33" t="e">
        <f t="shared" si="47"/>
        <v>#REF!</v>
      </c>
    </row>
    <row r="96" spans="2:16" ht="16.5">
      <c r="B96" s="36" t="s">
        <v>150</v>
      </c>
      <c r="C96" s="31" t="s">
        <v>155</v>
      </c>
      <c r="D96" s="31" t="s">
        <v>156</v>
      </c>
      <c r="E96" s="30">
        <f>'TOP FEBRERO 2026'!BH95</f>
        <v>19</v>
      </c>
      <c r="F96" s="33">
        <f t="shared" si="40"/>
        <v>1</v>
      </c>
      <c r="G96" s="30">
        <f>'TOP FEBRERO 2026'!BI95</f>
        <v>17</v>
      </c>
      <c r="H96" s="33">
        <f t="shared" si="41"/>
        <v>0.89473684210526316</v>
      </c>
      <c r="I96" s="30">
        <f t="shared" si="42"/>
        <v>36</v>
      </c>
      <c r="J96" s="33">
        <f t="shared" si="43"/>
        <v>0.9</v>
      </c>
      <c r="K96" s="30" t="e">
        <f>#REF!</f>
        <v>#REF!</v>
      </c>
      <c r="L96" s="33" t="e">
        <f t="shared" si="44"/>
        <v>#REF!</v>
      </c>
      <c r="M96" s="30" t="e">
        <f>#REF!</f>
        <v>#REF!</v>
      </c>
      <c r="N96" s="33" t="e">
        <f t="shared" si="45"/>
        <v>#REF!</v>
      </c>
      <c r="O96" s="30" t="e">
        <f t="shared" si="46"/>
        <v>#REF!</v>
      </c>
      <c r="P96" s="33" t="e">
        <f t="shared" si="47"/>
        <v>#REF!</v>
      </c>
    </row>
    <row r="97" spans="2:16" ht="16.5">
      <c r="B97" s="36" t="s">
        <v>150</v>
      </c>
      <c r="C97" s="31" t="s">
        <v>157</v>
      </c>
      <c r="D97" s="31" t="s">
        <v>158</v>
      </c>
      <c r="E97" s="30">
        <f>'TOP FEBRERO 2026'!BH96</f>
        <v>7</v>
      </c>
      <c r="F97" s="33">
        <f t="shared" si="40"/>
        <v>0.36842105263157893</v>
      </c>
      <c r="G97" s="30">
        <f>'TOP FEBRERO 2026'!BI96</f>
        <v>8</v>
      </c>
      <c r="H97" s="33">
        <f t="shared" si="41"/>
        <v>0.42105263157894735</v>
      </c>
      <c r="I97" s="30">
        <f t="shared" si="42"/>
        <v>15</v>
      </c>
      <c r="J97" s="33">
        <f t="shared" si="43"/>
        <v>0.375</v>
      </c>
      <c r="K97" s="30" t="e">
        <f>#REF!</f>
        <v>#REF!</v>
      </c>
      <c r="L97" s="33" t="e">
        <f t="shared" si="44"/>
        <v>#REF!</v>
      </c>
      <c r="M97" s="30" t="e">
        <f>#REF!</f>
        <v>#REF!</v>
      </c>
      <c r="N97" s="33" t="e">
        <f t="shared" si="45"/>
        <v>#REF!</v>
      </c>
      <c r="O97" s="30" t="e">
        <f t="shared" si="46"/>
        <v>#REF!</v>
      </c>
      <c r="P97" s="33" t="e">
        <f t="shared" si="47"/>
        <v>#REF!</v>
      </c>
    </row>
    <row r="98" spans="2:16" ht="16.5">
      <c r="B98" s="36" t="s">
        <v>150</v>
      </c>
      <c r="C98" s="31" t="s">
        <v>157</v>
      </c>
      <c r="D98" s="31" t="s">
        <v>159</v>
      </c>
      <c r="E98" s="30">
        <f>'TOP FEBRERO 2026'!BH97</f>
        <v>0</v>
      </c>
      <c r="F98" s="33">
        <f t="shared" si="40"/>
        <v>0</v>
      </c>
      <c r="G98" s="30">
        <f>'TOP FEBRERO 2026'!BI97</f>
        <v>0</v>
      </c>
      <c r="H98" s="33">
        <f t="shared" si="41"/>
        <v>0</v>
      </c>
      <c r="I98" s="30">
        <f t="shared" si="42"/>
        <v>0</v>
      </c>
      <c r="J98" s="33">
        <f t="shared" si="43"/>
        <v>0</v>
      </c>
      <c r="K98" s="30" t="e">
        <f>#REF!</f>
        <v>#REF!</v>
      </c>
      <c r="L98" s="33" t="e">
        <f t="shared" si="44"/>
        <v>#REF!</v>
      </c>
      <c r="M98" s="30" t="e">
        <f>#REF!</f>
        <v>#REF!</v>
      </c>
      <c r="N98" s="33" t="e">
        <f t="shared" si="45"/>
        <v>#REF!</v>
      </c>
      <c r="O98" s="30" t="e">
        <f t="shared" si="46"/>
        <v>#REF!</v>
      </c>
      <c r="P98" s="33" t="e">
        <f t="shared" si="47"/>
        <v>#REF!</v>
      </c>
    </row>
    <row r="99" spans="2:16" ht="16.5">
      <c r="B99" s="36" t="s">
        <v>150</v>
      </c>
      <c r="C99" s="31" t="s">
        <v>162</v>
      </c>
      <c r="D99" s="31" t="s">
        <v>161</v>
      </c>
      <c r="E99" s="30">
        <f>'TOP FEBRERO 2026'!BH98</f>
        <v>4</v>
      </c>
      <c r="F99" s="33">
        <f t="shared" si="40"/>
        <v>0.21052631578947367</v>
      </c>
      <c r="G99" s="30">
        <f>'TOP FEBRERO 2026'!BI98</f>
        <v>4</v>
      </c>
      <c r="H99" s="33">
        <f t="shared" si="41"/>
        <v>0.21052631578947367</v>
      </c>
      <c r="I99" s="30">
        <f t="shared" si="42"/>
        <v>8</v>
      </c>
      <c r="J99" s="33">
        <f t="shared" si="43"/>
        <v>0.2</v>
      </c>
      <c r="K99" s="30" t="e">
        <f>#REF!</f>
        <v>#REF!</v>
      </c>
      <c r="L99" s="33" t="e">
        <f t="shared" si="44"/>
        <v>#REF!</v>
      </c>
      <c r="M99" s="30" t="e">
        <f>#REF!</f>
        <v>#REF!</v>
      </c>
      <c r="N99" s="33" t="e">
        <f t="shared" si="45"/>
        <v>#REF!</v>
      </c>
      <c r="O99" s="30" t="e">
        <f t="shared" si="46"/>
        <v>#REF!</v>
      </c>
      <c r="P99" s="33" t="e">
        <f>O99/40</f>
        <v>#REF!</v>
      </c>
    </row>
    <row r="100" spans="2:16" ht="16.5">
      <c r="B100" s="36" t="s">
        <v>150</v>
      </c>
      <c r="C100" s="31" t="s">
        <v>162</v>
      </c>
      <c r="D100" s="31" t="s">
        <v>163</v>
      </c>
      <c r="E100" s="30">
        <f>'TOP FEBRERO 2026'!BH99</f>
        <v>10</v>
      </c>
      <c r="F100" s="33">
        <f t="shared" si="40"/>
        <v>0.52631578947368418</v>
      </c>
      <c r="G100" s="30">
        <f>'TOP FEBRERO 2026'!BI99</f>
        <v>3</v>
      </c>
      <c r="H100" s="33">
        <f t="shared" si="41"/>
        <v>0.15789473684210525</v>
      </c>
      <c r="I100" s="30">
        <f t="shared" si="42"/>
        <v>13</v>
      </c>
      <c r="J100" s="33">
        <f>I100/40</f>
        <v>0.32500000000000001</v>
      </c>
      <c r="K100" s="30" t="e">
        <f>#REF!</f>
        <v>#REF!</v>
      </c>
      <c r="L100" s="33" t="e">
        <f t="shared" si="44"/>
        <v>#REF!</v>
      </c>
      <c r="M100" s="30" t="e">
        <f>#REF!</f>
        <v>#REF!</v>
      </c>
      <c r="N100" s="33" t="e">
        <f t="shared" si="45"/>
        <v>#REF!</v>
      </c>
      <c r="O100" s="30" t="e">
        <f t="shared" si="46"/>
        <v>#REF!</v>
      </c>
      <c r="P100" s="33" t="e">
        <f>O100/40</f>
        <v>#REF!</v>
      </c>
    </row>
    <row r="101" spans="2:16">
      <c r="J101" s="73"/>
    </row>
  </sheetData>
  <sortState xmlns:xlrd2="http://schemas.microsoft.com/office/spreadsheetml/2017/richdata2" ref="R4:U15">
    <sortCondition ref="R4:R15"/>
  </sortState>
  <mergeCells count="255">
    <mergeCell ref="K87:K89"/>
    <mergeCell ref="L87:L89"/>
    <mergeCell ref="M87:M89"/>
    <mergeCell ref="N87:N89"/>
    <mergeCell ref="O87:O89"/>
    <mergeCell ref="P87:P89"/>
    <mergeCell ref="K71:K72"/>
    <mergeCell ref="L71:L72"/>
    <mergeCell ref="M71:M72"/>
    <mergeCell ref="N71:N72"/>
    <mergeCell ref="O71:O72"/>
    <mergeCell ref="P71:P72"/>
    <mergeCell ref="K82:K86"/>
    <mergeCell ref="L82:L86"/>
    <mergeCell ref="M82:M86"/>
    <mergeCell ref="N82:N86"/>
    <mergeCell ref="O82:O86"/>
    <mergeCell ref="P82:P86"/>
    <mergeCell ref="K67:K68"/>
    <mergeCell ref="L67:L68"/>
    <mergeCell ref="M67:M68"/>
    <mergeCell ref="N67:N68"/>
    <mergeCell ref="O67:O68"/>
    <mergeCell ref="P67:P68"/>
    <mergeCell ref="K69:K70"/>
    <mergeCell ref="L69:L70"/>
    <mergeCell ref="M69:M70"/>
    <mergeCell ref="N69:N70"/>
    <mergeCell ref="O69:O70"/>
    <mergeCell ref="P69:P70"/>
    <mergeCell ref="K60:K61"/>
    <mergeCell ref="L60:L61"/>
    <mergeCell ref="M60:M61"/>
    <mergeCell ref="N60:N61"/>
    <mergeCell ref="O60:O61"/>
    <mergeCell ref="P60:P61"/>
    <mergeCell ref="K65:K66"/>
    <mergeCell ref="L65:L66"/>
    <mergeCell ref="M65:M66"/>
    <mergeCell ref="N65:N66"/>
    <mergeCell ref="O65:O66"/>
    <mergeCell ref="P65:P66"/>
    <mergeCell ref="K54:K55"/>
    <mergeCell ref="L54:L55"/>
    <mergeCell ref="M54:M55"/>
    <mergeCell ref="N54:N55"/>
    <mergeCell ref="O54:O55"/>
    <mergeCell ref="P54:P55"/>
    <mergeCell ref="K56:K58"/>
    <mergeCell ref="L56:L58"/>
    <mergeCell ref="M56:M58"/>
    <mergeCell ref="N56:N58"/>
    <mergeCell ref="O56:O58"/>
    <mergeCell ref="P56:P58"/>
    <mergeCell ref="K47:K48"/>
    <mergeCell ref="L47:L48"/>
    <mergeCell ref="M47:M48"/>
    <mergeCell ref="N47:N48"/>
    <mergeCell ref="O47:O48"/>
    <mergeCell ref="P47:P48"/>
    <mergeCell ref="K49:K53"/>
    <mergeCell ref="L49:L53"/>
    <mergeCell ref="M49:M53"/>
    <mergeCell ref="N49:N53"/>
    <mergeCell ref="O49:O53"/>
    <mergeCell ref="P49:P53"/>
    <mergeCell ref="K40:K41"/>
    <mergeCell ref="L40:L41"/>
    <mergeCell ref="M40:M41"/>
    <mergeCell ref="N40:N41"/>
    <mergeCell ref="O40:O41"/>
    <mergeCell ref="P40:P41"/>
    <mergeCell ref="K42:K43"/>
    <mergeCell ref="L42:L43"/>
    <mergeCell ref="M42:M43"/>
    <mergeCell ref="N42:N43"/>
    <mergeCell ref="O42:O43"/>
    <mergeCell ref="P42:P43"/>
    <mergeCell ref="K35:K36"/>
    <mergeCell ref="L35:L36"/>
    <mergeCell ref="M35:M36"/>
    <mergeCell ref="N35:N36"/>
    <mergeCell ref="O35:O36"/>
    <mergeCell ref="P35:P36"/>
    <mergeCell ref="K38:K39"/>
    <mergeCell ref="L38:L39"/>
    <mergeCell ref="M38:M39"/>
    <mergeCell ref="N38:N39"/>
    <mergeCell ref="O38:O39"/>
    <mergeCell ref="P38:P39"/>
    <mergeCell ref="K22:K28"/>
    <mergeCell ref="L22:L28"/>
    <mergeCell ref="M22:M28"/>
    <mergeCell ref="N22:N28"/>
    <mergeCell ref="O22:O28"/>
    <mergeCell ref="P22:P28"/>
    <mergeCell ref="K33:K34"/>
    <mergeCell ref="L33:L34"/>
    <mergeCell ref="M33:M34"/>
    <mergeCell ref="N33:N34"/>
    <mergeCell ref="O33:O34"/>
    <mergeCell ref="P33:P34"/>
    <mergeCell ref="K11:K16"/>
    <mergeCell ref="L11:L16"/>
    <mergeCell ref="M11:M16"/>
    <mergeCell ref="N11:N16"/>
    <mergeCell ref="O11:O16"/>
    <mergeCell ref="P11:P16"/>
    <mergeCell ref="K17:K19"/>
    <mergeCell ref="L17:L19"/>
    <mergeCell ref="M17:M19"/>
    <mergeCell ref="N17:N19"/>
    <mergeCell ref="O17:O19"/>
    <mergeCell ref="P17:P19"/>
    <mergeCell ref="I4:I5"/>
    <mergeCell ref="J4:J5"/>
    <mergeCell ref="E6:E10"/>
    <mergeCell ref="F6:F10"/>
    <mergeCell ref="G6:G10"/>
    <mergeCell ref="H6:H10"/>
    <mergeCell ref="I6:I10"/>
    <mergeCell ref="P4:P5"/>
    <mergeCell ref="K6:K10"/>
    <mergeCell ref="L6:L10"/>
    <mergeCell ref="M6:M10"/>
    <mergeCell ref="N6:N10"/>
    <mergeCell ref="O6:O10"/>
    <mergeCell ref="P6:P10"/>
    <mergeCell ref="E2:I2"/>
    <mergeCell ref="K2:O2"/>
    <mergeCell ref="K4:K5"/>
    <mergeCell ref="L4:L5"/>
    <mergeCell ref="M4:M5"/>
    <mergeCell ref="N4:N5"/>
    <mergeCell ref="O4:O5"/>
    <mergeCell ref="J11:J16"/>
    <mergeCell ref="E17:E19"/>
    <mergeCell ref="F17:F19"/>
    <mergeCell ref="G17:G19"/>
    <mergeCell ref="H17:H19"/>
    <mergeCell ref="I17:I19"/>
    <mergeCell ref="J17:J19"/>
    <mergeCell ref="E11:E16"/>
    <mergeCell ref="F11:F16"/>
    <mergeCell ref="G11:G16"/>
    <mergeCell ref="H11:H16"/>
    <mergeCell ref="I11:I16"/>
    <mergeCell ref="J6:J10"/>
    <mergeCell ref="E4:E5"/>
    <mergeCell ref="F4:F5"/>
    <mergeCell ref="G4:G5"/>
    <mergeCell ref="H4:H5"/>
    <mergeCell ref="J22:J28"/>
    <mergeCell ref="E33:E34"/>
    <mergeCell ref="F33:F34"/>
    <mergeCell ref="G33:G34"/>
    <mergeCell ref="H33:H34"/>
    <mergeCell ref="I33:I34"/>
    <mergeCell ref="J33:J34"/>
    <mergeCell ref="E22:E28"/>
    <mergeCell ref="F22:F28"/>
    <mergeCell ref="G22:G28"/>
    <mergeCell ref="H22:H28"/>
    <mergeCell ref="I22:I28"/>
    <mergeCell ref="J35:J36"/>
    <mergeCell ref="E38:E39"/>
    <mergeCell ref="F38:F39"/>
    <mergeCell ref="G38:G39"/>
    <mergeCell ref="H38:H39"/>
    <mergeCell ref="I38:I39"/>
    <mergeCell ref="J38:J39"/>
    <mergeCell ref="E35:E36"/>
    <mergeCell ref="F35:F36"/>
    <mergeCell ref="G35:G36"/>
    <mergeCell ref="H35:H36"/>
    <mergeCell ref="I35:I36"/>
    <mergeCell ref="J40:J41"/>
    <mergeCell ref="E42:E43"/>
    <mergeCell ref="F42:F43"/>
    <mergeCell ref="G42:G43"/>
    <mergeCell ref="H42:H43"/>
    <mergeCell ref="I42:I43"/>
    <mergeCell ref="J42:J43"/>
    <mergeCell ref="E40:E41"/>
    <mergeCell ref="F40:F41"/>
    <mergeCell ref="G40:G41"/>
    <mergeCell ref="H40:H41"/>
    <mergeCell ref="I40:I41"/>
    <mergeCell ref="J47:J48"/>
    <mergeCell ref="E49:E53"/>
    <mergeCell ref="F49:F53"/>
    <mergeCell ref="G49:G53"/>
    <mergeCell ref="H49:H53"/>
    <mergeCell ref="I49:I53"/>
    <mergeCell ref="J49:J53"/>
    <mergeCell ref="E47:E48"/>
    <mergeCell ref="F47:F48"/>
    <mergeCell ref="G47:G48"/>
    <mergeCell ref="H47:H48"/>
    <mergeCell ref="I47:I48"/>
    <mergeCell ref="J54:J55"/>
    <mergeCell ref="E56:E58"/>
    <mergeCell ref="F56:F58"/>
    <mergeCell ref="G56:G58"/>
    <mergeCell ref="H56:H58"/>
    <mergeCell ref="I56:I58"/>
    <mergeCell ref="J56:J58"/>
    <mergeCell ref="E54:E55"/>
    <mergeCell ref="F54:F55"/>
    <mergeCell ref="G54:G55"/>
    <mergeCell ref="H54:H55"/>
    <mergeCell ref="I54:I55"/>
    <mergeCell ref="I69:I70"/>
    <mergeCell ref="J69:J70"/>
    <mergeCell ref="E67:E68"/>
    <mergeCell ref="F67:F68"/>
    <mergeCell ref="G67:G68"/>
    <mergeCell ref="H67:H68"/>
    <mergeCell ref="I67:I68"/>
    <mergeCell ref="J60:J61"/>
    <mergeCell ref="E65:E66"/>
    <mergeCell ref="F65:F66"/>
    <mergeCell ref="G65:G66"/>
    <mergeCell ref="H65:H66"/>
    <mergeCell ref="I65:I66"/>
    <mergeCell ref="J65:J66"/>
    <mergeCell ref="E60:E61"/>
    <mergeCell ref="F60:F61"/>
    <mergeCell ref="G60:G61"/>
    <mergeCell ref="H60:H61"/>
    <mergeCell ref="I60:I61"/>
    <mergeCell ref="R2:U2"/>
    <mergeCell ref="J87:J89"/>
    <mergeCell ref="E87:E89"/>
    <mergeCell ref="F87:F89"/>
    <mergeCell ref="G87:G89"/>
    <mergeCell ref="H87:H89"/>
    <mergeCell ref="I87:I89"/>
    <mergeCell ref="J71:J72"/>
    <mergeCell ref="E82:E86"/>
    <mergeCell ref="F82:F86"/>
    <mergeCell ref="G82:G86"/>
    <mergeCell ref="H82:H86"/>
    <mergeCell ref="I82:I86"/>
    <mergeCell ref="J82:J86"/>
    <mergeCell ref="E71:E72"/>
    <mergeCell ref="F71:F72"/>
    <mergeCell ref="G71:G72"/>
    <mergeCell ref="H71:H72"/>
    <mergeCell ref="I71:I72"/>
    <mergeCell ref="J67:J68"/>
    <mergeCell ref="E69:E70"/>
    <mergeCell ref="F69:F70"/>
    <mergeCell ref="G69:G70"/>
    <mergeCell ref="H69:H70"/>
  </mergeCells>
  <conditionalFormatting sqref="J4 J6 J11 J17 J29:J33 J35 J37:J38 J40 J42 J49 J54 J56 J59:J60 J67 J69 J71 J87 J20:J22 J44:J47 J62:J65 J73:J82 J90:J100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Q4 Q6 Q11 Q17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P4 P6 P11 P17 P29:P33 P35 P37:P38 P40 P42 P49 P54 P56 P59:P60 P67 P69 P71 P87 P20:P22 P44:P47 P62:P65 P73:P82 P90:P100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F4B6-EDA9-4AE7-A54B-4AA2AFBAAAB9}">
  <sheetPr>
    <pageSetUpPr fitToPage="1"/>
  </sheetPr>
  <dimension ref="B1:V104"/>
  <sheetViews>
    <sheetView topLeftCell="H73" workbookViewId="0">
      <selection activeCell="T15" sqref="T15"/>
    </sheetView>
  </sheetViews>
  <sheetFormatPr defaultRowHeight="15" outlineLevelRow="1" outlineLevelCol="1"/>
  <cols>
    <col min="1" max="1" width="18.85546875" customWidth="1"/>
    <col min="2" max="2" width="21.5703125" customWidth="1"/>
    <col min="3" max="3" width="33.42578125" customWidth="1"/>
    <col min="4" max="4" width="52" customWidth="1"/>
    <col min="5" max="5" width="12.140625" customWidth="1" outlineLevel="1"/>
    <col min="6" max="6" width="7.5703125" customWidth="1" outlineLevel="1"/>
    <col min="7" max="7" width="13.28515625" customWidth="1" outlineLevel="1"/>
    <col min="8" max="8" width="8.28515625" customWidth="1" outlineLevel="1"/>
    <col min="9" max="9" width="8.140625" customWidth="1" outlineLevel="1"/>
    <col min="10" max="10" width="17" customWidth="1"/>
    <col min="11" max="11" width="12.28515625" customWidth="1"/>
    <col min="13" max="13" width="14" hidden="1" customWidth="1"/>
    <col min="14" max="15" width="0" hidden="1" customWidth="1"/>
    <col min="16" max="16" width="22.140625" hidden="1" customWidth="1"/>
    <col min="17" max="17" width="22" customWidth="1"/>
    <col min="18" max="19" width="20" customWidth="1"/>
    <col min="20" max="20" width="22.85546875" customWidth="1" outlineLevel="1"/>
    <col min="21" max="21" width="21" customWidth="1" outlineLevel="1"/>
    <col min="22" max="22" width="12.7109375" customWidth="1"/>
  </cols>
  <sheetData>
    <row r="1" spans="2:22" ht="96" customHeight="1" outlineLevel="1">
      <c r="B1" s="122"/>
      <c r="C1" s="388" t="s">
        <v>164</v>
      </c>
      <c r="D1" s="388"/>
      <c r="H1" s="389"/>
      <c r="I1" s="389"/>
      <c r="J1" s="389"/>
      <c r="K1" s="389"/>
    </row>
    <row r="2" spans="2:22" ht="96" customHeight="1" outlineLevel="1">
      <c r="B2" s="122"/>
      <c r="C2" s="123"/>
      <c r="D2" s="123"/>
      <c r="H2" s="26"/>
      <c r="I2" s="26"/>
      <c r="J2" s="26"/>
      <c r="K2" s="26"/>
    </row>
    <row r="3" spans="2:22" ht="47.25" customHeight="1" outlineLevel="1">
      <c r="B3" s="78" t="s">
        <v>606</v>
      </c>
      <c r="C3" s="78"/>
      <c r="D3" s="78" t="s">
        <v>177</v>
      </c>
      <c r="E3" s="390" t="s">
        <v>167</v>
      </c>
      <c r="F3" s="390"/>
      <c r="G3" s="390"/>
      <c r="H3" s="390"/>
      <c r="I3" s="390"/>
      <c r="J3" s="103"/>
      <c r="K3" s="108"/>
      <c r="L3" s="109"/>
      <c r="M3" s="109"/>
      <c r="N3" s="109"/>
      <c r="O3" s="109"/>
      <c r="P3" s="109"/>
      <c r="Q3" s="398" t="s">
        <v>168</v>
      </c>
      <c r="R3" s="398"/>
      <c r="S3" s="398"/>
      <c r="T3" s="398"/>
      <c r="U3" s="112"/>
      <c r="V3" s="112"/>
    </row>
    <row r="4" spans="2:22" ht="17.25" customHeight="1" outlineLevel="1">
      <c r="B4" s="51" t="s">
        <v>169</v>
      </c>
      <c r="C4" s="51" t="s">
        <v>1</v>
      </c>
      <c r="D4" s="51" t="s">
        <v>2</v>
      </c>
      <c r="E4" s="51" t="s">
        <v>170</v>
      </c>
      <c r="F4" s="51" t="s">
        <v>171</v>
      </c>
      <c r="G4" s="51" t="s">
        <v>172</v>
      </c>
      <c r="H4" s="51" t="s">
        <v>171</v>
      </c>
      <c r="I4" s="51" t="s">
        <v>173</v>
      </c>
      <c r="J4" s="104" t="s">
        <v>174</v>
      </c>
      <c r="K4" s="108"/>
      <c r="L4" s="109"/>
      <c r="M4" s="109"/>
      <c r="N4" s="109"/>
      <c r="O4" s="109"/>
      <c r="P4" s="110"/>
      <c r="Q4" s="121"/>
      <c r="R4" s="78" t="s">
        <v>175</v>
      </c>
      <c r="S4" s="78" t="s">
        <v>176</v>
      </c>
      <c r="T4" s="78" t="s">
        <v>177</v>
      </c>
      <c r="U4" s="111"/>
      <c r="V4" s="111"/>
    </row>
    <row r="5" spans="2:22" ht="16.5">
      <c r="B5" s="51" t="s">
        <v>5</v>
      </c>
      <c r="C5" s="30" t="s">
        <v>6</v>
      </c>
      <c r="D5" s="30" t="s">
        <v>7</v>
      </c>
      <c r="E5" s="383">
        <f>'TOP MARZO 2026'!BN3+'TOP MARZO 2026'!BN4</f>
        <v>21</v>
      </c>
      <c r="F5" s="384">
        <f>E5/21</f>
        <v>1</v>
      </c>
      <c r="G5" s="383">
        <f>'TOP MARZO 2026'!BO3+'TOP MARZO 2026'!BO4</f>
        <v>21</v>
      </c>
      <c r="H5" s="384">
        <f>G5/21</f>
        <v>1</v>
      </c>
      <c r="I5" s="383">
        <f>E5+G5</f>
        <v>42</v>
      </c>
      <c r="J5" s="385">
        <f>I5/42</f>
        <v>1</v>
      </c>
      <c r="K5" s="375"/>
      <c r="L5" s="376"/>
      <c r="M5" s="377"/>
      <c r="N5" s="376"/>
      <c r="O5" s="377"/>
      <c r="P5" s="376"/>
      <c r="Q5" s="50" t="s">
        <v>179</v>
      </c>
      <c r="R5" s="118">
        <v>1</v>
      </c>
      <c r="S5" s="50">
        <f>'FEBRERO 2026'!S4</f>
        <v>0.99305555555555547</v>
      </c>
      <c r="T5" s="50">
        <f>AVERAGE(J5:J20)</f>
        <v>0.9285714285714286</v>
      </c>
      <c r="U5" s="81"/>
      <c r="V5" s="81"/>
    </row>
    <row r="6" spans="2:22" ht="16.5">
      <c r="B6" s="51" t="s">
        <v>5</v>
      </c>
      <c r="C6" s="30" t="s">
        <v>6</v>
      </c>
      <c r="D6" s="30" t="s">
        <v>8</v>
      </c>
      <c r="E6" s="383"/>
      <c r="F6" s="384"/>
      <c r="G6" s="383"/>
      <c r="H6" s="384"/>
      <c r="I6" s="383"/>
      <c r="J6" s="385"/>
      <c r="K6" s="375"/>
      <c r="L6" s="376"/>
      <c r="M6" s="377"/>
      <c r="N6" s="376"/>
      <c r="O6" s="377"/>
      <c r="P6" s="376"/>
      <c r="Q6" s="33" t="s">
        <v>180</v>
      </c>
      <c r="R6" s="114">
        <v>2</v>
      </c>
      <c r="S6" s="33">
        <f>'FEBRERO 2026'!S5</f>
        <v>0.79444444444444451</v>
      </c>
      <c r="T6" s="33">
        <f>AVERAGE(J21:J31)</f>
        <v>0.89047619047619053</v>
      </c>
      <c r="U6" s="81"/>
      <c r="V6" s="81"/>
    </row>
    <row r="7" spans="2:22" ht="16.5">
      <c r="B7" s="51" t="s">
        <v>5</v>
      </c>
      <c r="C7" s="30" t="s">
        <v>9</v>
      </c>
      <c r="D7" s="30" t="s">
        <v>10</v>
      </c>
      <c r="E7" s="383">
        <f>'TOP MARZO 2026'!BN5+'TOP MARZO 2026'!BN6+'TOP MARZO 2026'!BN7+'TOP MARZO 2026'!BN8+'TOP MARZO 2026'!BN9</f>
        <v>18</v>
      </c>
      <c r="F7" s="384">
        <f>E7/21</f>
        <v>0.8571428571428571</v>
      </c>
      <c r="G7" s="383">
        <f>'TOP MARZO 2026'!BO5+'TOP MARZO 2026'!BO6+'TOP MARZO 2026'!BO7+'TOP MARZO 2026'!BO8+'TOP MARZO 2026'!BO9</f>
        <v>17</v>
      </c>
      <c r="H7" s="384">
        <f>G7/21</f>
        <v>0.80952380952380953</v>
      </c>
      <c r="I7" s="383">
        <f t="shared" ref="I7:I70" si="0">E7+G7</f>
        <v>35</v>
      </c>
      <c r="J7" s="385">
        <f>I7/42</f>
        <v>0.83333333333333337</v>
      </c>
      <c r="K7" s="375"/>
      <c r="L7" s="376"/>
      <c r="M7" s="377"/>
      <c r="N7" s="376"/>
      <c r="O7" s="377"/>
      <c r="P7" s="376"/>
      <c r="Q7" s="33" t="s">
        <v>181</v>
      </c>
      <c r="R7" s="114">
        <v>3</v>
      </c>
      <c r="S7" s="33">
        <f>'FEBRERO 2026'!S6</f>
        <v>0.95555555555555549</v>
      </c>
      <c r="T7" s="33">
        <f>AVERAGE(J32:J38)</f>
        <v>0.92380952380952375</v>
      </c>
      <c r="U7" s="81"/>
      <c r="V7" s="81"/>
    </row>
    <row r="8" spans="2:22" ht="16.5">
      <c r="B8" s="51" t="s">
        <v>5</v>
      </c>
      <c r="C8" s="30" t="s">
        <v>9</v>
      </c>
      <c r="D8" s="30" t="s">
        <v>11</v>
      </c>
      <c r="E8" s="383"/>
      <c r="F8" s="384"/>
      <c r="G8" s="383"/>
      <c r="H8" s="384"/>
      <c r="I8" s="383"/>
      <c r="J8" s="385"/>
      <c r="K8" s="375"/>
      <c r="L8" s="376"/>
      <c r="M8" s="377"/>
      <c r="N8" s="376"/>
      <c r="O8" s="377"/>
      <c r="P8" s="376"/>
      <c r="Q8" s="33" t="s">
        <v>182</v>
      </c>
      <c r="R8" s="114">
        <v>4</v>
      </c>
      <c r="S8" s="33" t="e">
        <f>'FEBRERO 2026'!S7</f>
        <v>#REF!</v>
      </c>
      <c r="T8" s="33">
        <f>AVERAGE(J39:J47)</f>
        <v>0.81349206349206338</v>
      </c>
      <c r="U8" s="81"/>
      <c r="V8" s="81"/>
    </row>
    <row r="9" spans="2:22" ht="16.5">
      <c r="B9" s="51" t="s">
        <v>5</v>
      </c>
      <c r="C9" s="30" t="s">
        <v>9</v>
      </c>
      <c r="D9" s="30" t="s">
        <v>12</v>
      </c>
      <c r="E9" s="383"/>
      <c r="F9" s="384"/>
      <c r="G9" s="383"/>
      <c r="H9" s="384"/>
      <c r="I9" s="383"/>
      <c r="J9" s="385"/>
      <c r="K9" s="375"/>
      <c r="L9" s="376"/>
      <c r="M9" s="377"/>
      <c r="N9" s="376"/>
      <c r="O9" s="377"/>
      <c r="P9" s="376"/>
      <c r="Q9" s="33" t="s">
        <v>183</v>
      </c>
      <c r="R9" s="114">
        <v>5</v>
      </c>
      <c r="S9" s="33">
        <f>'FEBRERO 2026'!S8</f>
        <v>0.98611111111111105</v>
      </c>
      <c r="T9" s="33">
        <f>AVERAGE(J48:J62)</f>
        <v>0.92857142857142871</v>
      </c>
      <c r="U9" s="81"/>
      <c r="V9" s="81"/>
    </row>
    <row r="10" spans="2:22" ht="16.5">
      <c r="B10" s="51" t="s">
        <v>5</v>
      </c>
      <c r="C10" s="30" t="s">
        <v>9</v>
      </c>
      <c r="D10" s="30" t="s">
        <v>13</v>
      </c>
      <c r="E10" s="383"/>
      <c r="F10" s="384"/>
      <c r="G10" s="383"/>
      <c r="H10" s="384"/>
      <c r="I10" s="383"/>
      <c r="J10" s="385"/>
      <c r="K10" s="375"/>
      <c r="L10" s="376"/>
      <c r="M10" s="377"/>
      <c r="N10" s="376"/>
      <c r="O10" s="377"/>
      <c r="P10" s="376"/>
      <c r="Q10" s="33" t="s">
        <v>184</v>
      </c>
      <c r="R10" s="114">
        <v>6</v>
      </c>
      <c r="S10" s="33">
        <f>'FEBRERO 2026'!S9</f>
        <v>0.75694444444444442</v>
      </c>
      <c r="T10" s="33">
        <f>AVERAGE(J64:J69)</f>
        <v>0.81547619047619047</v>
      </c>
      <c r="U10" s="81"/>
      <c r="V10" s="81"/>
    </row>
    <row r="11" spans="2:22" ht="16.5">
      <c r="B11" s="51" t="s">
        <v>5</v>
      </c>
      <c r="C11" s="30" t="s">
        <v>9</v>
      </c>
      <c r="D11" s="30" t="s">
        <v>14</v>
      </c>
      <c r="E11" s="383"/>
      <c r="F11" s="384"/>
      <c r="G11" s="383"/>
      <c r="H11" s="384"/>
      <c r="I11" s="383"/>
      <c r="J11" s="385"/>
      <c r="K11" s="375"/>
      <c r="L11" s="376"/>
      <c r="M11" s="377"/>
      <c r="N11" s="376"/>
      <c r="O11" s="377"/>
      <c r="P11" s="376"/>
      <c r="Q11" s="33" t="s">
        <v>185</v>
      </c>
      <c r="R11" s="114">
        <v>7</v>
      </c>
      <c r="S11" s="33">
        <f>'FEBRERO 2026'!S10</f>
        <v>0.84722222222222232</v>
      </c>
      <c r="T11" s="33">
        <f>AVERAGE(J70:J77)</f>
        <v>0.78174603174603163</v>
      </c>
      <c r="U11" s="81"/>
      <c r="V11" s="81"/>
    </row>
    <row r="12" spans="2:22" ht="16.5">
      <c r="B12" s="51" t="s">
        <v>5</v>
      </c>
      <c r="C12" s="30" t="s">
        <v>15</v>
      </c>
      <c r="D12" s="30" t="s">
        <v>16</v>
      </c>
      <c r="E12" s="383">
        <f>'TOP MARZO 2026'!BN10+'TOP MARZO 2026'!BN11+'TOP MARZO 2026'!BN12+'TOP MARZO 2026'!BN13+'TOP MARZO 2026'!BN14+'TOP MARZO 2026'!BN15</f>
        <v>20</v>
      </c>
      <c r="F12" s="384">
        <f>E12/21</f>
        <v>0.95238095238095233</v>
      </c>
      <c r="G12" s="383">
        <f>'TOP MARZO 2026'!BO10+'TOP MARZO 2026'!BO11+'TOP MARZO 2026'!BO12+'TOP MARZO 2026'!BO13+'TOP MARZO 2026'!BO14+'TOP MARZO 2026'!BO15</f>
        <v>19</v>
      </c>
      <c r="H12" s="384">
        <f>G12/21</f>
        <v>0.90476190476190477</v>
      </c>
      <c r="I12" s="383">
        <f t="shared" si="0"/>
        <v>39</v>
      </c>
      <c r="J12" s="385">
        <f>I12/42</f>
        <v>0.9285714285714286</v>
      </c>
      <c r="K12" s="375"/>
      <c r="L12" s="376"/>
      <c r="M12" s="377"/>
      <c r="N12" s="376"/>
      <c r="O12" s="377"/>
      <c r="P12" s="376"/>
      <c r="Q12" s="33" t="s">
        <v>186</v>
      </c>
      <c r="R12" s="114">
        <v>8</v>
      </c>
      <c r="S12" s="33">
        <f>'FEBRERO 2026'!S11</f>
        <v>0.81111111111111123</v>
      </c>
      <c r="T12" s="33">
        <f>AVERAGE(J78:J83)</f>
        <v>0.86904761904761896</v>
      </c>
      <c r="U12" s="81"/>
      <c r="V12" s="81"/>
    </row>
    <row r="13" spans="2:22" ht="16.5">
      <c r="B13" s="51" t="s">
        <v>5</v>
      </c>
      <c r="C13" s="30" t="s">
        <v>15</v>
      </c>
      <c r="D13" s="30" t="s">
        <v>17</v>
      </c>
      <c r="E13" s="383"/>
      <c r="F13" s="384"/>
      <c r="G13" s="383"/>
      <c r="H13" s="384"/>
      <c r="I13" s="383"/>
      <c r="J13" s="385"/>
      <c r="K13" s="375"/>
      <c r="L13" s="376"/>
      <c r="M13" s="377"/>
      <c r="N13" s="376"/>
      <c r="O13" s="377"/>
      <c r="P13" s="376"/>
      <c r="Q13" s="33" t="s">
        <v>187</v>
      </c>
      <c r="R13" s="114">
        <v>9</v>
      </c>
      <c r="S13" s="33">
        <f>'FEBRERO 2026'!S12</f>
        <v>0.80555555555555558</v>
      </c>
      <c r="T13" s="33">
        <f>AVERAGE(J84)</f>
        <v>0.7142857142857143</v>
      </c>
      <c r="U13" s="81"/>
      <c r="V13" s="81"/>
    </row>
    <row r="14" spans="2:22" ht="16.5">
      <c r="B14" s="51" t="s">
        <v>5</v>
      </c>
      <c r="C14" s="30" t="s">
        <v>15</v>
      </c>
      <c r="D14" s="30" t="s">
        <v>18</v>
      </c>
      <c r="E14" s="383"/>
      <c r="F14" s="384"/>
      <c r="G14" s="383"/>
      <c r="H14" s="384"/>
      <c r="I14" s="383"/>
      <c r="J14" s="385"/>
      <c r="K14" s="375"/>
      <c r="L14" s="376"/>
      <c r="M14" s="377"/>
      <c r="N14" s="376"/>
      <c r="O14" s="377"/>
      <c r="P14" s="376"/>
      <c r="Q14" s="33" t="s">
        <v>188</v>
      </c>
      <c r="R14" s="114">
        <v>10</v>
      </c>
      <c r="S14" s="33">
        <f>'FEBRERO 2026'!S13</f>
        <v>0.77777777777777779</v>
      </c>
      <c r="T14" s="33">
        <f>AVERAGE(J93:J95)</f>
        <v>0.80357142857142849</v>
      </c>
      <c r="U14" s="81"/>
      <c r="V14" s="81"/>
    </row>
    <row r="15" spans="2:22" ht="16.5">
      <c r="B15" s="51" t="s">
        <v>5</v>
      </c>
      <c r="C15" s="30" t="s">
        <v>15</v>
      </c>
      <c r="D15" s="30" t="s">
        <v>19</v>
      </c>
      <c r="E15" s="383"/>
      <c r="F15" s="384"/>
      <c r="G15" s="383"/>
      <c r="H15" s="384"/>
      <c r="I15" s="383"/>
      <c r="J15" s="385"/>
      <c r="K15" s="375"/>
      <c r="L15" s="376"/>
      <c r="M15" s="377"/>
      <c r="N15" s="376"/>
      <c r="O15" s="377"/>
      <c r="P15" s="376"/>
      <c r="Q15" s="33" t="s">
        <v>189</v>
      </c>
      <c r="R15" s="114" t="s">
        <v>150</v>
      </c>
      <c r="S15" s="33">
        <f>'FEBRERO 2026'!S14</f>
        <v>0.30937500000000007</v>
      </c>
      <c r="T15" s="33">
        <f>AVERAGE(J96:J103)</f>
        <v>0.61428571428571421</v>
      </c>
      <c r="U15" s="81"/>
      <c r="V15" s="81"/>
    </row>
    <row r="16" spans="2:22" ht="16.5">
      <c r="B16" s="51" t="s">
        <v>5</v>
      </c>
      <c r="C16" s="30" t="s">
        <v>15</v>
      </c>
      <c r="D16" s="30" t="s">
        <v>20</v>
      </c>
      <c r="E16" s="383"/>
      <c r="F16" s="384"/>
      <c r="G16" s="383"/>
      <c r="H16" s="384"/>
      <c r="I16" s="383"/>
      <c r="J16" s="385"/>
      <c r="K16" s="375"/>
      <c r="L16" s="376"/>
      <c r="M16" s="377"/>
      <c r="N16" s="376"/>
      <c r="O16" s="377"/>
      <c r="P16" s="376"/>
      <c r="Q16" s="33" t="s">
        <v>96</v>
      </c>
      <c r="R16" s="114" t="s">
        <v>190</v>
      </c>
      <c r="S16" s="113">
        <f>'FEBRERO 2026'!S15</f>
        <v>1.0555555555555556</v>
      </c>
      <c r="T16" s="33">
        <f>AVERAGE(J63)</f>
        <v>1</v>
      </c>
      <c r="U16" s="81"/>
      <c r="V16" s="81"/>
    </row>
    <row r="17" spans="2:22" ht="16.5">
      <c r="B17" s="51" t="s">
        <v>5</v>
      </c>
      <c r="C17" s="30" t="s">
        <v>15</v>
      </c>
      <c r="D17" s="30" t="s">
        <v>21</v>
      </c>
      <c r="E17" s="383"/>
      <c r="F17" s="384"/>
      <c r="G17" s="383"/>
      <c r="H17" s="384"/>
      <c r="I17" s="383"/>
      <c r="J17" s="385"/>
      <c r="K17" s="375"/>
      <c r="L17" s="376"/>
      <c r="M17" s="377"/>
      <c r="N17" s="376"/>
      <c r="O17" s="377"/>
      <c r="P17" s="376"/>
      <c r="Q17" s="33"/>
      <c r="R17" s="119" t="s">
        <v>191</v>
      </c>
      <c r="S17" s="117" t="e">
        <f>AVERAGE(S5:S16)</f>
        <v>#REF!</v>
      </c>
      <c r="T17" s="120">
        <f>AVERAGE(T5:T16)</f>
        <v>0.84027777777777768</v>
      </c>
      <c r="U17" s="73"/>
      <c r="V17" s="73"/>
    </row>
    <row r="18" spans="2:22" ht="16.5">
      <c r="B18" s="51" t="s">
        <v>5</v>
      </c>
      <c r="C18" s="30" t="s">
        <v>22</v>
      </c>
      <c r="D18" s="30" t="s">
        <v>23</v>
      </c>
      <c r="E18" s="383">
        <f>'TOP MARZO 2026'!BN16+'TOP MARZO 2026'!BN17+'TOP MARZO 2026'!BN18</f>
        <v>20</v>
      </c>
      <c r="F18" s="384">
        <f>E18/21</f>
        <v>0.95238095238095233</v>
      </c>
      <c r="G18" s="383">
        <f>'TOP MARZO 2026'!BO16+'TOP MARZO 2026'!BO17+'TOP MARZO 2026'!BO18</f>
        <v>20</v>
      </c>
      <c r="H18" s="384">
        <f>G18/21</f>
        <v>0.95238095238095233</v>
      </c>
      <c r="I18" s="383">
        <f t="shared" si="0"/>
        <v>40</v>
      </c>
      <c r="J18" s="385">
        <f>I18/42</f>
        <v>0.95238095238095233</v>
      </c>
      <c r="K18" s="375"/>
      <c r="L18" s="376"/>
      <c r="M18" s="377"/>
      <c r="N18" s="376"/>
      <c r="O18" s="377"/>
      <c r="P18" s="376"/>
      <c r="Q18" s="81"/>
    </row>
    <row r="19" spans="2:22" ht="16.5">
      <c r="B19" s="51" t="s">
        <v>5</v>
      </c>
      <c r="C19" s="30" t="s">
        <v>22</v>
      </c>
      <c r="D19" s="30" t="s">
        <v>24</v>
      </c>
      <c r="E19" s="383"/>
      <c r="F19" s="384"/>
      <c r="G19" s="383"/>
      <c r="H19" s="384"/>
      <c r="I19" s="383"/>
      <c r="J19" s="385"/>
      <c r="K19" s="375"/>
      <c r="L19" s="376"/>
      <c r="M19" s="377"/>
      <c r="N19" s="376"/>
      <c r="O19" s="377"/>
      <c r="P19" s="376"/>
      <c r="Q19" s="81"/>
    </row>
    <row r="20" spans="2:22" ht="16.5">
      <c r="B20" s="51" t="s">
        <v>5</v>
      </c>
      <c r="C20" s="30" t="s">
        <v>22</v>
      </c>
      <c r="D20" s="30" t="s">
        <v>25</v>
      </c>
      <c r="E20" s="383"/>
      <c r="F20" s="384"/>
      <c r="G20" s="383"/>
      <c r="H20" s="384"/>
      <c r="I20" s="383"/>
      <c r="J20" s="385"/>
      <c r="K20" s="375"/>
      <c r="L20" s="376"/>
      <c r="M20" s="377"/>
      <c r="N20" s="376"/>
      <c r="O20" s="377"/>
      <c r="P20" s="376"/>
      <c r="Q20" s="81"/>
    </row>
    <row r="21" spans="2:22" ht="16.5">
      <c r="B21" s="82" t="s">
        <v>26</v>
      </c>
      <c r="C21" s="49" t="s">
        <v>27</v>
      </c>
      <c r="D21" s="49" t="s">
        <v>28</v>
      </c>
      <c r="E21" s="49">
        <f>'TOP MARZO 2026'!BN19</f>
        <v>21</v>
      </c>
      <c r="F21" s="50">
        <f>E21/21</f>
        <v>1</v>
      </c>
      <c r="G21" s="49">
        <f>'TOP MARZO 2026'!BO19</f>
        <v>20</v>
      </c>
      <c r="H21" s="50">
        <f>G21/21</f>
        <v>0.95238095238095233</v>
      </c>
      <c r="I21" s="49">
        <f>E21+G21</f>
        <v>41</v>
      </c>
      <c r="J21" s="106">
        <f>I21/42</f>
        <v>0.97619047619047616</v>
      </c>
      <c r="K21" s="107"/>
      <c r="L21" s="81"/>
      <c r="M21" s="85"/>
      <c r="N21" s="81"/>
      <c r="O21" s="85"/>
      <c r="P21" s="81"/>
    </row>
    <row r="22" spans="2:22" ht="16.5">
      <c r="B22" s="34" t="s">
        <v>26</v>
      </c>
      <c r="C22" s="30" t="s">
        <v>29</v>
      </c>
      <c r="D22" s="30" t="s">
        <v>30</v>
      </c>
      <c r="E22" s="30">
        <f>'TOP MARZO 2026'!BN20</f>
        <v>21</v>
      </c>
      <c r="F22" s="33">
        <f>E22/21</f>
        <v>1</v>
      </c>
      <c r="G22" s="30">
        <f>'TOP MARZO 2026'!BO20</f>
        <v>21</v>
      </c>
      <c r="H22" s="33">
        <f>G22/21</f>
        <v>1</v>
      </c>
      <c r="I22" s="30">
        <f>E22+G22</f>
        <v>42</v>
      </c>
      <c r="J22" s="105">
        <f>I22/42</f>
        <v>1</v>
      </c>
      <c r="K22" s="107"/>
      <c r="L22" s="81"/>
      <c r="M22" s="85"/>
      <c r="N22" s="81"/>
      <c r="O22" s="85"/>
      <c r="P22" s="81"/>
    </row>
    <row r="23" spans="2:22" ht="16.5">
      <c r="B23" s="34" t="s">
        <v>26</v>
      </c>
      <c r="C23" s="30" t="s">
        <v>31</v>
      </c>
      <c r="D23" s="30" t="s">
        <v>32</v>
      </c>
      <c r="E23" s="371">
        <f>'TOP MARZO 2026'!BN21+'TOP MARZO 2026'!BN22+'TOP MARZO 2026'!BN23+'TOP MARZO 2026'!BN24+'TOP MARZO 2026'!BN25+'TOP MARZO 2026'!BN26+'TOP MARZO 2026'!BN27</f>
        <v>19</v>
      </c>
      <c r="F23" s="373">
        <f>E23/21</f>
        <v>0.90476190476190477</v>
      </c>
      <c r="G23" s="371">
        <f>'TOP MARZO 2026'!BO21+'TOP MARZO 2026'!BO22+'TOP MARZO 2026'!BO23+'TOP MARZO 2026'!BO24+'TOP MARZO 2026'!BO25+'TOP MARZO 2026'!BO26+'TOP MARZO 2026'!BO27</f>
        <v>16</v>
      </c>
      <c r="H23" s="373">
        <f>G23/21</f>
        <v>0.76190476190476186</v>
      </c>
      <c r="I23" s="371">
        <f t="shared" si="0"/>
        <v>35</v>
      </c>
      <c r="J23" s="380">
        <f>I23/42</f>
        <v>0.83333333333333337</v>
      </c>
      <c r="K23" s="375"/>
      <c r="L23" s="376"/>
      <c r="M23" s="377"/>
      <c r="N23" s="376"/>
      <c r="O23" s="377"/>
      <c r="P23" s="376"/>
    </row>
    <row r="24" spans="2:22" ht="16.5">
      <c r="B24" s="34" t="s">
        <v>26</v>
      </c>
      <c r="C24" s="30" t="s">
        <v>31</v>
      </c>
      <c r="D24" s="30" t="s">
        <v>33</v>
      </c>
      <c r="E24" s="378"/>
      <c r="F24" s="379"/>
      <c r="G24" s="378"/>
      <c r="H24" s="379"/>
      <c r="I24" s="378"/>
      <c r="J24" s="381"/>
      <c r="K24" s="375"/>
      <c r="L24" s="376"/>
      <c r="M24" s="377"/>
      <c r="N24" s="376"/>
      <c r="O24" s="377"/>
      <c r="P24" s="376"/>
    </row>
    <row r="25" spans="2:22" ht="16.5">
      <c r="B25" s="34" t="s">
        <v>26</v>
      </c>
      <c r="C25" s="30" t="s">
        <v>31</v>
      </c>
      <c r="D25" s="30" t="s">
        <v>34</v>
      </c>
      <c r="E25" s="378"/>
      <c r="F25" s="379"/>
      <c r="G25" s="378"/>
      <c r="H25" s="379"/>
      <c r="I25" s="378"/>
      <c r="J25" s="381"/>
      <c r="K25" s="375"/>
      <c r="L25" s="376"/>
      <c r="M25" s="377"/>
      <c r="N25" s="376"/>
      <c r="O25" s="377"/>
      <c r="P25" s="376"/>
    </row>
    <row r="26" spans="2:22" ht="16.5">
      <c r="B26" s="34" t="s">
        <v>26</v>
      </c>
      <c r="C26" s="30" t="s">
        <v>31</v>
      </c>
      <c r="D26" s="30" t="s">
        <v>35</v>
      </c>
      <c r="E26" s="378"/>
      <c r="F26" s="379"/>
      <c r="G26" s="378"/>
      <c r="H26" s="379"/>
      <c r="I26" s="378"/>
      <c r="J26" s="381"/>
      <c r="K26" s="375"/>
      <c r="L26" s="376"/>
      <c r="M26" s="377"/>
      <c r="N26" s="376"/>
      <c r="O26" s="377"/>
      <c r="P26" s="376"/>
    </row>
    <row r="27" spans="2:22" ht="16.5">
      <c r="B27" s="34" t="s">
        <v>26</v>
      </c>
      <c r="C27" s="30" t="s">
        <v>31</v>
      </c>
      <c r="D27" s="30" t="s">
        <v>36</v>
      </c>
      <c r="E27" s="378"/>
      <c r="F27" s="379"/>
      <c r="G27" s="378"/>
      <c r="H27" s="379"/>
      <c r="I27" s="378"/>
      <c r="J27" s="381"/>
      <c r="K27" s="375"/>
      <c r="L27" s="376"/>
      <c r="M27" s="377"/>
      <c r="N27" s="376"/>
      <c r="O27" s="377"/>
      <c r="P27" s="376"/>
    </row>
    <row r="28" spans="2:22" ht="16.5">
      <c r="B28" s="34" t="s">
        <v>26</v>
      </c>
      <c r="C28" s="30" t="s">
        <v>31</v>
      </c>
      <c r="D28" s="30" t="s">
        <v>37</v>
      </c>
      <c r="E28" s="378"/>
      <c r="F28" s="379"/>
      <c r="G28" s="378"/>
      <c r="H28" s="379"/>
      <c r="I28" s="378"/>
      <c r="J28" s="381"/>
      <c r="K28" s="375"/>
      <c r="L28" s="376"/>
      <c r="M28" s="377"/>
      <c r="N28" s="376"/>
      <c r="O28" s="377"/>
      <c r="P28" s="376"/>
    </row>
    <row r="29" spans="2:22" ht="16.5">
      <c r="B29" s="34" t="s">
        <v>26</v>
      </c>
      <c r="C29" s="30" t="s">
        <v>31</v>
      </c>
      <c r="D29" s="30" t="s">
        <v>38</v>
      </c>
      <c r="E29" s="372"/>
      <c r="F29" s="374"/>
      <c r="G29" s="372"/>
      <c r="H29" s="374"/>
      <c r="I29" s="372"/>
      <c r="J29" s="382"/>
      <c r="K29" s="375"/>
      <c r="L29" s="376"/>
      <c r="M29" s="377"/>
      <c r="N29" s="376"/>
      <c r="O29" s="377"/>
      <c r="P29" s="376"/>
    </row>
    <row r="30" spans="2:22" ht="16.5">
      <c r="B30" s="34" t="s">
        <v>26</v>
      </c>
      <c r="C30" s="30" t="s">
        <v>39</v>
      </c>
      <c r="D30" s="30" t="s">
        <v>40</v>
      </c>
      <c r="E30" s="30">
        <f>'TOP MARZO 2026'!BN28</f>
        <v>18</v>
      </c>
      <c r="F30" s="33">
        <f>E30/21</f>
        <v>0.8571428571428571</v>
      </c>
      <c r="G30" s="30">
        <f>'TOP MARZO 2026'!BO28</f>
        <v>18</v>
      </c>
      <c r="H30" s="33">
        <f>G30/21</f>
        <v>0.8571428571428571</v>
      </c>
      <c r="I30" s="30">
        <f t="shared" si="0"/>
        <v>36</v>
      </c>
      <c r="J30" s="105">
        <f>I30/42</f>
        <v>0.8571428571428571</v>
      </c>
      <c r="K30" s="107"/>
      <c r="L30" s="81"/>
      <c r="M30" s="85"/>
      <c r="N30" s="81"/>
      <c r="O30" s="85"/>
      <c r="P30" s="81"/>
    </row>
    <row r="31" spans="2:22" ht="16.5">
      <c r="B31" s="34" t="s">
        <v>26</v>
      </c>
      <c r="C31" s="30" t="s">
        <v>41</v>
      </c>
      <c r="D31" s="30" t="s">
        <v>42</v>
      </c>
      <c r="E31" s="30">
        <f>'TOP MARZO 2026'!BN29</f>
        <v>20</v>
      </c>
      <c r="F31" s="33">
        <f t="shared" ref="F31:F33" si="1">E31/21</f>
        <v>0.95238095238095233</v>
      </c>
      <c r="G31" s="30">
        <f>'TOP MARZO 2026'!BO29</f>
        <v>13</v>
      </c>
      <c r="H31" s="33">
        <f t="shared" ref="H31:H33" si="2">G31/21</f>
        <v>0.61904761904761907</v>
      </c>
      <c r="I31" s="30">
        <f t="shared" ref="I31:I33" si="3">E31+G31</f>
        <v>33</v>
      </c>
      <c r="J31" s="105">
        <f t="shared" ref="J31:J33" si="4">I31/42</f>
        <v>0.7857142857142857</v>
      </c>
      <c r="K31" s="107"/>
      <c r="L31" s="81"/>
      <c r="M31" s="85"/>
      <c r="N31" s="81"/>
      <c r="O31" s="85"/>
      <c r="P31" s="81"/>
    </row>
    <row r="32" spans="2:22" ht="16.5">
      <c r="B32" s="34" t="s">
        <v>43</v>
      </c>
      <c r="C32" s="30" t="s">
        <v>44</v>
      </c>
      <c r="D32" s="30" t="s">
        <v>45</v>
      </c>
      <c r="E32" s="30">
        <f>'TOP MARZO 2026'!BN30</f>
        <v>21</v>
      </c>
      <c r="F32" s="33">
        <f t="shared" si="1"/>
        <v>1</v>
      </c>
      <c r="G32" s="30">
        <f>'TOP MARZO 2026'!BO30</f>
        <v>20</v>
      </c>
      <c r="H32" s="33">
        <f t="shared" si="2"/>
        <v>0.95238095238095233</v>
      </c>
      <c r="I32" s="30">
        <f t="shared" si="3"/>
        <v>41</v>
      </c>
      <c r="J32" s="105">
        <f t="shared" si="4"/>
        <v>0.97619047619047616</v>
      </c>
      <c r="K32" s="107"/>
      <c r="L32" s="81"/>
      <c r="M32" s="85"/>
      <c r="N32" s="81"/>
      <c r="O32" s="85"/>
      <c r="P32" s="81"/>
    </row>
    <row r="33" spans="2:16" ht="16.5">
      <c r="B33" s="34" t="s">
        <v>43</v>
      </c>
      <c r="C33" s="30" t="s">
        <v>46</v>
      </c>
      <c r="D33" s="30" t="s">
        <v>47</v>
      </c>
      <c r="E33" s="30">
        <f>'TOP MARZO 2026'!BN31</f>
        <v>20</v>
      </c>
      <c r="F33" s="33">
        <f t="shared" si="1"/>
        <v>0.95238095238095233</v>
      </c>
      <c r="G33" s="30">
        <f>'TOP MARZO 2026'!BO31</f>
        <v>19</v>
      </c>
      <c r="H33" s="33">
        <f t="shared" si="2"/>
        <v>0.90476190476190477</v>
      </c>
      <c r="I33" s="30">
        <f t="shared" si="3"/>
        <v>39</v>
      </c>
      <c r="J33" s="105">
        <f t="shared" si="4"/>
        <v>0.9285714285714286</v>
      </c>
      <c r="K33" s="107"/>
      <c r="L33" s="81"/>
      <c r="M33" s="85"/>
      <c r="N33" s="81"/>
      <c r="O33" s="85"/>
      <c r="P33" s="81"/>
    </row>
    <row r="34" spans="2:16" ht="16.5">
      <c r="B34" s="34" t="s">
        <v>43</v>
      </c>
      <c r="C34" s="30" t="s">
        <v>48</v>
      </c>
      <c r="D34" s="30" t="s">
        <v>49</v>
      </c>
      <c r="E34" s="371">
        <f>'TOP MARZO 2026'!BN32+'TOP MARZO 2026'!BN33</f>
        <v>20</v>
      </c>
      <c r="F34" s="373">
        <f>E34/21</f>
        <v>0.95238095238095233</v>
      </c>
      <c r="G34" s="371">
        <f>'TOP MARZO 2026'!BO32+'TOP MARZO 2026'!BO33</f>
        <v>18</v>
      </c>
      <c r="H34" s="373">
        <f>G34/21</f>
        <v>0.8571428571428571</v>
      </c>
      <c r="I34" s="371">
        <f t="shared" si="0"/>
        <v>38</v>
      </c>
      <c r="J34" s="380">
        <f>I34/42</f>
        <v>0.90476190476190477</v>
      </c>
      <c r="K34" s="375"/>
      <c r="L34" s="376"/>
      <c r="M34" s="377"/>
      <c r="N34" s="376"/>
      <c r="O34" s="377"/>
      <c r="P34" s="376"/>
    </row>
    <row r="35" spans="2:16" ht="16.5">
      <c r="B35" s="34" t="s">
        <v>43</v>
      </c>
      <c r="C35" s="30" t="s">
        <v>48</v>
      </c>
      <c r="D35" s="30" t="s">
        <v>50</v>
      </c>
      <c r="E35" s="372"/>
      <c r="F35" s="374"/>
      <c r="G35" s="372"/>
      <c r="H35" s="374"/>
      <c r="I35" s="372"/>
      <c r="J35" s="382"/>
      <c r="K35" s="375"/>
      <c r="L35" s="376"/>
      <c r="M35" s="377"/>
      <c r="N35" s="376"/>
      <c r="O35" s="377"/>
      <c r="P35" s="376"/>
    </row>
    <row r="36" spans="2:16" ht="16.5">
      <c r="B36" s="34" t="s">
        <v>43</v>
      </c>
      <c r="C36" s="30" t="s">
        <v>51</v>
      </c>
      <c r="D36" s="30" t="s">
        <v>52</v>
      </c>
      <c r="E36" s="371">
        <f>'TOP MARZO 2026'!BN34+'TOP MARZO 2026'!BN35</f>
        <v>21</v>
      </c>
      <c r="F36" s="373">
        <f>E36/21</f>
        <v>1</v>
      </c>
      <c r="G36" s="371">
        <f>'TOP MARZO 2026'!BO34+'TOP MARZO 2026'!BO35</f>
        <v>14</v>
      </c>
      <c r="H36" s="373">
        <f>G36/21</f>
        <v>0.66666666666666663</v>
      </c>
      <c r="I36" s="371">
        <f t="shared" si="0"/>
        <v>35</v>
      </c>
      <c r="J36" s="380">
        <f>I36/42</f>
        <v>0.83333333333333337</v>
      </c>
      <c r="K36" s="375"/>
      <c r="L36" s="376"/>
      <c r="M36" s="377"/>
      <c r="N36" s="376"/>
      <c r="O36" s="377"/>
      <c r="P36" s="376"/>
    </row>
    <row r="37" spans="2:16" ht="16.5">
      <c r="B37" s="34" t="s">
        <v>43</v>
      </c>
      <c r="C37" s="30" t="s">
        <v>51</v>
      </c>
      <c r="D37" s="30" t="s">
        <v>53</v>
      </c>
      <c r="E37" s="372"/>
      <c r="F37" s="374"/>
      <c r="G37" s="372"/>
      <c r="H37" s="374"/>
      <c r="I37" s="372"/>
      <c r="J37" s="382"/>
      <c r="K37" s="375"/>
      <c r="L37" s="376"/>
      <c r="M37" s="377"/>
      <c r="N37" s="376"/>
      <c r="O37" s="377"/>
      <c r="P37" s="376"/>
    </row>
    <row r="38" spans="2:16" ht="16.5">
      <c r="B38" s="34" t="s">
        <v>43</v>
      </c>
      <c r="C38" s="30" t="s">
        <v>54</v>
      </c>
      <c r="D38" s="30" t="s">
        <v>55</v>
      </c>
      <c r="E38" s="30">
        <f>'TOP MARZO 2026'!BN36</f>
        <v>21</v>
      </c>
      <c r="F38" s="33">
        <f>E38/21</f>
        <v>1</v>
      </c>
      <c r="G38" s="30">
        <f>'TOP MARZO 2026'!BO36</f>
        <v>20</v>
      </c>
      <c r="H38" s="33">
        <f>G38/21</f>
        <v>0.95238095238095233</v>
      </c>
      <c r="I38" s="30">
        <f t="shared" si="0"/>
        <v>41</v>
      </c>
      <c r="J38" s="105">
        <f>I38/42</f>
        <v>0.97619047619047616</v>
      </c>
      <c r="K38" s="107"/>
      <c r="L38" s="81"/>
      <c r="M38" s="85"/>
      <c r="N38" s="81"/>
      <c r="O38" s="85"/>
      <c r="P38" s="81"/>
    </row>
    <row r="39" spans="2:16" ht="16.5">
      <c r="B39" s="34" t="s">
        <v>56</v>
      </c>
      <c r="C39" s="30" t="s">
        <v>57</v>
      </c>
      <c r="D39" s="30" t="s">
        <v>58</v>
      </c>
      <c r="E39" s="371">
        <f>'TOP MARZO 2026'!BN37+'TOP MARZO 2026'!BN38</f>
        <v>19</v>
      </c>
      <c r="F39" s="373">
        <f>E39/21</f>
        <v>0.90476190476190477</v>
      </c>
      <c r="G39" s="371">
        <f>'TOP MARZO 2026'!BO37+'TOP MARZO 2026'!BO38</f>
        <v>18</v>
      </c>
      <c r="H39" s="373">
        <f>G39/21</f>
        <v>0.8571428571428571</v>
      </c>
      <c r="I39" s="371">
        <f t="shared" si="0"/>
        <v>37</v>
      </c>
      <c r="J39" s="380">
        <f>I39/42</f>
        <v>0.88095238095238093</v>
      </c>
      <c r="K39" s="375"/>
      <c r="L39" s="376"/>
      <c r="M39" s="377"/>
      <c r="N39" s="376"/>
      <c r="O39" s="377"/>
      <c r="P39" s="376"/>
    </row>
    <row r="40" spans="2:16" ht="16.5">
      <c r="B40" s="34" t="s">
        <v>56</v>
      </c>
      <c r="C40" s="30" t="s">
        <v>57</v>
      </c>
      <c r="D40" s="30" t="s">
        <v>59</v>
      </c>
      <c r="E40" s="372"/>
      <c r="F40" s="374"/>
      <c r="G40" s="372"/>
      <c r="H40" s="374"/>
      <c r="I40" s="372"/>
      <c r="J40" s="382"/>
      <c r="K40" s="375"/>
      <c r="L40" s="376"/>
      <c r="M40" s="377"/>
      <c r="N40" s="376"/>
      <c r="O40" s="377"/>
      <c r="P40" s="376"/>
    </row>
    <row r="41" spans="2:16" ht="16.5">
      <c r="B41" s="34" t="s">
        <v>56</v>
      </c>
      <c r="C41" s="30" t="s">
        <v>60</v>
      </c>
      <c r="D41" s="30" t="s">
        <v>61</v>
      </c>
      <c r="E41" s="371">
        <f>'TOP MARZO 2026'!BN39+'TOP MARZO 2026'!BN40</f>
        <v>20</v>
      </c>
      <c r="F41" s="373">
        <f>E41/21</f>
        <v>0.95238095238095233</v>
      </c>
      <c r="G41" s="371">
        <f>'TOP MARZO 2026'!BO39+'TOP MARZO 2026'!BO40</f>
        <v>19</v>
      </c>
      <c r="H41" s="373">
        <f>G41/21</f>
        <v>0.90476190476190477</v>
      </c>
      <c r="I41" s="371">
        <f t="shared" si="0"/>
        <v>39</v>
      </c>
      <c r="J41" s="380">
        <f>I41/42</f>
        <v>0.9285714285714286</v>
      </c>
      <c r="K41" s="375"/>
      <c r="L41" s="376"/>
      <c r="M41" s="377"/>
      <c r="N41" s="376"/>
      <c r="O41" s="377"/>
      <c r="P41" s="376"/>
    </row>
    <row r="42" spans="2:16" ht="16.5">
      <c r="B42" s="34" t="s">
        <v>56</v>
      </c>
      <c r="C42" s="30" t="s">
        <v>60</v>
      </c>
      <c r="D42" s="30" t="s">
        <v>62</v>
      </c>
      <c r="E42" s="372"/>
      <c r="F42" s="374"/>
      <c r="G42" s="372"/>
      <c r="H42" s="374"/>
      <c r="I42" s="372"/>
      <c r="J42" s="382"/>
      <c r="K42" s="375"/>
      <c r="L42" s="376"/>
      <c r="M42" s="377"/>
      <c r="N42" s="376"/>
      <c r="O42" s="377"/>
      <c r="P42" s="376"/>
    </row>
    <row r="43" spans="2:16" ht="16.5">
      <c r="B43" s="34" t="s">
        <v>56</v>
      </c>
      <c r="C43" s="30" t="s">
        <v>63</v>
      </c>
      <c r="D43" s="30" t="s">
        <v>64</v>
      </c>
      <c r="E43" s="371">
        <f>'TOP MARZO 2026'!BN41+'TOP MARZO 2026'!BN42</f>
        <v>12</v>
      </c>
      <c r="F43" s="373">
        <f>E43/21</f>
        <v>0.5714285714285714</v>
      </c>
      <c r="G43" s="371">
        <f>'TOP MARZO 2026'!BO41+'TOP MARZO 2026'!BO42</f>
        <v>9</v>
      </c>
      <c r="H43" s="373">
        <f>G43/21</f>
        <v>0.42857142857142855</v>
      </c>
      <c r="I43" s="371">
        <f t="shared" si="0"/>
        <v>21</v>
      </c>
      <c r="J43" s="380">
        <f>I43/42</f>
        <v>0.5</v>
      </c>
      <c r="K43" s="375"/>
      <c r="L43" s="376"/>
      <c r="M43" s="377"/>
      <c r="N43" s="376"/>
      <c r="O43" s="377"/>
      <c r="P43" s="376"/>
    </row>
    <row r="44" spans="2:16" ht="16.5">
      <c r="B44" s="34" t="s">
        <v>56</v>
      </c>
      <c r="C44" s="30" t="s">
        <v>63</v>
      </c>
      <c r="D44" s="30" t="s">
        <v>65</v>
      </c>
      <c r="E44" s="372"/>
      <c r="F44" s="374"/>
      <c r="G44" s="372"/>
      <c r="H44" s="374"/>
      <c r="I44" s="372"/>
      <c r="J44" s="382"/>
      <c r="K44" s="375"/>
      <c r="L44" s="376"/>
      <c r="M44" s="377"/>
      <c r="N44" s="376"/>
      <c r="O44" s="377"/>
      <c r="P44" s="376"/>
    </row>
    <row r="45" spans="2:16" ht="16.5">
      <c r="B45" s="34" t="s">
        <v>56</v>
      </c>
      <c r="C45" s="30" t="s">
        <v>66</v>
      </c>
      <c r="D45" s="30" t="s">
        <v>67</v>
      </c>
      <c r="E45" s="30">
        <f>'TOP MARZO 2026'!BN43</f>
        <v>18</v>
      </c>
      <c r="F45" s="33">
        <f>E45/21</f>
        <v>0.8571428571428571</v>
      </c>
      <c r="G45" s="30">
        <f>'TOP MARZO 2026'!BO43</f>
        <v>16</v>
      </c>
      <c r="H45" s="33">
        <f>G45/21</f>
        <v>0.76190476190476186</v>
      </c>
      <c r="I45" s="30">
        <f t="shared" si="0"/>
        <v>34</v>
      </c>
      <c r="J45" s="105">
        <f>I45/42</f>
        <v>0.80952380952380953</v>
      </c>
      <c r="K45" s="107"/>
      <c r="L45" s="81"/>
      <c r="M45" s="85"/>
      <c r="N45" s="81"/>
      <c r="O45" s="85"/>
      <c r="P45" s="81"/>
    </row>
    <row r="46" spans="2:16" ht="16.5">
      <c r="B46" s="34" t="s">
        <v>56</v>
      </c>
      <c r="C46" s="30" t="s">
        <v>68</v>
      </c>
      <c r="D46" s="30" t="s">
        <v>69</v>
      </c>
      <c r="E46" s="30">
        <f>'TOP MARZO 2026'!BN44</f>
        <v>20</v>
      </c>
      <c r="F46" s="33">
        <f>E46/21</f>
        <v>0.95238095238095233</v>
      </c>
      <c r="G46" s="30">
        <f>'TOP MARZO 2026'!BO44</f>
        <v>17</v>
      </c>
      <c r="H46" s="33">
        <f>G46/21</f>
        <v>0.80952380952380953</v>
      </c>
      <c r="I46" s="30">
        <f t="shared" si="0"/>
        <v>37</v>
      </c>
      <c r="J46" s="105">
        <f>I46/42</f>
        <v>0.88095238095238093</v>
      </c>
      <c r="K46" s="107"/>
      <c r="L46" s="81"/>
      <c r="M46" s="85"/>
      <c r="N46" s="81"/>
      <c r="O46" s="85"/>
      <c r="P46" s="81"/>
    </row>
    <row r="47" spans="2:16" ht="16.5">
      <c r="B47" s="34" t="s">
        <v>56</v>
      </c>
      <c r="C47" s="30" t="s">
        <v>70</v>
      </c>
      <c r="D47" s="30" t="s">
        <v>71</v>
      </c>
      <c r="E47" s="30">
        <f>'TOP MARZO 2026'!BN45</f>
        <v>19</v>
      </c>
      <c r="F47" s="33">
        <f>E47/21</f>
        <v>0.90476190476190477</v>
      </c>
      <c r="G47" s="30">
        <f>'TOP MARZO 2026'!BO45</f>
        <v>18</v>
      </c>
      <c r="H47" s="33">
        <f>G47/21</f>
        <v>0.8571428571428571</v>
      </c>
      <c r="I47" s="30">
        <f t="shared" si="0"/>
        <v>37</v>
      </c>
      <c r="J47" s="105">
        <f t="shared" ref="J46:J47" si="5">I47/42</f>
        <v>0.88095238095238093</v>
      </c>
      <c r="K47" s="107"/>
      <c r="L47" s="81"/>
      <c r="M47" s="85"/>
      <c r="N47" s="81"/>
      <c r="O47" s="85"/>
      <c r="P47" s="81"/>
    </row>
    <row r="48" spans="2:16" ht="16.5">
      <c r="B48" s="34" t="s">
        <v>72</v>
      </c>
      <c r="C48" s="30" t="s">
        <v>73</v>
      </c>
      <c r="D48" s="30" t="s">
        <v>74</v>
      </c>
      <c r="E48" s="371">
        <f>'TOP MARZO 2026'!BN46+'TOP MARZO 2026'!BN47</f>
        <v>21</v>
      </c>
      <c r="F48" s="373">
        <f>E48/21</f>
        <v>1</v>
      </c>
      <c r="G48" s="371">
        <f>'TOP MARZO 2026'!BO46+'TOP MARZO 2026'!BO47</f>
        <v>16</v>
      </c>
      <c r="H48" s="373">
        <f>G48/21</f>
        <v>0.76190476190476186</v>
      </c>
      <c r="I48" s="371">
        <f>E48+G48</f>
        <v>37</v>
      </c>
      <c r="J48" s="380">
        <f>I48/42</f>
        <v>0.88095238095238093</v>
      </c>
      <c r="K48" s="375"/>
      <c r="L48" s="376"/>
      <c r="M48" s="377"/>
      <c r="N48" s="376"/>
      <c r="O48" s="377"/>
      <c r="P48" s="376"/>
    </row>
    <row r="49" spans="2:16" ht="16.5">
      <c r="B49" s="34" t="s">
        <v>72</v>
      </c>
      <c r="C49" s="30" t="s">
        <v>73</v>
      </c>
      <c r="D49" s="30" t="s">
        <v>75</v>
      </c>
      <c r="E49" s="372"/>
      <c r="F49" s="374"/>
      <c r="G49" s="372"/>
      <c r="H49" s="374"/>
      <c r="I49" s="372"/>
      <c r="J49" s="382"/>
      <c r="K49" s="375"/>
      <c r="L49" s="376"/>
      <c r="M49" s="377"/>
      <c r="N49" s="376"/>
      <c r="O49" s="377"/>
      <c r="P49" s="376"/>
    </row>
    <row r="50" spans="2:16" ht="16.5">
      <c r="B50" s="34" t="s">
        <v>72</v>
      </c>
      <c r="C50" s="30" t="s">
        <v>76</v>
      </c>
      <c r="D50" s="30" t="s">
        <v>77</v>
      </c>
      <c r="E50" s="371">
        <f>'TOP MARZO 2026'!BN48+'TOP MARZO 2026'!BN49+'TOP MARZO 2026'!BN50+'TOP MARZO 2026'!BN51+'TOP MARZO 2026'!BN52</f>
        <v>21</v>
      </c>
      <c r="F50" s="373">
        <f>E50/21</f>
        <v>1</v>
      </c>
      <c r="G50" s="371">
        <f>'TOP MARZO 2026'!BO48+'TOP MARZO 2026'!BO49+'TOP MARZO 2026'!BO50+'TOP MARZO 2026'!BO51+'TOP MARZO 2026'!BO52</f>
        <v>20</v>
      </c>
      <c r="H50" s="373">
        <f>G50/21</f>
        <v>0.95238095238095233</v>
      </c>
      <c r="I50" s="371">
        <f t="shared" si="0"/>
        <v>41</v>
      </c>
      <c r="J50" s="380">
        <f>I50/42</f>
        <v>0.97619047619047616</v>
      </c>
      <c r="K50" s="375"/>
      <c r="L50" s="376"/>
      <c r="M50" s="377"/>
      <c r="N50" s="376"/>
      <c r="O50" s="377"/>
      <c r="P50" s="376"/>
    </row>
    <row r="51" spans="2:16" ht="16.5">
      <c r="B51" s="34" t="s">
        <v>72</v>
      </c>
      <c r="C51" s="30" t="s">
        <v>76</v>
      </c>
      <c r="D51" s="30" t="s">
        <v>78</v>
      </c>
      <c r="E51" s="378"/>
      <c r="F51" s="379"/>
      <c r="G51" s="378"/>
      <c r="H51" s="379"/>
      <c r="I51" s="378"/>
      <c r="J51" s="381"/>
      <c r="K51" s="375"/>
      <c r="L51" s="376"/>
      <c r="M51" s="377"/>
      <c r="N51" s="376"/>
      <c r="O51" s="377"/>
      <c r="P51" s="376"/>
    </row>
    <row r="52" spans="2:16" ht="16.5">
      <c r="B52" s="34" t="s">
        <v>72</v>
      </c>
      <c r="C52" s="30" t="s">
        <v>76</v>
      </c>
      <c r="D52" s="30" t="s">
        <v>79</v>
      </c>
      <c r="E52" s="378"/>
      <c r="F52" s="379"/>
      <c r="G52" s="378"/>
      <c r="H52" s="379"/>
      <c r="I52" s="378"/>
      <c r="J52" s="381"/>
      <c r="K52" s="375"/>
      <c r="L52" s="376"/>
      <c r="M52" s="377"/>
      <c r="N52" s="376"/>
      <c r="O52" s="377"/>
      <c r="P52" s="376"/>
    </row>
    <row r="53" spans="2:16" ht="16.5">
      <c r="B53" s="34" t="s">
        <v>72</v>
      </c>
      <c r="C53" s="30" t="s">
        <v>76</v>
      </c>
      <c r="D53" s="30" t="s">
        <v>80</v>
      </c>
      <c r="E53" s="378"/>
      <c r="F53" s="379"/>
      <c r="G53" s="378"/>
      <c r="H53" s="379"/>
      <c r="I53" s="378"/>
      <c r="J53" s="381"/>
      <c r="K53" s="375"/>
      <c r="L53" s="376"/>
      <c r="M53" s="377"/>
      <c r="N53" s="376"/>
      <c r="O53" s="377"/>
      <c r="P53" s="376"/>
    </row>
    <row r="54" spans="2:16" ht="16.5">
      <c r="B54" s="34" t="s">
        <v>72</v>
      </c>
      <c r="C54" s="30" t="s">
        <v>76</v>
      </c>
      <c r="D54" s="30" t="s">
        <v>81</v>
      </c>
      <c r="E54" s="372"/>
      <c r="F54" s="374"/>
      <c r="G54" s="372"/>
      <c r="H54" s="374"/>
      <c r="I54" s="372"/>
      <c r="J54" s="382"/>
      <c r="K54" s="375"/>
      <c r="L54" s="376"/>
      <c r="M54" s="377"/>
      <c r="N54" s="376"/>
      <c r="O54" s="377"/>
      <c r="P54" s="376"/>
    </row>
    <row r="55" spans="2:16" ht="16.5">
      <c r="B55" s="34" t="s">
        <v>72</v>
      </c>
      <c r="C55" s="30" t="s">
        <v>82</v>
      </c>
      <c r="D55" s="30" t="s">
        <v>83</v>
      </c>
      <c r="E55" s="371">
        <f>'TOP MARZO 2026'!BN53+'TOP MARZO 2026'!BN54</f>
        <v>17</v>
      </c>
      <c r="F55" s="373">
        <f>E55/21</f>
        <v>0.80952380952380953</v>
      </c>
      <c r="G55" s="371">
        <f>'TOP MARZO 2026'!BO53+'TOP MARZO 2026'!BO54</f>
        <v>18</v>
      </c>
      <c r="H55" s="373">
        <f>G55/21</f>
        <v>0.8571428571428571</v>
      </c>
      <c r="I55" s="371">
        <f t="shared" si="0"/>
        <v>35</v>
      </c>
      <c r="J55" s="380">
        <f>I55/42</f>
        <v>0.83333333333333337</v>
      </c>
      <c r="K55" s="375"/>
      <c r="L55" s="376"/>
      <c r="M55" s="377"/>
      <c r="N55" s="376"/>
      <c r="O55" s="377"/>
      <c r="P55" s="376"/>
    </row>
    <row r="56" spans="2:16" ht="16.5">
      <c r="B56" s="34" t="s">
        <v>72</v>
      </c>
      <c r="C56" s="30" t="s">
        <v>82</v>
      </c>
      <c r="D56" s="30" t="s">
        <v>84</v>
      </c>
      <c r="E56" s="372"/>
      <c r="F56" s="374"/>
      <c r="G56" s="372"/>
      <c r="H56" s="374"/>
      <c r="I56" s="372"/>
      <c r="J56" s="382"/>
      <c r="K56" s="375"/>
      <c r="L56" s="376"/>
      <c r="M56" s="377"/>
      <c r="N56" s="376"/>
      <c r="O56" s="377"/>
      <c r="P56" s="376"/>
    </row>
    <row r="57" spans="2:16" ht="16.5">
      <c r="B57" s="34" t="s">
        <v>72</v>
      </c>
      <c r="C57" s="30" t="s">
        <v>85</v>
      </c>
      <c r="D57" s="30" t="s">
        <v>86</v>
      </c>
      <c r="E57" s="371">
        <f>'TOP MARZO 2026'!BN55+'TOP MARZO 2026'!BN56+'TOP MARZO 2026'!BN57</f>
        <v>23</v>
      </c>
      <c r="F57" s="373">
        <f>E57/21</f>
        <v>1.0952380952380953</v>
      </c>
      <c r="G57" s="371">
        <f>'TOP MARZO 2026'!BO55+'TOP MARZO 2026'!BO56+'TOP MARZO 2026'!BO57</f>
        <v>20</v>
      </c>
      <c r="H57" s="373">
        <f>G57/21</f>
        <v>0.95238095238095233</v>
      </c>
      <c r="I57" s="371">
        <f t="shared" si="0"/>
        <v>43</v>
      </c>
      <c r="J57" s="380">
        <f>I57/42</f>
        <v>1.0238095238095237</v>
      </c>
      <c r="K57" s="375"/>
      <c r="L57" s="376"/>
      <c r="M57" s="377"/>
      <c r="N57" s="376"/>
      <c r="O57" s="377"/>
      <c r="P57" s="376"/>
    </row>
    <row r="58" spans="2:16" ht="16.5">
      <c r="B58" s="34" t="s">
        <v>72</v>
      </c>
      <c r="C58" s="30" t="s">
        <v>85</v>
      </c>
      <c r="D58" s="30" t="s">
        <v>87</v>
      </c>
      <c r="E58" s="378"/>
      <c r="F58" s="379"/>
      <c r="G58" s="378"/>
      <c r="H58" s="379"/>
      <c r="I58" s="378"/>
      <c r="J58" s="381"/>
      <c r="K58" s="375"/>
      <c r="L58" s="376"/>
      <c r="M58" s="377"/>
      <c r="N58" s="376"/>
      <c r="O58" s="377"/>
      <c r="P58" s="376"/>
    </row>
    <row r="59" spans="2:16" ht="16.5">
      <c r="B59" s="34" t="s">
        <v>72</v>
      </c>
      <c r="C59" s="30" t="s">
        <v>85</v>
      </c>
      <c r="D59" s="30" t="s">
        <v>88</v>
      </c>
      <c r="E59" s="372"/>
      <c r="F59" s="374"/>
      <c r="G59" s="372"/>
      <c r="H59" s="374"/>
      <c r="I59" s="372"/>
      <c r="J59" s="382"/>
      <c r="K59" s="375"/>
      <c r="L59" s="376"/>
      <c r="M59" s="377"/>
      <c r="N59" s="376"/>
      <c r="O59" s="377"/>
      <c r="P59" s="376"/>
    </row>
    <row r="60" spans="2:16" ht="16.5">
      <c r="B60" s="34" t="s">
        <v>72</v>
      </c>
      <c r="C60" s="30" t="s">
        <v>89</v>
      </c>
      <c r="D60" s="30" t="s">
        <v>90</v>
      </c>
      <c r="E60" s="30">
        <f>'TOP MARZO 2026'!BN58</f>
        <v>21</v>
      </c>
      <c r="F60" s="33">
        <f>E60/21</f>
        <v>1</v>
      </c>
      <c r="G60" s="30">
        <f>'TOP MARZO 2026'!BO58</f>
        <v>19</v>
      </c>
      <c r="H60" s="33">
        <f>G60/21</f>
        <v>0.90476190476190477</v>
      </c>
      <c r="I60" s="30">
        <f t="shared" si="0"/>
        <v>40</v>
      </c>
      <c r="J60" s="105">
        <f>I60/42</f>
        <v>0.95238095238095233</v>
      </c>
      <c r="K60" s="107"/>
      <c r="L60" s="81"/>
      <c r="M60" s="85"/>
      <c r="N60" s="81"/>
      <c r="O60" s="85"/>
      <c r="P60" s="81"/>
    </row>
    <row r="61" spans="2:16" ht="16.5">
      <c r="B61" s="34" t="s">
        <v>72</v>
      </c>
      <c r="C61" s="30" t="s">
        <v>91</v>
      </c>
      <c r="D61" s="30" t="s">
        <v>92</v>
      </c>
      <c r="E61" s="371">
        <f>'TOP MARZO 2026'!BN59+'TOP MARZO 2026'!BN60</f>
        <v>20</v>
      </c>
      <c r="F61" s="373">
        <f>E61/21</f>
        <v>0.95238095238095233</v>
      </c>
      <c r="G61" s="371">
        <f>'TOP MARZO 2026'!BO59+'TOP MARZO 2026'!BO60</f>
        <v>18</v>
      </c>
      <c r="H61" s="373">
        <f>G61/21</f>
        <v>0.8571428571428571</v>
      </c>
      <c r="I61" s="371">
        <f t="shared" si="0"/>
        <v>38</v>
      </c>
      <c r="J61" s="380">
        <f>I61/42</f>
        <v>0.90476190476190477</v>
      </c>
      <c r="K61" s="375"/>
      <c r="L61" s="376"/>
      <c r="M61" s="377"/>
      <c r="N61" s="376"/>
      <c r="O61" s="377"/>
      <c r="P61" s="376"/>
    </row>
    <row r="62" spans="2:16" ht="16.5">
      <c r="B62" s="34" t="s">
        <v>72</v>
      </c>
      <c r="C62" s="30" t="s">
        <v>91</v>
      </c>
      <c r="D62" s="30" t="s">
        <v>93</v>
      </c>
      <c r="E62" s="372"/>
      <c r="F62" s="374"/>
      <c r="G62" s="372"/>
      <c r="H62" s="374"/>
      <c r="I62" s="372"/>
      <c r="J62" s="382"/>
      <c r="K62" s="375"/>
      <c r="L62" s="376"/>
      <c r="M62" s="377"/>
      <c r="N62" s="376"/>
      <c r="O62" s="377"/>
      <c r="P62" s="376"/>
    </row>
    <row r="63" spans="2:16" ht="16.5">
      <c r="B63" s="34" t="s">
        <v>94</v>
      </c>
      <c r="C63" s="30" t="s">
        <v>95</v>
      </c>
      <c r="D63" s="30" t="s">
        <v>96</v>
      </c>
      <c r="E63" s="30">
        <f>'TOP MARZO 2026'!BN61</f>
        <v>21</v>
      </c>
      <c r="F63" s="33">
        <f>E63/21</f>
        <v>1</v>
      </c>
      <c r="G63" s="30">
        <f>'TOP MARZO 2026'!BO61</f>
        <v>21</v>
      </c>
      <c r="H63" s="33">
        <f>G63/21</f>
        <v>1</v>
      </c>
      <c r="I63" s="30">
        <f t="shared" si="0"/>
        <v>42</v>
      </c>
      <c r="J63" s="105">
        <f>I63/42</f>
        <v>1</v>
      </c>
      <c r="K63" s="107"/>
      <c r="L63" s="81"/>
      <c r="M63" s="85"/>
      <c r="N63" s="81"/>
      <c r="O63" s="85"/>
      <c r="P63" s="81"/>
    </row>
    <row r="64" spans="2:16" ht="16.5">
      <c r="B64" s="34" t="s">
        <v>97</v>
      </c>
      <c r="C64" s="30" t="s">
        <v>192</v>
      </c>
      <c r="D64" s="30" t="s">
        <v>99</v>
      </c>
      <c r="E64" s="30">
        <f>'TOP MARZO 2026'!BN62</f>
        <v>21</v>
      </c>
      <c r="F64" s="33">
        <f>E64/21</f>
        <v>1</v>
      </c>
      <c r="G64" s="30">
        <f>'TOP MARZO 2026'!BO62</f>
        <v>16</v>
      </c>
      <c r="H64" s="33">
        <f>G64/21</f>
        <v>0.76190476190476186</v>
      </c>
      <c r="I64" s="30">
        <f t="shared" si="0"/>
        <v>37</v>
      </c>
      <c r="J64" s="105">
        <f>I64/42</f>
        <v>0.88095238095238093</v>
      </c>
      <c r="K64" s="107"/>
      <c r="L64" s="81"/>
      <c r="M64" s="85"/>
      <c r="N64" s="81"/>
      <c r="O64" s="85"/>
      <c r="P64" s="81"/>
    </row>
    <row r="65" spans="2:16" ht="16.5">
      <c r="B65" s="34" t="s">
        <v>97</v>
      </c>
      <c r="C65" s="30" t="s">
        <v>100</v>
      </c>
      <c r="D65" s="30" t="s">
        <v>101</v>
      </c>
      <c r="E65" s="30">
        <f>'TOP MARZO 2026'!BN63</f>
        <v>19</v>
      </c>
      <c r="F65" s="33">
        <f>E65/21</f>
        <v>0.90476190476190477</v>
      </c>
      <c r="G65" s="30">
        <f>'TOP MARZO 2026'!BO63</f>
        <v>17</v>
      </c>
      <c r="H65" s="33">
        <f>G65/21</f>
        <v>0.80952380952380953</v>
      </c>
      <c r="I65" s="30">
        <f t="shared" si="0"/>
        <v>36</v>
      </c>
      <c r="J65" s="105">
        <f>I65/42</f>
        <v>0.8571428571428571</v>
      </c>
      <c r="K65" s="107"/>
      <c r="L65" s="81"/>
      <c r="M65" s="85"/>
      <c r="N65" s="81"/>
      <c r="O65" s="85"/>
      <c r="P65" s="81"/>
    </row>
    <row r="66" spans="2:16" ht="16.5">
      <c r="B66" s="34" t="s">
        <v>97</v>
      </c>
      <c r="C66" s="30" t="s">
        <v>102</v>
      </c>
      <c r="D66" s="30" t="s">
        <v>103</v>
      </c>
      <c r="E66" s="371">
        <f>'TOP MARZO 2026'!BN64+'TOP MARZO 2026'!BN65</f>
        <v>20</v>
      </c>
      <c r="F66" s="373">
        <f>E66/21</f>
        <v>0.95238095238095233</v>
      </c>
      <c r="G66" s="371">
        <f>'TOP MARZO 2026'!BO64+'TOP MARZO 2026'!BO65</f>
        <v>17</v>
      </c>
      <c r="H66" s="373">
        <f>G66/21</f>
        <v>0.80952380952380953</v>
      </c>
      <c r="I66" s="371">
        <f t="shared" si="0"/>
        <v>37</v>
      </c>
      <c r="J66" s="380">
        <f>I66/42</f>
        <v>0.88095238095238093</v>
      </c>
      <c r="K66" s="375"/>
      <c r="L66" s="376"/>
      <c r="M66" s="377"/>
      <c r="N66" s="376"/>
      <c r="O66" s="377"/>
      <c r="P66" s="376"/>
    </row>
    <row r="67" spans="2:16" ht="16.5">
      <c r="B67" s="34" t="s">
        <v>97</v>
      </c>
      <c r="C67" s="30" t="s">
        <v>102</v>
      </c>
      <c r="D67" s="30" t="s">
        <v>104</v>
      </c>
      <c r="E67" s="372"/>
      <c r="F67" s="374"/>
      <c r="G67" s="372"/>
      <c r="H67" s="374"/>
      <c r="I67" s="372"/>
      <c r="J67" s="382"/>
      <c r="K67" s="375"/>
      <c r="L67" s="376"/>
      <c r="M67" s="377"/>
      <c r="N67" s="376"/>
      <c r="O67" s="377"/>
      <c r="P67" s="376"/>
    </row>
    <row r="68" spans="2:16" ht="16.5">
      <c r="B68" s="34" t="s">
        <v>97</v>
      </c>
      <c r="C68" s="30" t="s">
        <v>105</v>
      </c>
      <c r="D68" s="30" t="s">
        <v>106</v>
      </c>
      <c r="E68" s="371">
        <f>'TOP MARZO 2026'!BN66+'TOP MARZO 2026'!BN67</f>
        <v>16</v>
      </c>
      <c r="F68" s="373">
        <f>E68/21</f>
        <v>0.76190476190476186</v>
      </c>
      <c r="G68" s="371">
        <f>'TOP MARZO 2026'!BO66+'TOP MARZO 2026'!BO67</f>
        <v>11</v>
      </c>
      <c r="H68" s="373">
        <f>G68/21</f>
        <v>0.52380952380952384</v>
      </c>
      <c r="I68" s="371">
        <f t="shared" si="0"/>
        <v>27</v>
      </c>
      <c r="J68" s="380">
        <f>I68/42</f>
        <v>0.6428571428571429</v>
      </c>
      <c r="K68" s="375"/>
      <c r="L68" s="376"/>
      <c r="M68" s="377"/>
      <c r="N68" s="376"/>
      <c r="O68" s="377"/>
      <c r="P68" s="376"/>
    </row>
    <row r="69" spans="2:16" ht="16.5">
      <c r="B69" s="34" t="s">
        <v>97</v>
      </c>
      <c r="C69" s="30" t="s">
        <v>105</v>
      </c>
      <c r="D69" s="30" t="s">
        <v>107</v>
      </c>
      <c r="E69" s="372"/>
      <c r="F69" s="374"/>
      <c r="G69" s="372"/>
      <c r="H69" s="374"/>
      <c r="I69" s="372"/>
      <c r="J69" s="382"/>
      <c r="K69" s="375"/>
      <c r="L69" s="376"/>
      <c r="M69" s="377"/>
      <c r="N69" s="376"/>
      <c r="O69" s="377"/>
      <c r="P69" s="376"/>
    </row>
    <row r="70" spans="2:16" ht="16.5">
      <c r="B70" s="34" t="s">
        <v>108</v>
      </c>
      <c r="C70" s="30" t="s">
        <v>109</v>
      </c>
      <c r="D70" s="30" t="s">
        <v>110</v>
      </c>
      <c r="E70" s="371">
        <f>'TOP MARZO 2026'!BN68+'TOP MARZO 2026'!BN69</f>
        <v>16</v>
      </c>
      <c r="F70" s="373">
        <f>E70/21</f>
        <v>0.76190476190476186</v>
      </c>
      <c r="G70" s="371">
        <f>'TOP MARZO 2026'!BO68+'TOP MARZO 2026'!BO69</f>
        <v>11</v>
      </c>
      <c r="H70" s="373">
        <f>G70/21</f>
        <v>0.52380952380952384</v>
      </c>
      <c r="I70" s="371">
        <f t="shared" si="0"/>
        <v>27</v>
      </c>
      <c r="J70" s="380">
        <f>I70/42</f>
        <v>0.6428571428571429</v>
      </c>
      <c r="K70" s="375"/>
      <c r="L70" s="376"/>
      <c r="M70" s="377"/>
      <c r="N70" s="376"/>
      <c r="O70" s="377"/>
      <c r="P70" s="376"/>
    </row>
    <row r="71" spans="2:16" ht="16.5">
      <c r="B71" s="34" t="s">
        <v>108</v>
      </c>
      <c r="C71" s="30" t="s">
        <v>109</v>
      </c>
      <c r="D71" s="30" t="s">
        <v>111</v>
      </c>
      <c r="E71" s="372"/>
      <c r="F71" s="374"/>
      <c r="G71" s="372"/>
      <c r="H71" s="374"/>
      <c r="I71" s="372"/>
      <c r="J71" s="382"/>
      <c r="K71" s="375"/>
      <c r="L71" s="376"/>
      <c r="M71" s="377"/>
      <c r="N71" s="376"/>
      <c r="O71" s="377"/>
      <c r="P71" s="376"/>
    </row>
    <row r="72" spans="2:16" ht="16.5">
      <c r="B72" s="34" t="s">
        <v>108</v>
      </c>
      <c r="C72" s="30" t="s">
        <v>112</v>
      </c>
      <c r="D72" s="30" t="s">
        <v>113</v>
      </c>
      <c r="E72" s="371">
        <f>'TOP MARZO 2026'!BN70+'TOP MARZO 2026'!BN71</f>
        <v>17</v>
      </c>
      <c r="F72" s="373">
        <f>E72/21</f>
        <v>0.80952380952380953</v>
      </c>
      <c r="G72" s="371">
        <f>'TOP MARZO 2026'!BO70+'TOP MARZO 2026'!BO71</f>
        <v>12</v>
      </c>
      <c r="H72" s="373">
        <f>G72/21</f>
        <v>0.5714285714285714</v>
      </c>
      <c r="I72" s="371">
        <f t="shared" ref="I72:I102" si="6">E72+G72</f>
        <v>29</v>
      </c>
      <c r="J72" s="380">
        <f>I72/42</f>
        <v>0.69047619047619047</v>
      </c>
      <c r="K72" s="375"/>
      <c r="L72" s="376"/>
      <c r="M72" s="377"/>
      <c r="N72" s="376"/>
      <c r="O72" s="377"/>
      <c r="P72" s="376"/>
    </row>
    <row r="73" spans="2:16" ht="16.5">
      <c r="B73" s="34" t="s">
        <v>108</v>
      </c>
      <c r="C73" s="30" t="s">
        <v>112</v>
      </c>
      <c r="D73" s="30" t="s">
        <v>114</v>
      </c>
      <c r="E73" s="372"/>
      <c r="F73" s="374"/>
      <c r="G73" s="372"/>
      <c r="H73" s="374"/>
      <c r="I73" s="372"/>
      <c r="J73" s="382"/>
      <c r="K73" s="375"/>
      <c r="L73" s="376"/>
      <c r="M73" s="377"/>
      <c r="N73" s="376"/>
      <c r="O73" s="377"/>
      <c r="P73" s="376"/>
    </row>
    <row r="74" spans="2:16" ht="16.5">
      <c r="B74" s="34" t="s">
        <v>108</v>
      </c>
      <c r="C74" s="30" t="s">
        <v>115</v>
      </c>
      <c r="D74" s="30" t="s">
        <v>116</v>
      </c>
      <c r="E74" s="30">
        <f>'TOP MARZO 2026'!BN72</f>
        <v>21</v>
      </c>
      <c r="F74" s="33">
        <f>E74/21</f>
        <v>1</v>
      </c>
      <c r="G74" s="30">
        <f>'TOP MARZO 2026'!BO72</f>
        <v>18</v>
      </c>
      <c r="H74" s="33">
        <f>G74/21</f>
        <v>0.8571428571428571</v>
      </c>
      <c r="I74" s="30">
        <f t="shared" si="6"/>
        <v>39</v>
      </c>
      <c r="J74" s="105">
        <f>I74/42</f>
        <v>0.9285714285714286</v>
      </c>
      <c r="K74" s="107"/>
      <c r="L74" s="81"/>
      <c r="M74" s="85"/>
      <c r="N74" s="81"/>
      <c r="O74" s="85"/>
      <c r="P74" s="81"/>
    </row>
    <row r="75" spans="2:16" ht="16.5">
      <c r="B75" s="34" t="s">
        <v>108</v>
      </c>
      <c r="C75" s="30" t="s">
        <v>117</v>
      </c>
      <c r="D75" s="30" t="s">
        <v>118</v>
      </c>
      <c r="E75" s="30">
        <f>'TOP MARZO 2026'!BN73</f>
        <v>21</v>
      </c>
      <c r="F75" s="33">
        <f>E75/21</f>
        <v>1</v>
      </c>
      <c r="G75" s="30">
        <f>'TOP MARZO 2026'!BO73</f>
        <v>19</v>
      </c>
      <c r="H75" s="33">
        <f t="shared" ref="H75:H77" si="7">G75/21</f>
        <v>0.90476190476190477</v>
      </c>
      <c r="I75" s="30">
        <f t="shared" si="6"/>
        <v>40</v>
      </c>
      <c r="J75" s="105">
        <f t="shared" ref="J75:J77" si="8">I75/42</f>
        <v>0.95238095238095233</v>
      </c>
      <c r="K75" s="107"/>
      <c r="L75" s="81"/>
      <c r="M75" s="85"/>
      <c r="N75" s="81"/>
      <c r="O75" s="85"/>
      <c r="P75" s="81"/>
    </row>
    <row r="76" spans="2:16" ht="16.5">
      <c r="B76" s="34" t="s">
        <v>108</v>
      </c>
      <c r="C76" s="30" t="s">
        <v>119</v>
      </c>
      <c r="D76" s="30" t="s">
        <v>120</v>
      </c>
      <c r="E76" s="30">
        <f>'TOP MARZO 2026'!BN74</f>
        <v>20</v>
      </c>
      <c r="F76" s="33">
        <f>E76/21</f>
        <v>0.95238095238095233</v>
      </c>
      <c r="G76" s="30">
        <f>'TOP MARZO 2026'!BO74</f>
        <v>17</v>
      </c>
      <c r="H76" s="33">
        <f t="shared" si="7"/>
        <v>0.80952380952380953</v>
      </c>
      <c r="I76" s="30">
        <f t="shared" si="6"/>
        <v>37</v>
      </c>
      <c r="J76" s="105">
        <f t="shared" si="8"/>
        <v>0.88095238095238093</v>
      </c>
      <c r="K76" s="107"/>
      <c r="L76" s="81"/>
      <c r="M76" s="85"/>
      <c r="N76" s="81"/>
      <c r="O76" s="85"/>
      <c r="P76" s="81"/>
    </row>
    <row r="77" spans="2:16" ht="16.5">
      <c r="B77" s="34" t="s">
        <v>108</v>
      </c>
      <c r="C77" s="30" t="s">
        <v>121</v>
      </c>
      <c r="D77" s="30" t="s">
        <v>122</v>
      </c>
      <c r="E77" s="30">
        <f>'TOP MARZO 2026'!BN75</f>
        <v>7</v>
      </c>
      <c r="F77" s="33">
        <f>E77/21</f>
        <v>0.33333333333333331</v>
      </c>
      <c r="G77" s="30">
        <f>'TOP MARZO 2026'!BO75</f>
        <v>18</v>
      </c>
      <c r="H77" s="33">
        <f t="shared" si="7"/>
        <v>0.8571428571428571</v>
      </c>
      <c r="I77" s="30">
        <f t="shared" si="6"/>
        <v>25</v>
      </c>
      <c r="J77" s="105">
        <f t="shared" si="8"/>
        <v>0.59523809523809523</v>
      </c>
      <c r="K77" s="107"/>
      <c r="L77" s="81"/>
      <c r="M77" s="85"/>
      <c r="N77" s="81"/>
      <c r="O77" s="85"/>
      <c r="P77" s="81"/>
    </row>
    <row r="78" spans="2:16" ht="16.5">
      <c r="B78" s="34" t="s">
        <v>123</v>
      </c>
      <c r="C78" s="30" t="s">
        <v>124</v>
      </c>
      <c r="D78" s="30" t="s">
        <v>125</v>
      </c>
      <c r="E78" s="30">
        <f>'TOP MARZO 2026'!BN76</f>
        <v>21</v>
      </c>
      <c r="F78" s="33">
        <f>E78/21</f>
        <v>1</v>
      </c>
      <c r="G78" s="30">
        <f>'TOP MARZO 2026'!BO76</f>
        <v>20</v>
      </c>
      <c r="H78" s="33">
        <f>G78/21</f>
        <v>0.95238095238095233</v>
      </c>
      <c r="I78" s="30">
        <f t="shared" si="6"/>
        <v>41</v>
      </c>
      <c r="J78" s="105">
        <f>I78/42</f>
        <v>0.97619047619047616</v>
      </c>
      <c r="K78" s="107"/>
      <c r="L78" s="81"/>
      <c r="M78" s="85"/>
      <c r="N78" s="81"/>
      <c r="O78" s="85"/>
      <c r="P78" s="81"/>
    </row>
    <row r="79" spans="2:16" ht="16.5">
      <c r="B79" s="34" t="s">
        <v>123</v>
      </c>
      <c r="C79" s="30" t="s">
        <v>126</v>
      </c>
      <c r="D79" s="30" t="s">
        <v>127</v>
      </c>
      <c r="E79" s="30">
        <f>'TOP MARZO 2026'!BN77</f>
        <v>21</v>
      </c>
      <c r="F79" s="33">
        <f t="shared" ref="F79:F83" si="9">E79/21</f>
        <v>1</v>
      </c>
      <c r="G79" s="30">
        <f>'TOP MARZO 2026'!BO77</f>
        <v>19</v>
      </c>
      <c r="H79" s="33">
        <f t="shared" ref="H79:H83" si="10">G79/21</f>
        <v>0.90476190476190477</v>
      </c>
      <c r="I79" s="30">
        <f t="shared" si="6"/>
        <v>40</v>
      </c>
      <c r="J79" s="105">
        <f t="shared" ref="J79:J83" si="11">I79/42</f>
        <v>0.95238095238095233</v>
      </c>
      <c r="K79" s="107"/>
      <c r="L79" s="81"/>
      <c r="M79" s="85"/>
      <c r="N79" s="81"/>
      <c r="O79" s="85"/>
      <c r="P79" s="81"/>
    </row>
    <row r="80" spans="2:16" ht="16.5">
      <c r="B80" s="34" t="s">
        <v>123</v>
      </c>
      <c r="C80" s="30"/>
      <c r="D80" s="30" t="s">
        <v>193</v>
      </c>
      <c r="E80" s="30">
        <f>'TOP MARZO 2026'!BN78</f>
        <v>13</v>
      </c>
      <c r="F80" s="33">
        <f t="shared" si="9"/>
        <v>0.61904761904761907</v>
      </c>
      <c r="G80" s="30">
        <f>'TOP MARZO 2026'!BO78</f>
        <v>13</v>
      </c>
      <c r="H80" s="33">
        <f t="shared" si="10"/>
        <v>0.61904761904761907</v>
      </c>
      <c r="I80" s="30">
        <f t="shared" ref="I80" si="12">E80+G80</f>
        <v>26</v>
      </c>
      <c r="J80" s="105">
        <f t="shared" si="11"/>
        <v>0.61904761904761907</v>
      </c>
      <c r="K80" s="107"/>
      <c r="L80" s="81"/>
      <c r="M80" s="85"/>
      <c r="N80" s="81"/>
      <c r="O80" s="85"/>
      <c r="P80" s="81"/>
    </row>
    <row r="81" spans="2:16" ht="16.5">
      <c r="B81" s="34" t="s">
        <v>123</v>
      </c>
      <c r="C81" s="30" t="s">
        <v>128</v>
      </c>
      <c r="D81" s="30" t="s">
        <v>194</v>
      </c>
      <c r="E81" s="30">
        <f>'TOP MARZO 2026'!BN79</f>
        <v>20</v>
      </c>
      <c r="F81" s="33">
        <f t="shared" si="9"/>
        <v>0.95238095238095233</v>
      </c>
      <c r="G81" s="30">
        <f>'TOP MARZO 2026'!BO79</f>
        <v>14</v>
      </c>
      <c r="H81" s="33">
        <f t="shared" si="10"/>
        <v>0.66666666666666663</v>
      </c>
      <c r="I81" s="30">
        <f t="shared" si="6"/>
        <v>34</v>
      </c>
      <c r="J81" s="105">
        <f t="shared" si="11"/>
        <v>0.80952380952380953</v>
      </c>
      <c r="K81" s="107"/>
      <c r="L81" s="81"/>
      <c r="M81" s="85"/>
      <c r="N81" s="81"/>
      <c r="O81" s="85"/>
      <c r="P81" s="81"/>
    </row>
    <row r="82" spans="2:16" ht="16.5">
      <c r="B82" s="34" t="s">
        <v>123</v>
      </c>
      <c r="C82" s="30" t="s">
        <v>130</v>
      </c>
      <c r="D82" s="30" t="s">
        <v>131</v>
      </c>
      <c r="E82" s="30">
        <f>'TOP MARZO 2026'!BN80</f>
        <v>21</v>
      </c>
      <c r="F82" s="33">
        <f t="shared" si="9"/>
        <v>1</v>
      </c>
      <c r="G82" s="30">
        <f>'TOP MARZO 2026'!BO80</f>
        <v>16</v>
      </c>
      <c r="H82" s="33">
        <f t="shared" si="10"/>
        <v>0.76190476190476186</v>
      </c>
      <c r="I82" s="30">
        <f t="shared" si="6"/>
        <v>37</v>
      </c>
      <c r="J82" s="105">
        <f t="shared" si="11"/>
        <v>0.88095238095238093</v>
      </c>
      <c r="K82" s="107"/>
      <c r="L82" s="81"/>
      <c r="M82" s="85"/>
      <c r="N82" s="81"/>
      <c r="O82" s="85"/>
      <c r="P82" s="81"/>
    </row>
    <row r="83" spans="2:16" ht="16.5">
      <c r="B83" s="34" t="s">
        <v>123</v>
      </c>
      <c r="C83" s="30" t="s">
        <v>132</v>
      </c>
      <c r="D83" s="30" t="s">
        <v>133</v>
      </c>
      <c r="E83" s="30">
        <f>'TOP MARZO 2026'!BN81</f>
        <v>21</v>
      </c>
      <c r="F83" s="33">
        <f t="shared" si="9"/>
        <v>1</v>
      </c>
      <c r="G83" s="30">
        <f>'TOP MARZO 2026'!BO81</f>
        <v>20</v>
      </c>
      <c r="H83" s="33">
        <f t="shared" si="10"/>
        <v>0.95238095238095233</v>
      </c>
      <c r="I83" s="30">
        <f t="shared" si="6"/>
        <v>41</v>
      </c>
      <c r="J83" s="105">
        <f t="shared" si="11"/>
        <v>0.97619047619047616</v>
      </c>
      <c r="K83" s="107"/>
      <c r="L83" s="81"/>
      <c r="M83" s="85"/>
      <c r="N83" s="81"/>
      <c r="O83" s="85"/>
      <c r="P83" s="81"/>
    </row>
    <row r="84" spans="2:16" ht="16.5">
      <c r="B84" s="34" t="s">
        <v>134</v>
      </c>
      <c r="C84" s="30" t="s">
        <v>135</v>
      </c>
      <c r="D84" s="30" t="s">
        <v>136</v>
      </c>
      <c r="E84" s="371">
        <f>'TOP MARZO 2026'!BN82+'TOP MARZO 2026'!BN83+'TOP MARZO 2026'!BN84+'TOP MARZO 2026'!BN85+'TOP MARZO 2026'!BN86</f>
        <v>20</v>
      </c>
      <c r="F84" s="373">
        <f>E84/21</f>
        <v>0.95238095238095233</v>
      </c>
      <c r="G84" s="371">
        <f>'TOP MARZO 2026'!BO82+'TOP MARZO 2026'!BO83+'TOP MARZO 2026'!BO84+'TOP MARZO 2026'!BO85+'TOP MARZO 2026'!BO86</f>
        <v>10</v>
      </c>
      <c r="H84" s="373">
        <f>G84/21</f>
        <v>0.47619047619047616</v>
      </c>
      <c r="I84" s="371">
        <f t="shared" si="6"/>
        <v>30</v>
      </c>
      <c r="J84" s="380">
        <f>I84/42</f>
        <v>0.7142857142857143</v>
      </c>
      <c r="K84" s="375"/>
      <c r="L84" s="376"/>
      <c r="M84" s="377"/>
      <c r="N84" s="376"/>
      <c r="O84" s="377"/>
      <c r="P84" s="376"/>
    </row>
    <row r="85" spans="2:16" ht="16.5">
      <c r="B85" s="34" t="s">
        <v>134</v>
      </c>
      <c r="C85" s="30" t="s">
        <v>135</v>
      </c>
      <c r="D85" s="30" t="s">
        <v>137</v>
      </c>
      <c r="E85" s="378"/>
      <c r="F85" s="379"/>
      <c r="G85" s="378"/>
      <c r="H85" s="379"/>
      <c r="I85" s="378"/>
      <c r="J85" s="381"/>
      <c r="K85" s="375"/>
      <c r="L85" s="376"/>
      <c r="M85" s="377"/>
      <c r="N85" s="376"/>
      <c r="O85" s="377"/>
      <c r="P85" s="376"/>
    </row>
    <row r="86" spans="2:16" ht="16.5">
      <c r="B86" s="34" t="s">
        <v>134</v>
      </c>
      <c r="C86" s="30" t="s">
        <v>135</v>
      </c>
      <c r="D86" s="30" t="s">
        <v>138</v>
      </c>
      <c r="E86" s="378"/>
      <c r="F86" s="379"/>
      <c r="G86" s="378"/>
      <c r="H86" s="379"/>
      <c r="I86" s="378"/>
      <c r="J86" s="381"/>
      <c r="K86" s="375"/>
      <c r="L86" s="376"/>
      <c r="M86" s="377"/>
      <c r="N86" s="376"/>
      <c r="O86" s="377"/>
      <c r="P86" s="376"/>
    </row>
    <row r="87" spans="2:16" ht="16.5">
      <c r="B87" s="34" t="s">
        <v>134</v>
      </c>
      <c r="C87" s="30" t="s">
        <v>135</v>
      </c>
      <c r="D87" s="30" t="s">
        <v>139</v>
      </c>
      <c r="E87" s="378"/>
      <c r="F87" s="379"/>
      <c r="G87" s="378"/>
      <c r="H87" s="379"/>
      <c r="I87" s="378"/>
      <c r="J87" s="381"/>
      <c r="K87" s="375"/>
      <c r="L87" s="376"/>
      <c r="M87" s="377"/>
      <c r="N87" s="376"/>
      <c r="O87" s="377"/>
      <c r="P87" s="376"/>
    </row>
    <row r="88" spans="2:16" ht="16.5">
      <c r="B88" s="34" t="s">
        <v>134</v>
      </c>
      <c r="C88" s="30" t="s">
        <v>135</v>
      </c>
      <c r="D88" s="30" t="s">
        <v>140</v>
      </c>
      <c r="E88" s="372"/>
      <c r="F88" s="374"/>
      <c r="G88" s="372"/>
      <c r="H88" s="374"/>
      <c r="I88" s="372"/>
      <c r="J88" s="382"/>
      <c r="K88" s="375"/>
      <c r="L88" s="376"/>
      <c r="M88" s="377"/>
      <c r="N88" s="376"/>
      <c r="O88" s="377"/>
      <c r="P88" s="376"/>
    </row>
    <row r="89" spans="2:16" ht="16.5">
      <c r="B89" s="34" t="s">
        <v>134</v>
      </c>
      <c r="C89" s="30" t="s">
        <v>141</v>
      </c>
      <c r="D89" s="30" t="s">
        <v>142</v>
      </c>
      <c r="E89" s="371">
        <f>'TOP MARZO 2026'!BN87+'TOP MARZO 2026'!BN88+'TOP MARZO 2026'!BN89</f>
        <v>19</v>
      </c>
      <c r="F89" s="373">
        <f>E89/21</f>
        <v>0.90476190476190477</v>
      </c>
      <c r="G89" s="371">
        <f>'TOP MARZO 2026'!BO87+'TOP MARZO 2026'!BO88+'TOP MARZO 2026'!BO89</f>
        <v>12</v>
      </c>
      <c r="H89" s="373">
        <f>G89/21</f>
        <v>0.5714285714285714</v>
      </c>
      <c r="I89" s="371">
        <f t="shared" si="6"/>
        <v>31</v>
      </c>
      <c r="J89" s="380">
        <f>I89/42</f>
        <v>0.73809523809523814</v>
      </c>
      <c r="K89" s="375"/>
      <c r="L89" s="376"/>
      <c r="M89" s="377"/>
      <c r="N89" s="376"/>
      <c r="O89" s="377"/>
      <c r="P89" s="376"/>
    </row>
    <row r="90" spans="2:16" ht="16.5">
      <c r="B90" s="34" t="s">
        <v>134</v>
      </c>
      <c r="C90" s="30" t="s">
        <v>141</v>
      </c>
      <c r="D90" s="30" t="s">
        <v>143</v>
      </c>
      <c r="E90" s="378"/>
      <c r="F90" s="379"/>
      <c r="G90" s="378"/>
      <c r="H90" s="379"/>
      <c r="I90" s="378"/>
      <c r="J90" s="381"/>
      <c r="K90" s="375"/>
      <c r="L90" s="376"/>
      <c r="M90" s="377"/>
      <c r="N90" s="376"/>
      <c r="O90" s="377"/>
      <c r="P90" s="376"/>
    </row>
    <row r="91" spans="2:16" ht="16.5">
      <c r="B91" s="34" t="s">
        <v>134</v>
      </c>
      <c r="C91" s="30" t="s">
        <v>141</v>
      </c>
      <c r="D91" s="30" t="s">
        <v>144</v>
      </c>
      <c r="E91" s="372"/>
      <c r="F91" s="374"/>
      <c r="G91" s="372"/>
      <c r="H91" s="374"/>
      <c r="I91" s="372"/>
      <c r="J91" s="382"/>
      <c r="K91" s="375"/>
      <c r="L91" s="376"/>
      <c r="M91" s="377"/>
      <c r="N91" s="376"/>
      <c r="O91" s="377"/>
      <c r="P91" s="376"/>
    </row>
    <row r="92" spans="2:16" ht="16.5">
      <c r="B92" s="34" t="s">
        <v>134</v>
      </c>
      <c r="C92" s="30" t="s">
        <v>145</v>
      </c>
      <c r="D92" s="30" t="s">
        <v>146</v>
      </c>
      <c r="E92" s="30">
        <f>'TOP MARZO 2026'!BN90</f>
        <v>8</v>
      </c>
      <c r="F92" s="33">
        <f>E92/8</f>
        <v>1</v>
      </c>
      <c r="G92" s="30">
        <f>'TOP MARZO 2026'!BO90</f>
        <v>4</v>
      </c>
      <c r="H92" s="33">
        <f>G92/8</f>
        <v>0.5</v>
      </c>
      <c r="I92" s="30">
        <f t="shared" si="6"/>
        <v>12</v>
      </c>
      <c r="J92" s="105">
        <f>I92/16</f>
        <v>0.75</v>
      </c>
      <c r="K92" s="107"/>
      <c r="L92" s="81"/>
      <c r="M92" s="85"/>
      <c r="N92" s="81"/>
      <c r="O92" s="85"/>
      <c r="P92" s="81"/>
    </row>
    <row r="93" spans="2:16" ht="16.5">
      <c r="B93" s="34" t="s">
        <v>147</v>
      </c>
      <c r="C93" s="30" t="s">
        <v>148</v>
      </c>
      <c r="D93" s="30" t="s">
        <v>149</v>
      </c>
      <c r="E93" s="30">
        <f>'TOP MARZO 2026'!BN91</f>
        <v>21</v>
      </c>
      <c r="F93" s="33">
        <f>E93/21</f>
        <v>1</v>
      </c>
      <c r="G93" s="30">
        <f>'TOP MARZO 2026'!BO91</f>
        <v>20</v>
      </c>
      <c r="H93" s="33">
        <f>G93/21</f>
        <v>0.95238095238095233</v>
      </c>
      <c r="I93" s="30">
        <f t="shared" si="6"/>
        <v>41</v>
      </c>
      <c r="J93" s="105">
        <f>I93/42</f>
        <v>0.97619047619047616</v>
      </c>
      <c r="K93" s="107"/>
      <c r="L93" s="81"/>
      <c r="M93" s="85"/>
      <c r="N93" s="81"/>
      <c r="O93" s="85"/>
      <c r="P93" s="81"/>
    </row>
    <row r="94" spans="2:16" ht="16.5">
      <c r="B94" s="70" t="s">
        <v>147</v>
      </c>
      <c r="C94" s="30"/>
      <c r="D94" s="30" t="s">
        <v>195</v>
      </c>
      <c r="E94" s="30">
        <f>'TOP MARZO 2026'!BN92</f>
        <v>19</v>
      </c>
      <c r="F94" s="33">
        <f>E94/21</f>
        <v>0.90476190476190477</v>
      </c>
      <c r="G94" s="30">
        <f>'TOP MARZO 2026'!BO92</f>
        <v>15</v>
      </c>
      <c r="H94" s="33">
        <f>G94/21</f>
        <v>0.7142857142857143</v>
      </c>
      <c r="I94" s="30">
        <f t="shared" si="6"/>
        <v>34</v>
      </c>
      <c r="J94" s="105">
        <f>I94/42</f>
        <v>0.80952380952380953</v>
      </c>
      <c r="K94" s="107"/>
      <c r="L94" s="81"/>
      <c r="M94" s="85"/>
      <c r="N94" s="81"/>
      <c r="O94" s="85"/>
      <c r="P94" s="81"/>
    </row>
    <row r="95" spans="2:16" ht="16.5">
      <c r="B95" s="70" t="s">
        <v>147</v>
      </c>
      <c r="C95" s="30" t="s">
        <v>196</v>
      </c>
      <c r="D95" s="30" t="s">
        <v>197</v>
      </c>
      <c r="E95" s="30">
        <f>'TOP MARZO 2026'!BN93</f>
        <v>9</v>
      </c>
      <c r="F95" s="33">
        <f>E95/12</f>
        <v>0.75</v>
      </c>
      <c r="G95" s="30">
        <f>'TOP MARZO 2026'!BO93</f>
        <v>6</v>
      </c>
      <c r="H95" s="33">
        <f>G95/12</f>
        <v>0.5</v>
      </c>
      <c r="I95" s="30">
        <f t="shared" ref="I95" si="13">E95+G95</f>
        <v>15</v>
      </c>
      <c r="J95" s="105">
        <f>I95/24</f>
        <v>0.625</v>
      </c>
      <c r="K95" s="107"/>
      <c r="L95" s="81"/>
      <c r="M95" s="85"/>
      <c r="N95" s="81"/>
      <c r="O95" s="85"/>
      <c r="P95" s="81"/>
    </row>
    <row r="96" spans="2:16" ht="16.5">
      <c r="B96" s="35" t="s">
        <v>150</v>
      </c>
      <c r="C96" s="31" t="s">
        <v>151</v>
      </c>
      <c r="D96" s="32" t="s">
        <v>152</v>
      </c>
      <c r="E96" s="30">
        <f>'TOP MARZO 2026'!BN94</f>
        <v>2</v>
      </c>
      <c r="F96" s="33">
        <f>E96/21</f>
        <v>9.5238095238095233E-2</v>
      </c>
      <c r="G96" s="30">
        <f>'TOP MARZO 2026'!BO94</f>
        <v>4</v>
      </c>
      <c r="H96" s="33">
        <f>G96/21</f>
        <v>0.19047619047619047</v>
      </c>
      <c r="I96" s="30">
        <f t="shared" si="6"/>
        <v>6</v>
      </c>
      <c r="J96" s="105">
        <f>I96/42</f>
        <v>0.14285714285714285</v>
      </c>
      <c r="K96" s="107"/>
      <c r="L96" s="81"/>
      <c r="M96" s="85"/>
      <c r="N96" s="81"/>
      <c r="O96" s="85"/>
      <c r="P96" s="81"/>
    </row>
    <row r="97" spans="2:16" ht="16.5">
      <c r="B97" s="36" t="s">
        <v>150</v>
      </c>
      <c r="C97" s="31" t="s">
        <v>198</v>
      </c>
      <c r="D97" s="31" t="s">
        <v>153</v>
      </c>
      <c r="E97" s="371">
        <f>'TOP MARZO 2026'!BN95+'TOP MARZO 2026'!BN96</f>
        <v>19</v>
      </c>
      <c r="F97" s="373">
        <f>E97/21</f>
        <v>0.90476190476190477</v>
      </c>
      <c r="G97" s="371">
        <f>'TOP MARZO 2026'!BO95+'TOP MARZO 2026'!BO96</f>
        <v>15</v>
      </c>
      <c r="H97" s="373">
        <f>G97/21</f>
        <v>0.7142857142857143</v>
      </c>
      <c r="I97" s="371">
        <f t="shared" si="6"/>
        <v>34</v>
      </c>
      <c r="J97" s="373">
        <f>I97/42</f>
        <v>0.80952380952380953</v>
      </c>
      <c r="K97" s="107"/>
      <c r="L97" s="81"/>
      <c r="M97" s="85"/>
      <c r="N97" s="81"/>
      <c r="O97" s="85"/>
      <c r="P97" s="81"/>
    </row>
    <row r="98" spans="2:16" ht="16.5">
      <c r="B98" s="36" t="s">
        <v>150</v>
      </c>
      <c r="C98" s="31" t="s">
        <v>198</v>
      </c>
      <c r="D98" s="31" t="s">
        <v>154</v>
      </c>
      <c r="E98" s="372"/>
      <c r="F98" s="374"/>
      <c r="G98" s="372"/>
      <c r="H98" s="374"/>
      <c r="I98" s="372"/>
      <c r="J98" s="374"/>
      <c r="K98" s="107"/>
      <c r="L98" s="81"/>
      <c r="M98" s="85"/>
      <c r="N98" s="81"/>
      <c r="O98" s="85"/>
      <c r="P98" s="81"/>
    </row>
    <row r="99" spans="2:16" ht="16.5">
      <c r="B99" s="36" t="s">
        <v>150</v>
      </c>
      <c r="C99" s="31" t="s">
        <v>155</v>
      </c>
      <c r="D99" s="31" t="s">
        <v>156</v>
      </c>
      <c r="E99" s="30">
        <f>'TOP MARZO 2026'!BN97</f>
        <v>21</v>
      </c>
      <c r="F99" s="33">
        <f>E99/21</f>
        <v>1</v>
      </c>
      <c r="G99" s="30">
        <f>'TOP MARZO 2026'!BO97</f>
        <v>19</v>
      </c>
      <c r="H99" s="33">
        <f>G99/21</f>
        <v>0.90476190476190477</v>
      </c>
      <c r="I99" s="30">
        <f t="shared" si="6"/>
        <v>40</v>
      </c>
      <c r="J99" s="105">
        <f>I99/42</f>
        <v>0.95238095238095233</v>
      </c>
      <c r="K99" s="107"/>
      <c r="L99" s="81"/>
      <c r="M99" s="85"/>
      <c r="N99" s="81"/>
      <c r="O99" s="85"/>
      <c r="P99" s="81"/>
    </row>
    <row r="100" spans="2:16" ht="16.5">
      <c r="B100" s="36" t="s">
        <v>150</v>
      </c>
      <c r="C100" s="31" t="s">
        <v>157</v>
      </c>
      <c r="D100" s="31" t="s">
        <v>158</v>
      </c>
      <c r="E100" s="371">
        <f>'TOP MARZO 2026'!BN98+'TOP MARZO 2026'!BN99</f>
        <v>10</v>
      </c>
      <c r="F100" s="373">
        <f>E100/21</f>
        <v>0.47619047619047616</v>
      </c>
      <c r="G100" s="371">
        <f>'TOP MARZO 2026'!BO98+'TOP MARZO 2026'!BO99</f>
        <v>7</v>
      </c>
      <c r="H100" s="373">
        <f>G100/21</f>
        <v>0.33333333333333331</v>
      </c>
      <c r="I100" s="371">
        <f t="shared" si="6"/>
        <v>17</v>
      </c>
      <c r="J100" s="373">
        <f>I100/42</f>
        <v>0.40476190476190477</v>
      </c>
      <c r="K100" s="107"/>
      <c r="L100" s="81"/>
      <c r="M100" s="85"/>
      <c r="N100" s="81"/>
      <c r="O100" s="85"/>
      <c r="P100" s="81"/>
    </row>
    <row r="101" spans="2:16" ht="16.5">
      <c r="B101" s="36" t="s">
        <v>150</v>
      </c>
      <c r="C101" s="31" t="s">
        <v>157</v>
      </c>
      <c r="D101" s="31" t="s">
        <v>159</v>
      </c>
      <c r="E101" s="372"/>
      <c r="F101" s="374"/>
      <c r="G101" s="372"/>
      <c r="H101" s="374"/>
      <c r="I101" s="372"/>
      <c r="J101" s="374"/>
      <c r="K101" s="107"/>
      <c r="L101" s="81"/>
      <c r="M101" s="85"/>
      <c r="N101" s="81"/>
      <c r="O101" s="85"/>
      <c r="P101" s="81"/>
    </row>
    <row r="102" spans="2:16" ht="16.5">
      <c r="B102" s="36" t="s">
        <v>150</v>
      </c>
      <c r="C102" s="31" t="s">
        <v>162</v>
      </c>
      <c r="D102" s="31" t="s">
        <v>161</v>
      </c>
      <c r="E102" s="371">
        <f>'TOP MARZO 2026'!BN100+'TOP MARZO 2026'!BN101</f>
        <v>15</v>
      </c>
      <c r="F102" s="373">
        <f>E102/21</f>
        <v>0.7142857142857143</v>
      </c>
      <c r="G102" s="371">
        <f>'TOP MARZO 2026'!BO100+'TOP MARZO 2026'!BO101</f>
        <v>17</v>
      </c>
      <c r="H102" s="373">
        <f>G102/21</f>
        <v>0.80952380952380953</v>
      </c>
      <c r="I102" s="371">
        <f t="shared" si="6"/>
        <v>32</v>
      </c>
      <c r="J102" s="373">
        <f>I102/42</f>
        <v>0.76190476190476186</v>
      </c>
      <c r="K102" s="107"/>
      <c r="L102" s="81"/>
      <c r="M102" s="85"/>
      <c r="N102" s="81"/>
      <c r="O102" s="85"/>
      <c r="P102" s="81"/>
    </row>
    <row r="103" spans="2:16" ht="16.5">
      <c r="B103" s="36" t="s">
        <v>150</v>
      </c>
      <c r="C103" s="31" t="s">
        <v>162</v>
      </c>
      <c r="D103" s="31" t="s">
        <v>163</v>
      </c>
      <c r="E103" s="372"/>
      <c r="F103" s="374"/>
      <c r="G103" s="372"/>
      <c r="H103" s="374"/>
      <c r="I103" s="372"/>
      <c r="J103" s="374"/>
    </row>
    <row r="104" spans="2:16">
      <c r="J104" s="73"/>
    </row>
  </sheetData>
  <autoFilter ref="B4:J103" xr:uid="{FEEFF4B6-EDA9-4AE7-A54B-4AA2AFBAAAB9}"/>
  <mergeCells count="274">
    <mergeCell ref="E3:I3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E7:E11"/>
    <mergeCell ref="F7:F11"/>
    <mergeCell ref="G7:G11"/>
    <mergeCell ref="H7:H11"/>
    <mergeCell ref="I7:I11"/>
    <mergeCell ref="P7:P11"/>
    <mergeCell ref="J7:J11"/>
    <mergeCell ref="K7:K11"/>
    <mergeCell ref="L7:L11"/>
    <mergeCell ref="M7:M11"/>
    <mergeCell ref="N7:N11"/>
    <mergeCell ref="O7:O11"/>
    <mergeCell ref="N12:N17"/>
    <mergeCell ref="O12:O17"/>
    <mergeCell ref="P12:P17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E12:E17"/>
    <mergeCell ref="F12:F17"/>
    <mergeCell ref="G12:G17"/>
    <mergeCell ref="H12:H17"/>
    <mergeCell ref="I12:I17"/>
    <mergeCell ref="J12:J17"/>
    <mergeCell ref="K12:K17"/>
    <mergeCell ref="L12:L17"/>
    <mergeCell ref="M12:M17"/>
    <mergeCell ref="E23:E29"/>
    <mergeCell ref="F23:F29"/>
    <mergeCell ref="G23:G29"/>
    <mergeCell ref="H23:H29"/>
    <mergeCell ref="I23:I29"/>
    <mergeCell ref="P23:P29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J23:J29"/>
    <mergeCell ref="K23:K29"/>
    <mergeCell ref="L23:L29"/>
    <mergeCell ref="M23:M29"/>
    <mergeCell ref="N23:N29"/>
    <mergeCell ref="O23:O29"/>
    <mergeCell ref="N34:N35"/>
    <mergeCell ref="O34:O35"/>
    <mergeCell ref="P34:P35"/>
    <mergeCell ref="N36:N37"/>
    <mergeCell ref="O36:O37"/>
    <mergeCell ref="P36:P37"/>
    <mergeCell ref="E39:E40"/>
    <mergeCell ref="F39:F40"/>
    <mergeCell ref="G39:G40"/>
    <mergeCell ref="H39:H40"/>
    <mergeCell ref="I39:I40"/>
    <mergeCell ref="P39:P40"/>
    <mergeCell ref="J39:J40"/>
    <mergeCell ref="K39:K40"/>
    <mergeCell ref="L39:L40"/>
    <mergeCell ref="M39:M40"/>
    <mergeCell ref="N39:N40"/>
    <mergeCell ref="O39:O40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41:N42"/>
    <mergeCell ref="O41:O42"/>
    <mergeCell ref="P41:P42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P43:P44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E48:E49"/>
    <mergeCell ref="F48:F49"/>
    <mergeCell ref="G48:G49"/>
    <mergeCell ref="H48:H49"/>
    <mergeCell ref="I48:I49"/>
    <mergeCell ref="P48:P49"/>
    <mergeCell ref="E50:E54"/>
    <mergeCell ref="F50:F54"/>
    <mergeCell ref="G50:G54"/>
    <mergeCell ref="H50:H54"/>
    <mergeCell ref="I50:I54"/>
    <mergeCell ref="J50:J54"/>
    <mergeCell ref="K50:K54"/>
    <mergeCell ref="L50:L54"/>
    <mergeCell ref="M50:M54"/>
    <mergeCell ref="J48:J49"/>
    <mergeCell ref="K48:K49"/>
    <mergeCell ref="L48:L49"/>
    <mergeCell ref="M48:M49"/>
    <mergeCell ref="N48:N49"/>
    <mergeCell ref="O48:O49"/>
    <mergeCell ref="N50:N54"/>
    <mergeCell ref="O50:O54"/>
    <mergeCell ref="P50:P54"/>
    <mergeCell ref="N55:N56"/>
    <mergeCell ref="O55:O56"/>
    <mergeCell ref="P55:P56"/>
    <mergeCell ref="E57:E59"/>
    <mergeCell ref="F57:F59"/>
    <mergeCell ref="G57:G59"/>
    <mergeCell ref="H57:H59"/>
    <mergeCell ref="I57:I59"/>
    <mergeCell ref="P57:P59"/>
    <mergeCell ref="J57:J59"/>
    <mergeCell ref="K57:K59"/>
    <mergeCell ref="L57:L59"/>
    <mergeCell ref="M57:M59"/>
    <mergeCell ref="N57:N59"/>
    <mergeCell ref="O57:O59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N61:N62"/>
    <mergeCell ref="O61:O62"/>
    <mergeCell ref="P61:P62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E68:E69"/>
    <mergeCell ref="F68:F69"/>
    <mergeCell ref="G68:G69"/>
    <mergeCell ref="H68:H69"/>
    <mergeCell ref="I68:I69"/>
    <mergeCell ref="P68:P69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J68:J69"/>
    <mergeCell ref="K68:K69"/>
    <mergeCell ref="L68:L69"/>
    <mergeCell ref="M68:M69"/>
    <mergeCell ref="N68:N69"/>
    <mergeCell ref="O68:O69"/>
    <mergeCell ref="N70:N71"/>
    <mergeCell ref="O70:O71"/>
    <mergeCell ref="P70:P71"/>
    <mergeCell ref="I72:I73"/>
    <mergeCell ref="J72:J73"/>
    <mergeCell ref="K72:K73"/>
    <mergeCell ref="N84:N88"/>
    <mergeCell ref="O84:O88"/>
    <mergeCell ref="L72:L73"/>
    <mergeCell ref="M72:M73"/>
    <mergeCell ref="N72:N73"/>
    <mergeCell ref="O72:O73"/>
    <mergeCell ref="P84:P88"/>
    <mergeCell ref="E89:E91"/>
    <mergeCell ref="P72:P73"/>
    <mergeCell ref="E84:E88"/>
    <mergeCell ref="F84:F88"/>
    <mergeCell ref="G84:G88"/>
    <mergeCell ref="H84:H88"/>
    <mergeCell ref="I84:I88"/>
    <mergeCell ref="F89:F91"/>
    <mergeCell ref="G89:G91"/>
    <mergeCell ref="H89:H91"/>
    <mergeCell ref="I89:I91"/>
    <mergeCell ref="J89:J91"/>
    <mergeCell ref="K89:K91"/>
    <mergeCell ref="L89:L91"/>
    <mergeCell ref="M89:M91"/>
    <mergeCell ref="J84:J88"/>
    <mergeCell ref="K84:K88"/>
    <mergeCell ref="L84:L88"/>
    <mergeCell ref="M84:M88"/>
    <mergeCell ref="E72:E73"/>
    <mergeCell ref="F72:F73"/>
    <mergeCell ref="G72:G73"/>
    <mergeCell ref="H72:H73"/>
    <mergeCell ref="C1:D1"/>
    <mergeCell ref="H1:K1"/>
    <mergeCell ref="E102:E103"/>
    <mergeCell ref="F102:F103"/>
    <mergeCell ref="G102:G103"/>
    <mergeCell ref="H102:H103"/>
    <mergeCell ref="I102:I103"/>
    <mergeCell ref="J102:J103"/>
    <mergeCell ref="Q3:T3"/>
    <mergeCell ref="E97:E98"/>
    <mergeCell ref="F97:F98"/>
    <mergeCell ref="G97:G98"/>
    <mergeCell ref="H97:H98"/>
    <mergeCell ref="I97:I98"/>
    <mergeCell ref="J97:J98"/>
    <mergeCell ref="E100:E101"/>
    <mergeCell ref="F100:F101"/>
    <mergeCell ref="G100:G101"/>
    <mergeCell ref="H100:H101"/>
    <mergeCell ref="I100:I101"/>
    <mergeCell ref="J100:J101"/>
    <mergeCell ref="N89:N91"/>
    <mergeCell ref="O89:O91"/>
    <mergeCell ref="P89:P91"/>
  </mergeCells>
  <conditionalFormatting sqref="Q5 Q7 Q12 Q18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5 P7 P12 P18 P30:P34 P36 P38:P39 P41 P43 P50 P55 P57 P60:P61 P68 P70 P72 P89 P21:P23 P45:P48 P63:P66 P74:P84 P92:P10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J5 J7 J12 J18 J36 J38:J39 J41 J43 J50 J55 J57 J60:J61 J68 J70 J72 J89 J21:J23 J63:J66 J92:J97 J99:J100 J102 J30:J34 J45:J48 J74:J84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S5:S17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T5:T1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fitToWidth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217D-FB09-4B27-BAC3-6D24F6792948}">
  <dimension ref="A1:BO101"/>
  <sheetViews>
    <sheetView zoomScale="91" workbookViewId="0">
      <pane xSplit="3" topLeftCell="BE1" activePane="topRight" state="frozen"/>
      <selection pane="topRight" activeCell="BN3" sqref="BN3"/>
    </sheetView>
  </sheetViews>
  <sheetFormatPr defaultColWidth="8.7109375" defaultRowHeight="15"/>
  <cols>
    <col min="1" max="1" width="21.140625" customWidth="1"/>
    <col min="2" max="2" width="34.85546875" customWidth="1"/>
    <col min="3" max="3" width="52.85546875" customWidth="1"/>
    <col min="4" max="63" width="8.7109375" customWidth="1"/>
    <col min="64" max="64" width="19.140625" customWidth="1"/>
    <col min="65" max="65" width="21.28515625" customWidth="1"/>
    <col min="66" max="66" width="16.7109375" customWidth="1"/>
  </cols>
  <sheetData>
    <row r="1" spans="1:67" ht="16.5">
      <c r="A1" s="399" t="s">
        <v>589</v>
      </c>
      <c r="B1" s="399" t="s">
        <v>590</v>
      </c>
      <c r="C1" s="399" t="s">
        <v>591</v>
      </c>
      <c r="D1" s="400" t="s">
        <v>607</v>
      </c>
      <c r="E1" s="399"/>
      <c r="F1" s="399" t="s">
        <v>608</v>
      </c>
      <c r="G1" s="399"/>
      <c r="H1" s="399" t="s">
        <v>609</v>
      </c>
      <c r="I1" s="399"/>
      <c r="J1" s="399" t="s">
        <v>610</v>
      </c>
      <c r="K1" s="399"/>
      <c r="L1" s="399" t="s">
        <v>611</v>
      </c>
      <c r="M1" s="399"/>
      <c r="N1" s="399" t="s">
        <v>612</v>
      </c>
      <c r="O1" s="399"/>
      <c r="P1" s="399" t="s">
        <v>613</v>
      </c>
      <c r="Q1" s="399"/>
      <c r="R1" s="399" t="s">
        <v>614</v>
      </c>
      <c r="S1" s="399"/>
      <c r="T1" s="399" t="s">
        <v>615</v>
      </c>
      <c r="U1" s="399"/>
      <c r="V1" s="399" t="s">
        <v>616</v>
      </c>
      <c r="W1" s="399"/>
      <c r="X1" s="399" t="s">
        <v>617</v>
      </c>
      <c r="Y1" s="399"/>
      <c r="Z1" s="399" t="s">
        <v>618</v>
      </c>
      <c r="AA1" s="399"/>
      <c r="AB1" s="399" t="s">
        <v>619</v>
      </c>
      <c r="AC1" s="399"/>
      <c r="AD1" s="399" t="s">
        <v>620</v>
      </c>
      <c r="AE1" s="399"/>
      <c r="AF1" s="399" t="s">
        <v>621</v>
      </c>
      <c r="AG1" s="399"/>
      <c r="AH1" s="399" t="s">
        <v>622</v>
      </c>
      <c r="AI1" s="399"/>
      <c r="AJ1" s="399" t="s">
        <v>623</v>
      </c>
      <c r="AK1" s="399"/>
      <c r="AL1" s="399" t="s">
        <v>624</v>
      </c>
      <c r="AM1" s="399"/>
      <c r="AN1" s="399" t="s">
        <v>625</v>
      </c>
      <c r="AO1" s="399"/>
      <c r="AP1" s="399" t="s">
        <v>626</v>
      </c>
      <c r="AQ1" s="399"/>
      <c r="AR1" s="399" t="s">
        <v>627</v>
      </c>
      <c r="AS1" s="399"/>
      <c r="AT1" s="399" t="s">
        <v>628</v>
      </c>
      <c r="AU1" s="399"/>
      <c r="AV1" s="399" t="s">
        <v>629</v>
      </c>
      <c r="AW1" s="399"/>
      <c r="AX1" s="399" t="s">
        <v>630</v>
      </c>
      <c r="AY1" s="399"/>
      <c r="AZ1" s="399" t="s">
        <v>631</v>
      </c>
      <c r="BA1" s="399"/>
      <c r="BB1" s="399" t="s">
        <v>632</v>
      </c>
      <c r="BC1" s="399"/>
      <c r="BD1" s="399" t="s">
        <v>633</v>
      </c>
      <c r="BE1" s="399"/>
      <c r="BF1" s="399" t="s">
        <v>634</v>
      </c>
      <c r="BG1" s="399"/>
      <c r="BH1" s="399" t="s">
        <v>635</v>
      </c>
      <c r="BI1" s="399"/>
      <c r="BJ1" s="399" t="s">
        <v>636</v>
      </c>
      <c r="BK1" s="399"/>
      <c r="BL1" s="125" t="s">
        <v>637</v>
      </c>
      <c r="BM1" s="125" t="s">
        <v>638</v>
      </c>
      <c r="BN1" s="125" t="s">
        <v>639</v>
      </c>
      <c r="BO1" s="126"/>
    </row>
    <row r="2" spans="1:67" ht="16.5">
      <c r="A2" s="399"/>
      <c r="B2" s="399"/>
      <c r="C2" s="399"/>
      <c r="D2" s="141" t="s">
        <v>3</v>
      </c>
      <c r="E2" s="125" t="s">
        <v>4</v>
      </c>
      <c r="F2" s="125" t="s">
        <v>3</v>
      </c>
      <c r="G2" s="125" t="s">
        <v>4</v>
      </c>
      <c r="H2" s="125" t="s">
        <v>3</v>
      </c>
      <c r="I2" s="125" t="s">
        <v>4</v>
      </c>
      <c r="J2" s="125" t="s">
        <v>3</v>
      </c>
      <c r="K2" s="125" t="s">
        <v>4</v>
      </c>
      <c r="L2" s="125" t="s">
        <v>3</v>
      </c>
      <c r="M2" s="125" t="s">
        <v>4</v>
      </c>
      <c r="N2" s="125" t="s">
        <v>3</v>
      </c>
      <c r="O2" s="125" t="s">
        <v>4</v>
      </c>
      <c r="P2" s="125" t="s">
        <v>3</v>
      </c>
      <c r="Q2" s="125" t="s">
        <v>4</v>
      </c>
      <c r="R2" s="125" t="s">
        <v>3</v>
      </c>
      <c r="S2" s="125" t="s">
        <v>4</v>
      </c>
      <c r="T2" s="125" t="s">
        <v>3</v>
      </c>
      <c r="U2" s="125" t="s">
        <v>4</v>
      </c>
      <c r="V2" s="125" t="s">
        <v>3</v>
      </c>
      <c r="W2" s="125" t="s">
        <v>4</v>
      </c>
      <c r="X2" s="125" t="s">
        <v>3</v>
      </c>
      <c r="Y2" s="125" t="s">
        <v>4</v>
      </c>
      <c r="Z2" s="125" t="s">
        <v>3</v>
      </c>
      <c r="AA2" s="125" t="s">
        <v>4</v>
      </c>
      <c r="AB2" s="125" t="s">
        <v>3</v>
      </c>
      <c r="AC2" s="125" t="s">
        <v>4</v>
      </c>
      <c r="AD2" s="125" t="s">
        <v>3</v>
      </c>
      <c r="AE2" s="125" t="s">
        <v>4</v>
      </c>
      <c r="AF2" s="125" t="s">
        <v>3</v>
      </c>
      <c r="AG2" s="125" t="s">
        <v>4</v>
      </c>
      <c r="AH2" s="125" t="s">
        <v>3</v>
      </c>
      <c r="AI2" s="125" t="s">
        <v>4</v>
      </c>
      <c r="AJ2" s="125" t="s">
        <v>3</v>
      </c>
      <c r="AK2" s="125" t="s">
        <v>4</v>
      </c>
      <c r="AL2" s="125" t="s">
        <v>3</v>
      </c>
      <c r="AM2" s="125" t="s">
        <v>4</v>
      </c>
      <c r="AN2" s="125" t="s">
        <v>3</v>
      </c>
      <c r="AO2" s="125" t="s">
        <v>4</v>
      </c>
      <c r="AP2" s="125" t="s">
        <v>3</v>
      </c>
      <c r="AQ2" s="125" t="s">
        <v>4</v>
      </c>
      <c r="AR2" s="125" t="s">
        <v>3</v>
      </c>
      <c r="AS2" s="125" t="s">
        <v>4</v>
      </c>
      <c r="AT2" s="125" t="s">
        <v>3</v>
      </c>
      <c r="AU2" s="125" t="s">
        <v>4</v>
      </c>
      <c r="AV2" s="125" t="s">
        <v>3</v>
      </c>
      <c r="AW2" s="125" t="s">
        <v>4</v>
      </c>
      <c r="AX2" s="125" t="s">
        <v>3</v>
      </c>
      <c r="AY2" s="125" t="s">
        <v>4</v>
      </c>
      <c r="AZ2" s="125" t="s">
        <v>3</v>
      </c>
      <c r="BA2" s="125" t="s">
        <v>4</v>
      </c>
      <c r="BB2" s="125" t="s">
        <v>3</v>
      </c>
      <c r="BC2" s="125" t="s">
        <v>4</v>
      </c>
      <c r="BD2" s="125" t="s">
        <v>3</v>
      </c>
      <c r="BE2" s="125" t="s">
        <v>4</v>
      </c>
      <c r="BF2" s="125" t="s">
        <v>3</v>
      </c>
      <c r="BG2" s="125" t="s">
        <v>4</v>
      </c>
      <c r="BH2" s="125" t="s">
        <v>3</v>
      </c>
      <c r="BI2" s="125" t="s">
        <v>4</v>
      </c>
      <c r="BJ2" s="125" t="s">
        <v>3</v>
      </c>
      <c r="BK2" s="125" t="s">
        <v>4</v>
      </c>
      <c r="BL2" s="125"/>
      <c r="BM2" s="125"/>
      <c r="BN2" s="125"/>
      <c r="BO2" s="126"/>
    </row>
    <row r="3" spans="1:67" ht="16.5">
      <c r="A3" s="142" t="s">
        <v>5</v>
      </c>
      <c r="B3" s="142" t="s">
        <v>6</v>
      </c>
      <c r="C3" s="143" t="s">
        <v>7</v>
      </c>
      <c r="D3" s="132">
        <v>0.35347222222222224</v>
      </c>
      <c r="E3" s="132"/>
      <c r="F3" s="129"/>
      <c r="G3" s="129"/>
      <c r="H3" s="129"/>
      <c r="I3" s="129"/>
      <c r="J3" s="130"/>
      <c r="K3" s="124"/>
      <c r="L3" s="131"/>
      <c r="M3" s="131"/>
      <c r="N3" s="132">
        <v>0.43472222222222223</v>
      </c>
      <c r="O3" s="132">
        <v>0.16527777777777777</v>
      </c>
      <c r="P3" s="132">
        <v>0.35694444444444445</v>
      </c>
      <c r="Q3" s="132">
        <v>0.19375000000000001</v>
      </c>
      <c r="R3" s="132">
        <v>0.40694444444444444</v>
      </c>
      <c r="S3" s="132">
        <v>0.15208333333333332</v>
      </c>
      <c r="T3" s="132">
        <v>0.47708333333333336</v>
      </c>
      <c r="U3" s="132">
        <v>0</v>
      </c>
      <c r="V3" s="132">
        <v>0.3527777777777778</v>
      </c>
      <c r="W3" s="132">
        <v>0.16805555555555557</v>
      </c>
      <c r="X3" s="124"/>
      <c r="Y3" s="124"/>
      <c r="Z3" s="129"/>
      <c r="AA3" s="129"/>
      <c r="AB3" s="132">
        <v>0.35416666666666669</v>
      </c>
      <c r="AC3" s="132">
        <v>0.1673611111111111</v>
      </c>
      <c r="AD3" s="132">
        <v>0.34861111111111109</v>
      </c>
      <c r="AE3" s="132">
        <v>0.17222222222222222</v>
      </c>
      <c r="AF3" s="132">
        <v>0.35416666666666669</v>
      </c>
      <c r="AG3" s="132">
        <v>0.1673611111111111</v>
      </c>
      <c r="AH3" s="132">
        <v>0.35486111111111113</v>
      </c>
      <c r="AI3" s="132">
        <v>0.16666666666666666</v>
      </c>
      <c r="AJ3" s="132">
        <v>0.35416666666666669</v>
      </c>
      <c r="AK3" s="132">
        <v>0.16597222222222222</v>
      </c>
      <c r="AL3" s="124"/>
      <c r="AM3" s="124"/>
      <c r="AN3" s="129"/>
      <c r="AO3" s="129"/>
      <c r="AP3" s="132">
        <v>0.36180555555555555</v>
      </c>
      <c r="AQ3" s="132">
        <v>0</v>
      </c>
      <c r="AR3" s="132">
        <v>0</v>
      </c>
      <c r="AS3" s="132">
        <v>0</v>
      </c>
      <c r="AT3" s="132">
        <v>0.36458333333333331</v>
      </c>
      <c r="AU3" s="126"/>
      <c r="AV3" s="132">
        <v>0.35625000000000001</v>
      </c>
      <c r="AW3" s="132">
        <v>0.19513888888888889</v>
      </c>
      <c r="AX3" s="132">
        <v>0.36041666666666666</v>
      </c>
      <c r="AY3" s="132">
        <v>0.17499999999999999</v>
      </c>
      <c r="AZ3" s="124"/>
      <c r="BA3" s="124"/>
      <c r="BB3" s="129"/>
      <c r="BC3" s="129"/>
      <c r="BD3" s="132">
        <v>0.35555555555555557</v>
      </c>
      <c r="BE3" s="126"/>
      <c r="BF3" s="132">
        <v>0.35347222222222224</v>
      </c>
      <c r="BG3" s="132">
        <v>0.16875000000000001</v>
      </c>
      <c r="BH3" s="132">
        <v>0.3611111111111111</v>
      </c>
      <c r="BI3" s="132">
        <v>0.21527777777777779</v>
      </c>
      <c r="BJ3" s="132">
        <v>0.35902777777777778</v>
      </c>
      <c r="BK3" s="132">
        <v>0.17083333333333334</v>
      </c>
      <c r="BL3" s="126">
        <f>COUNTA(D3,F3,H3,L3,N3,P3,R3,T3,V3,Z3,AB3,AD3,AF3,AH3,AJ3,AN3,AP3,AR3,AT3,AV3,AX3,BB3,BD3,BF3,BH3,BJ3)</f>
        <v>20</v>
      </c>
      <c r="BM3" s="126">
        <f>COUNTA(E3,G3,I3,M3,O3,Q3,S3,U3,W3,AA3,AC3,AE3,AG3,AI3,AK3,AO3,AQ3,AS3,AU3,AW3,AY3,BC3,BE3,BG3,BI3,BK3)</f>
        <v>17</v>
      </c>
      <c r="BN3" s="126">
        <f>COUNTA(J3,K3,X3,Y3,AL3,AM3,AZ3,BA3)</f>
        <v>0</v>
      </c>
      <c r="BO3" s="126"/>
    </row>
    <row r="4" spans="1:67" ht="16.5">
      <c r="A4" s="127" t="s">
        <v>5</v>
      </c>
      <c r="B4" s="127" t="s">
        <v>6</v>
      </c>
      <c r="C4" s="128" t="s">
        <v>8</v>
      </c>
      <c r="D4" s="126"/>
      <c r="E4" s="132">
        <v>0.17291666666666666</v>
      </c>
      <c r="F4" s="129"/>
      <c r="G4" s="129"/>
      <c r="H4" s="129"/>
      <c r="I4" s="129"/>
      <c r="J4" s="124"/>
      <c r="K4" s="124"/>
      <c r="L4" s="129"/>
      <c r="M4" s="129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4"/>
      <c r="Y4" s="124"/>
      <c r="Z4" s="129"/>
      <c r="AA4" s="129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30">
        <v>0.35972222222222222</v>
      </c>
      <c r="AM4" s="124"/>
      <c r="AN4" s="129"/>
      <c r="AO4" s="129"/>
      <c r="AP4" s="126"/>
      <c r="AQ4" s="126"/>
      <c r="AR4" s="126"/>
      <c r="AS4" s="126"/>
      <c r="AT4" s="126"/>
      <c r="AU4" s="132">
        <v>0.18402777777777779</v>
      </c>
      <c r="AV4" s="126"/>
      <c r="AW4" s="126"/>
      <c r="AX4" s="126"/>
      <c r="AY4" s="126"/>
      <c r="AZ4" s="124"/>
      <c r="BA4" s="124"/>
      <c r="BB4" s="129"/>
      <c r="BC4" s="129"/>
      <c r="BD4" s="126"/>
      <c r="BE4" s="132">
        <v>0.16805555555555557</v>
      </c>
      <c r="BF4" s="126"/>
      <c r="BG4" s="126"/>
      <c r="BH4" s="126"/>
      <c r="BI4" s="126"/>
      <c r="BJ4" s="126"/>
      <c r="BK4" s="126"/>
      <c r="BL4" s="126">
        <f t="shared" ref="BL3:BM18" si="0">COUNTA(D4,F4,H4,L4,N4,P4,R4,T4,V4,Z4,AB4,AD4,AF4,AH4,AJ4,AN4,AP4,AR4,AT4,AV4,AX4,BB4,BD4,BF4,BH4,BJ4)</f>
        <v>0</v>
      </c>
      <c r="BM4" s="126">
        <f t="shared" si="0"/>
        <v>3</v>
      </c>
      <c r="BN4" s="126">
        <f t="shared" ref="BN3:BN66" si="1">COUNTA(J4,K4,X4,Y4,AL4,AM4,AZ4,BA4)</f>
        <v>1</v>
      </c>
      <c r="BO4" s="126"/>
    </row>
    <row r="5" spans="1:67" ht="16.5">
      <c r="A5" s="127" t="s">
        <v>5</v>
      </c>
      <c r="B5" s="127" t="s">
        <v>9</v>
      </c>
      <c r="C5" s="128" t="s">
        <v>10</v>
      </c>
      <c r="D5" s="132">
        <v>0.34861111111111109</v>
      </c>
      <c r="E5" s="132">
        <v>0.16180555555555556</v>
      </c>
      <c r="F5" s="129"/>
      <c r="G5" s="129"/>
      <c r="H5" s="129"/>
      <c r="I5" s="129"/>
      <c r="J5" s="130">
        <v>0.35069444444444442</v>
      </c>
      <c r="K5" s="124"/>
      <c r="L5" s="129"/>
      <c r="M5" s="129"/>
      <c r="N5" s="132">
        <v>0.33611111111111114</v>
      </c>
      <c r="O5" s="132">
        <v>0.14861111111111111</v>
      </c>
      <c r="P5" s="126"/>
      <c r="Q5" s="132">
        <v>0.15625</v>
      </c>
      <c r="R5" s="132">
        <v>0.34652777777777777</v>
      </c>
      <c r="S5" s="132">
        <v>0.16458333333333333</v>
      </c>
      <c r="T5" s="132">
        <v>0.35555555555555557</v>
      </c>
      <c r="U5" s="132">
        <v>0.1701388888888889</v>
      </c>
      <c r="V5" s="132">
        <v>0.3576388888888889</v>
      </c>
      <c r="W5" s="132">
        <v>0.15694444444444444</v>
      </c>
      <c r="X5" s="124"/>
      <c r="Y5" s="124"/>
      <c r="Z5" s="129"/>
      <c r="AA5" s="129"/>
      <c r="AB5" s="132">
        <v>0.34930555555555554</v>
      </c>
      <c r="AC5" s="132">
        <v>0.19652777777777777</v>
      </c>
      <c r="AD5" s="132">
        <v>0.36666666666666664</v>
      </c>
      <c r="AE5" s="132">
        <v>0.16111111111111112</v>
      </c>
      <c r="AF5" s="132">
        <v>0.34583333333333333</v>
      </c>
      <c r="AG5" s="132">
        <v>0.19444444444444445</v>
      </c>
      <c r="AH5" s="132">
        <v>0.35625000000000001</v>
      </c>
      <c r="AI5" s="132">
        <v>0.18194444444444444</v>
      </c>
      <c r="AJ5" s="132">
        <v>0.36388888888888887</v>
      </c>
      <c r="AK5" s="132">
        <v>0.18958333333333333</v>
      </c>
      <c r="AL5" s="130">
        <v>0.36180555555555555</v>
      </c>
      <c r="AM5" s="130">
        <v>0.54097222222222219</v>
      </c>
      <c r="AN5" s="129"/>
      <c r="AO5" s="129"/>
      <c r="AP5" s="132">
        <v>0.34027777777777779</v>
      </c>
      <c r="AQ5" s="132">
        <v>0.1388888888888889</v>
      </c>
      <c r="AR5" s="132">
        <v>0.35138888888888886</v>
      </c>
      <c r="AS5" s="132">
        <v>0.16041666666666668</v>
      </c>
      <c r="AT5" s="132">
        <v>0.34305555555555556</v>
      </c>
      <c r="AU5" s="132">
        <v>0.18680555555555556</v>
      </c>
      <c r="AV5" s="132">
        <v>0.34305555555555556</v>
      </c>
      <c r="AW5" s="132">
        <v>0.15694444444444444</v>
      </c>
      <c r="AX5" s="132">
        <v>0.35972222222222222</v>
      </c>
      <c r="AY5" s="132">
        <v>0.16944444444444445</v>
      </c>
      <c r="AZ5" s="124"/>
      <c r="BA5" s="124"/>
      <c r="BB5" s="129"/>
      <c r="BC5" s="129"/>
      <c r="BD5" s="132">
        <v>0.34652777777777777</v>
      </c>
      <c r="BE5" s="132">
        <v>0.15347222222222223</v>
      </c>
      <c r="BF5" s="132">
        <v>0.35555555555555557</v>
      </c>
      <c r="BG5" s="132">
        <v>0.1763888888888889</v>
      </c>
      <c r="BH5" s="132">
        <v>0.35138888888888886</v>
      </c>
      <c r="BI5" s="132">
        <v>0.1736111111111111</v>
      </c>
      <c r="BJ5" s="132">
        <v>0.36041666666666666</v>
      </c>
      <c r="BK5" s="132">
        <v>0.1763888888888889</v>
      </c>
      <c r="BL5" s="126">
        <f t="shared" si="0"/>
        <v>19</v>
      </c>
      <c r="BM5" s="126">
        <f t="shared" si="0"/>
        <v>20</v>
      </c>
      <c r="BN5" s="126">
        <f t="shared" si="1"/>
        <v>3</v>
      </c>
      <c r="BO5" s="126"/>
    </row>
    <row r="6" spans="1:67" ht="16.5">
      <c r="A6" s="127" t="s">
        <v>5</v>
      </c>
      <c r="B6" s="127" t="s">
        <v>9</v>
      </c>
      <c r="C6" s="128" t="s">
        <v>11</v>
      </c>
      <c r="D6" s="126"/>
      <c r="E6" s="126"/>
      <c r="F6" s="129"/>
      <c r="G6" s="129"/>
      <c r="H6" s="129"/>
      <c r="I6" s="129"/>
      <c r="J6" s="124"/>
      <c r="K6" s="124"/>
      <c r="L6" s="129"/>
      <c r="M6" s="129"/>
      <c r="N6" s="126"/>
      <c r="O6" s="126"/>
      <c r="P6" s="132">
        <v>0.35486111111111113</v>
      </c>
      <c r="Q6" s="126"/>
      <c r="R6" s="126"/>
      <c r="S6" s="126"/>
      <c r="T6" s="126"/>
      <c r="U6" s="126"/>
      <c r="V6" s="126"/>
      <c r="W6" s="126"/>
      <c r="X6" s="124"/>
      <c r="Y6" s="124"/>
      <c r="Z6" s="129"/>
      <c r="AA6" s="129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4"/>
      <c r="AM6" s="124"/>
      <c r="AN6" s="129"/>
      <c r="AO6" s="129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4"/>
      <c r="BA6" s="124"/>
      <c r="BB6" s="129"/>
      <c r="BC6" s="129"/>
      <c r="BD6" s="126"/>
      <c r="BE6" s="126"/>
      <c r="BF6" s="126"/>
      <c r="BG6" s="126"/>
      <c r="BH6" s="126"/>
      <c r="BI6" s="126"/>
      <c r="BJ6" s="126"/>
      <c r="BK6" s="126"/>
      <c r="BL6" s="126">
        <f t="shared" si="0"/>
        <v>1</v>
      </c>
      <c r="BM6" s="126">
        <f t="shared" si="0"/>
        <v>0</v>
      </c>
      <c r="BN6" s="126">
        <f t="shared" si="1"/>
        <v>0</v>
      </c>
      <c r="BO6" s="126"/>
    </row>
    <row r="7" spans="1:67" ht="16.5">
      <c r="A7" s="127" t="s">
        <v>5</v>
      </c>
      <c r="B7" s="127" t="s">
        <v>9</v>
      </c>
      <c r="C7" s="128" t="s">
        <v>12</v>
      </c>
      <c r="D7" s="126"/>
      <c r="E7" s="126"/>
      <c r="F7" s="129"/>
      <c r="G7" s="129"/>
      <c r="H7" s="129"/>
      <c r="I7" s="129"/>
      <c r="J7" s="124"/>
      <c r="K7" s="124"/>
      <c r="L7" s="129"/>
      <c r="M7" s="129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4"/>
      <c r="Y7" s="124"/>
      <c r="Z7" s="129"/>
      <c r="AA7" s="129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4"/>
      <c r="AM7" s="124"/>
      <c r="AN7" s="129"/>
      <c r="AO7" s="129"/>
      <c r="AP7" s="126"/>
      <c r="AQ7" s="126"/>
      <c r="AR7" s="126"/>
      <c r="AS7" s="126"/>
      <c r="AT7" s="126"/>
      <c r="AU7" s="126"/>
      <c r="AV7" s="126"/>
      <c r="AW7" s="126"/>
      <c r="AX7" s="132">
        <v>0.37361111111111112</v>
      </c>
      <c r="AY7" s="126"/>
      <c r="AZ7" s="124"/>
      <c r="BA7" s="124"/>
      <c r="BB7" s="129"/>
      <c r="BC7" s="129"/>
      <c r="BD7" s="126"/>
      <c r="BE7" s="126"/>
      <c r="BF7" s="126"/>
      <c r="BG7" s="126"/>
      <c r="BH7" s="126"/>
      <c r="BI7" s="126"/>
      <c r="BJ7" s="126"/>
      <c r="BK7" s="126"/>
      <c r="BL7" s="126">
        <f t="shared" si="0"/>
        <v>1</v>
      </c>
      <c r="BM7" s="126">
        <f t="shared" si="0"/>
        <v>0</v>
      </c>
      <c r="BN7" s="126">
        <f t="shared" si="1"/>
        <v>0</v>
      </c>
      <c r="BO7" s="126"/>
    </row>
    <row r="8" spans="1:67" ht="16.5">
      <c r="A8" s="127" t="s">
        <v>5</v>
      </c>
      <c r="B8" s="127" t="s">
        <v>9</v>
      </c>
      <c r="C8" s="128" t="s">
        <v>13</v>
      </c>
      <c r="D8" s="126"/>
      <c r="E8" s="126"/>
      <c r="F8" s="129"/>
      <c r="G8" s="129"/>
      <c r="H8" s="129"/>
      <c r="I8" s="129"/>
      <c r="J8" s="124"/>
      <c r="K8" s="124"/>
      <c r="L8" s="129"/>
      <c r="M8" s="129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4"/>
      <c r="Y8" s="124"/>
      <c r="Z8" s="129"/>
      <c r="AA8" s="129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4"/>
      <c r="AM8" s="124"/>
      <c r="AN8" s="129"/>
      <c r="AO8" s="129"/>
      <c r="AP8" s="126"/>
      <c r="AQ8" s="126"/>
      <c r="AR8" s="126"/>
      <c r="AS8" s="126"/>
      <c r="AT8" s="126"/>
      <c r="AU8" s="126"/>
      <c r="AV8" s="126"/>
      <c r="AW8" s="126"/>
      <c r="AX8" s="126"/>
      <c r="AY8" s="126"/>
      <c r="AZ8" s="124"/>
      <c r="BA8" s="124"/>
      <c r="BB8" s="129"/>
      <c r="BC8" s="129"/>
      <c r="BD8" s="126"/>
      <c r="BE8" s="126"/>
      <c r="BF8" s="126"/>
      <c r="BG8" s="126"/>
      <c r="BH8" s="126"/>
      <c r="BI8" s="126"/>
      <c r="BJ8" s="126"/>
      <c r="BK8" s="126"/>
      <c r="BL8" s="126">
        <f t="shared" si="0"/>
        <v>0</v>
      </c>
      <c r="BM8" s="126">
        <f t="shared" si="0"/>
        <v>0</v>
      </c>
      <c r="BN8" s="126">
        <f t="shared" si="1"/>
        <v>0</v>
      </c>
      <c r="BO8" s="126"/>
    </row>
    <row r="9" spans="1:67" ht="16.5">
      <c r="A9" s="127" t="s">
        <v>5</v>
      </c>
      <c r="B9" s="127" t="s">
        <v>9</v>
      </c>
      <c r="C9" s="128" t="s">
        <v>14</v>
      </c>
      <c r="D9" s="126"/>
      <c r="E9" s="126"/>
      <c r="F9" s="129"/>
      <c r="G9" s="129"/>
      <c r="H9" s="129"/>
      <c r="I9" s="129"/>
      <c r="J9" s="124"/>
      <c r="K9" s="124"/>
      <c r="L9" s="129"/>
      <c r="M9" s="129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4"/>
      <c r="Y9" s="124"/>
      <c r="Z9" s="129"/>
      <c r="AA9" s="129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4"/>
      <c r="AM9" s="124"/>
      <c r="AN9" s="129"/>
      <c r="AO9" s="129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4"/>
      <c r="BA9" s="124"/>
      <c r="BB9" s="129"/>
      <c r="BC9" s="129"/>
      <c r="BD9" s="126"/>
      <c r="BE9" s="126"/>
      <c r="BF9" s="126"/>
      <c r="BG9" s="126"/>
      <c r="BH9" s="126"/>
      <c r="BI9" s="126"/>
      <c r="BJ9" s="126"/>
      <c r="BK9" s="126"/>
      <c r="BL9" s="126">
        <f t="shared" si="0"/>
        <v>0</v>
      </c>
      <c r="BM9" s="126">
        <f t="shared" si="0"/>
        <v>0</v>
      </c>
      <c r="BN9" s="126">
        <f t="shared" si="1"/>
        <v>0</v>
      </c>
      <c r="BO9" s="126"/>
    </row>
    <row r="10" spans="1:67" ht="16.5">
      <c r="A10" s="127" t="s">
        <v>5</v>
      </c>
      <c r="B10" s="127" t="s">
        <v>15</v>
      </c>
      <c r="C10" s="128" t="s">
        <v>16</v>
      </c>
      <c r="D10" s="132">
        <v>0.34166666666666667</v>
      </c>
      <c r="E10" s="132">
        <v>0</v>
      </c>
      <c r="F10" s="129"/>
      <c r="G10" s="129"/>
      <c r="H10" s="129"/>
      <c r="I10" s="129"/>
      <c r="J10" s="124"/>
      <c r="K10" s="124"/>
      <c r="L10" s="129"/>
      <c r="M10" s="129"/>
      <c r="N10" s="132">
        <v>0.33888888888888891</v>
      </c>
      <c r="O10" s="132">
        <v>0.19652777777777777</v>
      </c>
      <c r="P10" s="132">
        <v>0.33541666666666664</v>
      </c>
      <c r="Q10" s="126"/>
      <c r="R10" s="132">
        <v>0.33680555555555558</v>
      </c>
      <c r="S10" s="132">
        <v>0.14444444444444443</v>
      </c>
      <c r="T10" s="132"/>
      <c r="U10" s="132">
        <v>0.16666666666666666</v>
      </c>
      <c r="V10" s="126"/>
      <c r="W10" s="132">
        <v>0</v>
      </c>
      <c r="X10" s="124"/>
      <c r="Y10" s="124"/>
      <c r="Z10" s="129"/>
      <c r="AA10" s="129"/>
      <c r="AB10" s="132">
        <v>0.3527777777777778</v>
      </c>
      <c r="AC10" s="132">
        <v>0.18680555555555556</v>
      </c>
      <c r="AD10" s="132">
        <v>0.36388888888888887</v>
      </c>
      <c r="AE10" s="126"/>
      <c r="AF10" s="132">
        <v>0.34583333333333333</v>
      </c>
      <c r="AG10" s="132">
        <v>0.17847222222222223</v>
      </c>
      <c r="AH10" s="132">
        <v>0.34513888888888888</v>
      </c>
      <c r="AI10" s="132">
        <v>0.21249999999999999</v>
      </c>
      <c r="AJ10" s="132">
        <v>0.38055555555555554</v>
      </c>
      <c r="AK10" s="126"/>
      <c r="AL10" s="124"/>
      <c r="AM10" s="124"/>
      <c r="AN10" s="129"/>
      <c r="AO10" s="129"/>
      <c r="AP10" s="132">
        <v>0.35486111111111113</v>
      </c>
      <c r="AQ10" s="132">
        <v>0.18124999999999999</v>
      </c>
      <c r="AR10" s="132">
        <v>0.34583333333333333</v>
      </c>
      <c r="AS10" s="126"/>
      <c r="AT10" s="132">
        <v>0.35069444444444442</v>
      </c>
      <c r="AU10" s="132">
        <v>0.14305555555555555</v>
      </c>
      <c r="AV10" s="132">
        <v>0.34861111111111109</v>
      </c>
      <c r="AW10" s="126"/>
      <c r="AX10" s="132">
        <v>0.34791666666666665</v>
      </c>
      <c r="AY10" s="126"/>
      <c r="AZ10" s="124"/>
      <c r="BA10" s="124"/>
      <c r="BB10" s="129"/>
      <c r="BC10" s="129"/>
      <c r="BD10" s="132">
        <v>0.35069444444444442</v>
      </c>
      <c r="BE10" s="132">
        <v>0.16875000000000001</v>
      </c>
      <c r="BF10" s="132">
        <v>0.35069444444444442</v>
      </c>
      <c r="BG10" s="132">
        <v>0.19791666666666666</v>
      </c>
      <c r="BH10" s="132">
        <v>0.35972222222222222</v>
      </c>
      <c r="BI10" s="126"/>
      <c r="BJ10" s="132">
        <v>0.38472222222222224</v>
      </c>
      <c r="BK10" s="132">
        <v>0.18263888888888888</v>
      </c>
      <c r="BL10" s="126">
        <f t="shared" si="0"/>
        <v>18</v>
      </c>
      <c r="BM10" s="126">
        <f t="shared" si="0"/>
        <v>13</v>
      </c>
      <c r="BN10" s="126">
        <f t="shared" si="1"/>
        <v>0</v>
      </c>
      <c r="BO10" s="126"/>
    </row>
    <row r="11" spans="1:67" ht="16.5">
      <c r="A11" s="127" t="s">
        <v>5</v>
      </c>
      <c r="B11" s="127" t="s">
        <v>15</v>
      </c>
      <c r="C11" s="128" t="s">
        <v>17</v>
      </c>
      <c r="D11" s="126"/>
      <c r="E11" s="126"/>
      <c r="F11" s="129"/>
      <c r="G11" s="129"/>
      <c r="H11" s="129"/>
      <c r="I11" s="129"/>
      <c r="J11" s="124"/>
      <c r="K11" s="124"/>
      <c r="L11" s="129"/>
      <c r="M11" s="129"/>
      <c r="N11" s="126"/>
      <c r="O11" s="126"/>
      <c r="P11" s="126"/>
      <c r="Q11" s="126"/>
      <c r="R11" s="126"/>
      <c r="S11" s="126"/>
      <c r="T11" s="132">
        <v>0.35</v>
      </c>
      <c r="U11" s="126"/>
      <c r="V11" s="132">
        <v>0.33958333333333335</v>
      </c>
      <c r="W11" s="126"/>
      <c r="X11" s="124"/>
      <c r="Y11" s="124"/>
      <c r="Z11" s="129"/>
      <c r="AA11" s="129"/>
      <c r="AB11" s="126"/>
      <c r="AC11" s="126"/>
      <c r="AD11" s="126"/>
      <c r="AE11" s="132">
        <v>0.14027777777777778</v>
      </c>
      <c r="AF11" s="126"/>
      <c r="AG11" s="126"/>
      <c r="AH11" s="126"/>
      <c r="AI11" s="126"/>
      <c r="AJ11" s="126"/>
      <c r="AK11" s="126"/>
      <c r="AL11" s="124"/>
      <c r="AM11" s="124"/>
      <c r="AN11" s="129"/>
      <c r="AO11" s="129"/>
      <c r="AP11" s="126"/>
      <c r="AQ11" s="126"/>
      <c r="AR11" s="126"/>
      <c r="AS11" s="126"/>
      <c r="AT11" s="126"/>
      <c r="AU11" s="126"/>
      <c r="AV11" s="126"/>
      <c r="AW11" s="126"/>
      <c r="AX11" s="126"/>
      <c r="AY11" s="132">
        <v>0.17291666666666666</v>
      </c>
      <c r="AZ11" s="124"/>
      <c r="BA11" s="124"/>
      <c r="BB11" s="129"/>
      <c r="BC11" s="129"/>
      <c r="BD11" s="126"/>
      <c r="BE11" s="126"/>
      <c r="BF11" s="126"/>
      <c r="BG11" s="126"/>
      <c r="BH11" s="126"/>
      <c r="BI11" s="126"/>
      <c r="BJ11" s="126"/>
      <c r="BK11" s="126"/>
      <c r="BL11" s="126">
        <f t="shared" si="0"/>
        <v>2</v>
      </c>
      <c r="BM11" s="126">
        <f t="shared" si="0"/>
        <v>2</v>
      </c>
      <c r="BN11" s="126">
        <f t="shared" si="1"/>
        <v>0</v>
      </c>
      <c r="BO11" s="126"/>
    </row>
    <row r="12" spans="1:67" ht="16.5">
      <c r="A12" s="127" t="s">
        <v>5</v>
      </c>
      <c r="B12" s="127" t="s">
        <v>15</v>
      </c>
      <c r="C12" s="128" t="s">
        <v>18</v>
      </c>
      <c r="D12" s="126"/>
      <c r="E12" s="126">
        <f>' TOP ABRIL 2026'!BL10</f>
        <v>18</v>
      </c>
      <c r="F12" s="129"/>
      <c r="G12" s="129"/>
      <c r="H12" s="129"/>
      <c r="I12" s="129"/>
      <c r="J12" s="124"/>
      <c r="K12" s="124"/>
      <c r="L12" s="129"/>
      <c r="M12" s="129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4"/>
      <c r="Y12" s="124"/>
      <c r="Z12" s="129"/>
      <c r="AA12" s="129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4"/>
      <c r="AM12" s="124"/>
      <c r="AN12" s="129"/>
      <c r="AO12" s="129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4"/>
      <c r="BA12" s="124"/>
      <c r="BB12" s="129"/>
      <c r="BC12" s="129"/>
      <c r="BD12" s="126"/>
      <c r="BE12" s="126"/>
      <c r="BF12" s="126"/>
      <c r="BG12" s="126"/>
      <c r="BH12" s="126"/>
      <c r="BI12" s="132">
        <v>0.16111111111111112</v>
      </c>
      <c r="BJ12" s="126"/>
      <c r="BK12" s="126"/>
      <c r="BL12" s="126">
        <f t="shared" si="0"/>
        <v>0</v>
      </c>
      <c r="BM12" s="126">
        <f t="shared" si="0"/>
        <v>2</v>
      </c>
      <c r="BN12" s="126">
        <f t="shared" si="1"/>
        <v>0</v>
      </c>
      <c r="BO12" s="126"/>
    </row>
    <row r="13" spans="1:67" ht="16.5">
      <c r="A13" s="127" t="s">
        <v>5</v>
      </c>
      <c r="B13" s="127" t="s">
        <v>15</v>
      </c>
      <c r="C13" s="128" t="s">
        <v>19</v>
      </c>
      <c r="D13" s="126"/>
      <c r="E13" s="126"/>
      <c r="F13" s="129"/>
      <c r="G13" s="129"/>
      <c r="H13" s="129"/>
      <c r="I13" s="129"/>
      <c r="J13" s="124"/>
      <c r="K13" s="124"/>
      <c r="L13" s="129"/>
      <c r="M13" s="129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4"/>
      <c r="Y13" s="124"/>
      <c r="Z13" s="129"/>
      <c r="AA13" s="129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4"/>
      <c r="AM13" s="124"/>
      <c r="AN13" s="129"/>
      <c r="AO13" s="129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4"/>
      <c r="BA13" s="124"/>
      <c r="BB13" s="129"/>
      <c r="BC13" s="129"/>
      <c r="BD13" s="126"/>
      <c r="BE13" s="126"/>
      <c r="BF13" s="126"/>
      <c r="BG13" s="126"/>
      <c r="BH13" s="126"/>
      <c r="BI13" s="126"/>
      <c r="BJ13" s="126"/>
      <c r="BK13" s="126"/>
      <c r="BL13" s="126">
        <f t="shared" si="0"/>
        <v>0</v>
      </c>
      <c r="BM13" s="126">
        <f t="shared" si="0"/>
        <v>0</v>
      </c>
      <c r="BN13" s="126">
        <f t="shared" si="1"/>
        <v>0</v>
      </c>
      <c r="BO13" s="126"/>
    </row>
    <row r="14" spans="1:67" ht="16.5">
      <c r="A14" s="127" t="s">
        <v>5</v>
      </c>
      <c r="B14" s="127" t="s">
        <v>15</v>
      </c>
      <c r="C14" s="128" t="s">
        <v>20</v>
      </c>
      <c r="D14" s="126"/>
      <c r="E14" s="126"/>
      <c r="F14" s="129"/>
      <c r="G14" s="129"/>
      <c r="H14" s="129"/>
      <c r="I14" s="129"/>
      <c r="J14" s="124"/>
      <c r="K14" s="124"/>
      <c r="L14" s="129"/>
      <c r="M14" s="129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4"/>
      <c r="Y14" s="124"/>
      <c r="Z14" s="129"/>
      <c r="AA14" s="129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4"/>
      <c r="AM14" s="124"/>
      <c r="AN14" s="129"/>
      <c r="AO14" s="129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4"/>
      <c r="BA14" s="124"/>
      <c r="BB14" s="129"/>
      <c r="BC14" s="129"/>
      <c r="BD14" s="126"/>
      <c r="BE14" s="126"/>
      <c r="BF14" s="126"/>
      <c r="BG14" s="126"/>
      <c r="BH14" s="126"/>
      <c r="BI14" s="126"/>
      <c r="BJ14" s="126"/>
      <c r="BK14" s="126"/>
      <c r="BL14" s="126">
        <f t="shared" si="0"/>
        <v>0</v>
      </c>
      <c r="BM14" s="126">
        <f t="shared" si="0"/>
        <v>0</v>
      </c>
      <c r="BN14" s="126">
        <f t="shared" si="1"/>
        <v>0</v>
      </c>
      <c r="BO14" s="126"/>
    </row>
    <row r="15" spans="1:67" ht="16.5">
      <c r="A15" s="127" t="s">
        <v>5</v>
      </c>
      <c r="B15" s="127" t="s">
        <v>15</v>
      </c>
      <c r="C15" s="128" t="s">
        <v>21</v>
      </c>
      <c r="D15" s="126"/>
      <c r="E15" s="126"/>
      <c r="F15" s="129"/>
      <c r="G15" s="129"/>
      <c r="H15" s="129"/>
      <c r="I15" s="129"/>
      <c r="J15" s="124"/>
      <c r="K15" s="124"/>
      <c r="L15" s="129"/>
      <c r="M15" s="129"/>
      <c r="N15" s="126"/>
      <c r="O15" s="126"/>
      <c r="P15" s="126"/>
      <c r="Q15" s="132">
        <v>0.14861111111111111</v>
      </c>
      <c r="R15" s="126"/>
      <c r="S15" s="126"/>
      <c r="T15" s="126"/>
      <c r="U15" s="126"/>
      <c r="V15" s="126"/>
      <c r="W15" s="126"/>
      <c r="X15" s="124"/>
      <c r="Y15" s="124"/>
      <c r="Z15" s="129"/>
      <c r="AA15" s="129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4"/>
      <c r="AM15" s="124"/>
      <c r="AN15" s="129"/>
      <c r="AO15" s="129"/>
      <c r="AP15" s="126"/>
      <c r="AQ15" s="126"/>
      <c r="AR15" s="126"/>
      <c r="AS15" s="132">
        <v>0.16875000000000001</v>
      </c>
      <c r="AT15" s="126"/>
      <c r="AU15" s="126"/>
      <c r="AV15" s="126"/>
      <c r="AW15" s="126"/>
      <c r="AX15" s="126"/>
      <c r="AY15" s="126"/>
      <c r="AZ15" s="124"/>
      <c r="BA15" s="124"/>
      <c r="BB15" s="129"/>
      <c r="BC15" s="129"/>
      <c r="BD15" s="126"/>
      <c r="BE15" s="126"/>
      <c r="BF15" s="126"/>
      <c r="BG15" s="126"/>
      <c r="BH15" s="126"/>
      <c r="BI15" s="126"/>
      <c r="BJ15" s="126"/>
      <c r="BK15" s="126"/>
      <c r="BL15" s="126">
        <f t="shared" si="0"/>
        <v>0</v>
      </c>
      <c r="BM15" s="126">
        <f t="shared" si="0"/>
        <v>2</v>
      </c>
      <c r="BN15" s="126">
        <f t="shared" si="1"/>
        <v>0</v>
      </c>
      <c r="BO15" s="126"/>
    </row>
    <row r="16" spans="1:67" ht="16.5">
      <c r="A16" s="127" t="s">
        <v>5</v>
      </c>
      <c r="B16" s="127" t="s">
        <v>22</v>
      </c>
      <c r="C16" s="128" t="s">
        <v>23</v>
      </c>
      <c r="D16" s="132">
        <v>0.35</v>
      </c>
      <c r="E16" s="126"/>
      <c r="F16" s="129"/>
      <c r="G16" s="129"/>
      <c r="H16" s="129"/>
      <c r="I16" s="129"/>
      <c r="J16" s="124"/>
      <c r="K16" s="124"/>
      <c r="L16" s="129"/>
      <c r="M16" s="129"/>
      <c r="N16" s="132">
        <v>0.33333333333333331</v>
      </c>
      <c r="O16" s="126"/>
      <c r="P16" s="132">
        <v>0.35069444444444442</v>
      </c>
      <c r="Q16" s="132">
        <v>0.19583333333333333</v>
      </c>
      <c r="R16" s="132">
        <v>0.34861111111111109</v>
      </c>
      <c r="S16" s="132">
        <v>0</v>
      </c>
      <c r="T16" s="132">
        <v>0.42083333333333334</v>
      </c>
      <c r="U16" s="132">
        <v>0.23333333333333334</v>
      </c>
      <c r="V16" s="132">
        <v>0.34444444444444444</v>
      </c>
      <c r="W16" s="126"/>
      <c r="X16" s="130">
        <v>0.37430555555555556</v>
      </c>
      <c r="Y16" s="124"/>
      <c r="Z16" s="129"/>
      <c r="AA16" s="129"/>
      <c r="AB16" s="132">
        <v>0.35555555555555557</v>
      </c>
      <c r="AC16" s="126"/>
      <c r="AD16" s="132">
        <v>0.35833333333333334</v>
      </c>
      <c r="AE16" s="126"/>
      <c r="AF16" s="132">
        <v>0.3611111111111111</v>
      </c>
      <c r="AG16" s="132">
        <v>0.21458333333333332</v>
      </c>
      <c r="AH16" s="132">
        <v>0.3527777777777778</v>
      </c>
      <c r="AI16" s="126"/>
      <c r="AJ16" s="132">
        <v>0.35555555555555557</v>
      </c>
      <c r="AK16" s="132">
        <v>0.22777777777777777</v>
      </c>
      <c r="AL16" s="124"/>
      <c r="AM16" s="124"/>
      <c r="AN16" s="129"/>
      <c r="AO16" s="129"/>
      <c r="AP16" s="132">
        <v>0.34722222222222221</v>
      </c>
      <c r="AQ16" s="132">
        <v>0.16319444444444445</v>
      </c>
      <c r="AR16" s="132">
        <v>0.33958333333333335</v>
      </c>
      <c r="AS16" s="132">
        <v>0.21527777777777779</v>
      </c>
      <c r="AT16" s="132">
        <v>0.35486111111111113</v>
      </c>
      <c r="AU16" s="132">
        <v>0.17430555555555555</v>
      </c>
      <c r="AV16" s="132">
        <v>0.34444444444444444</v>
      </c>
      <c r="AW16" s="126"/>
      <c r="AX16" s="132">
        <v>0.36458333333333331</v>
      </c>
      <c r="AY16" s="126"/>
      <c r="AZ16" s="130">
        <v>0.34652777777777777</v>
      </c>
      <c r="BA16" s="124"/>
      <c r="BB16" s="129"/>
      <c r="BC16" s="129"/>
      <c r="BD16" s="132">
        <v>0.34444444444444444</v>
      </c>
      <c r="BE16" s="126"/>
      <c r="BF16" s="132">
        <v>0.34166666666666667</v>
      </c>
      <c r="BG16" s="126"/>
      <c r="BH16" s="132">
        <v>0.35069444444444442</v>
      </c>
      <c r="BI16" s="132">
        <v>0.22430555555555556</v>
      </c>
      <c r="BJ16" s="132">
        <v>0.36527777777777776</v>
      </c>
      <c r="BK16" s="126"/>
      <c r="BL16" s="126">
        <f t="shared" si="0"/>
        <v>20</v>
      </c>
      <c r="BM16" s="126">
        <f t="shared" si="0"/>
        <v>9</v>
      </c>
      <c r="BN16" s="126">
        <f t="shared" si="1"/>
        <v>2</v>
      </c>
      <c r="BO16" s="126"/>
    </row>
    <row r="17" spans="1:67" ht="16.5">
      <c r="A17" s="127" t="s">
        <v>5</v>
      </c>
      <c r="B17" s="127" t="s">
        <v>22</v>
      </c>
      <c r="C17" s="128" t="s">
        <v>24</v>
      </c>
      <c r="D17" s="126"/>
      <c r="E17" s="132">
        <v>0.17152777777777778</v>
      </c>
      <c r="F17" s="129"/>
      <c r="G17" s="129"/>
      <c r="H17" s="129"/>
      <c r="I17" s="129"/>
      <c r="J17" s="124"/>
      <c r="K17" s="124"/>
      <c r="L17" s="129"/>
      <c r="M17" s="129"/>
      <c r="N17" s="126"/>
      <c r="O17" s="132">
        <v>0.12222222222222222</v>
      </c>
      <c r="P17" s="126"/>
      <c r="Q17" s="126"/>
      <c r="R17" s="126"/>
      <c r="S17" s="126"/>
      <c r="T17" s="126"/>
      <c r="U17" s="126"/>
      <c r="V17" s="126"/>
      <c r="W17" s="132">
        <v>0.13958333333333334</v>
      </c>
      <c r="X17" s="124"/>
      <c r="Y17" s="124"/>
      <c r="Z17" s="129"/>
      <c r="AA17" s="129"/>
      <c r="AB17" s="126"/>
      <c r="AC17" s="132">
        <v>0.15</v>
      </c>
      <c r="AD17" s="126"/>
      <c r="AE17" s="126"/>
      <c r="AF17" s="126"/>
      <c r="AG17" s="126"/>
      <c r="AH17" s="126"/>
      <c r="AI17" s="126"/>
      <c r="AJ17" s="126"/>
      <c r="AK17" s="126"/>
      <c r="AL17" s="124"/>
      <c r="AM17" s="124"/>
      <c r="AN17" s="129"/>
      <c r="AO17" s="129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4"/>
      <c r="BA17" s="124"/>
      <c r="BB17" s="129"/>
      <c r="BC17" s="129"/>
      <c r="BD17" s="126"/>
      <c r="BE17" s="132">
        <v>0.12569444444444444</v>
      </c>
      <c r="BF17" s="126"/>
      <c r="BG17" s="126"/>
      <c r="BH17" s="126"/>
      <c r="BI17" s="126"/>
      <c r="BJ17" s="126"/>
      <c r="BK17" s="126"/>
      <c r="BL17" s="126">
        <f t="shared" si="0"/>
        <v>0</v>
      </c>
      <c r="BM17" s="126">
        <f t="shared" si="0"/>
        <v>5</v>
      </c>
      <c r="BN17" s="126">
        <f t="shared" si="1"/>
        <v>0</v>
      </c>
      <c r="BO17" s="126"/>
    </row>
    <row r="18" spans="1:67" ht="16.5">
      <c r="A18" s="127" t="s">
        <v>5</v>
      </c>
      <c r="B18" s="127" t="s">
        <v>22</v>
      </c>
      <c r="C18" s="128" t="s">
        <v>25</v>
      </c>
      <c r="D18" s="126"/>
      <c r="E18" s="126"/>
      <c r="F18" s="129"/>
      <c r="G18" s="129"/>
      <c r="H18" s="129"/>
      <c r="I18" s="129"/>
      <c r="J18" s="124"/>
      <c r="K18" s="124"/>
      <c r="L18" s="129"/>
      <c r="M18" s="129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4"/>
      <c r="Y18" s="124"/>
      <c r="Z18" s="129"/>
      <c r="AA18" s="129"/>
      <c r="AB18" s="126"/>
      <c r="AC18" s="126"/>
      <c r="AD18" s="126"/>
      <c r="AE18" s="132">
        <v>0.14374999999999999</v>
      </c>
      <c r="AF18" s="126"/>
      <c r="AG18" s="126"/>
      <c r="AH18" s="126"/>
      <c r="AI18" s="126"/>
      <c r="AJ18" s="126"/>
      <c r="AK18" s="126"/>
      <c r="AL18" s="124"/>
      <c r="AM18" s="124"/>
      <c r="AN18" s="129"/>
      <c r="AO18" s="129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4"/>
      <c r="BA18" s="124"/>
      <c r="BB18" s="129"/>
      <c r="BC18" s="129"/>
      <c r="BD18" s="126"/>
      <c r="BE18" s="126"/>
      <c r="BF18" s="126"/>
      <c r="BG18" s="132">
        <v>0.18402777777777779</v>
      </c>
      <c r="BH18" s="126"/>
      <c r="BI18" s="126"/>
      <c r="BJ18" s="126"/>
      <c r="BK18" s="126"/>
      <c r="BL18" s="126">
        <f t="shared" si="0"/>
        <v>0</v>
      </c>
      <c r="BM18" s="126">
        <f t="shared" si="0"/>
        <v>2</v>
      </c>
      <c r="BN18" s="126">
        <f t="shared" si="1"/>
        <v>0</v>
      </c>
      <c r="BO18" s="126"/>
    </row>
    <row r="19" spans="1:67" ht="16.5">
      <c r="A19" s="127" t="s">
        <v>26</v>
      </c>
      <c r="B19" s="127" t="s">
        <v>27</v>
      </c>
      <c r="C19" s="128" t="s">
        <v>28</v>
      </c>
      <c r="D19" s="132">
        <v>0.3840277777777778</v>
      </c>
      <c r="E19" s="132">
        <v>0.15972222222222221</v>
      </c>
      <c r="F19" s="129"/>
      <c r="G19" s="131"/>
      <c r="H19" s="129"/>
      <c r="I19" s="129"/>
      <c r="J19" s="124"/>
      <c r="K19" s="124"/>
      <c r="L19" s="129"/>
      <c r="M19" s="129"/>
      <c r="N19" s="132">
        <v>0.38819444444444445</v>
      </c>
      <c r="O19" s="132">
        <v>0.1451388888888889</v>
      </c>
      <c r="P19" s="132">
        <v>0.38541666666666669</v>
      </c>
      <c r="Q19" s="132">
        <v>0.14027777777777778</v>
      </c>
      <c r="R19" s="132">
        <v>0.37569444444444444</v>
      </c>
      <c r="S19" s="132">
        <v>0.14652777777777778</v>
      </c>
      <c r="T19" s="132">
        <v>0.38333333333333336</v>
      </c>
      <c r="U19" s="132">
        <v>0.13541666666666666</v>
      </c>
      <c r="V19" s="132">
        <v>0.38055555555555554</v>
      </c>
      <c r="W19" s="132">
        <v>0.16805555555555557</v>
      </c>
      <c r="X19" s="130">
        <v>0.38819444444444445</v>
      </c>
      <c r="Y19" s="124"/>
      <c r="Z19" s="129"/>
      <c r="AA19" s="129"/>
      <c r="AB19" s="132">
        <v>0.38263888888888886</v>
      </c>
      <c r="AC19" s="132">
        <v>0.14444444444444443</v>
      </c>
      <c r="AD19" s="132">
        <v>0.37916666666666665</v>
      </c>
      <c r="AE19" s="132">
        <v>0.14791666666666667</v>
      </c>
      <c r="AF19" s="132">
        <v>0.38124999999999998</v>
      </c>
      <c r="AG19" s="132">
        <v>0.15138888888888888</v>
      </c>
      <c r="AH19" s="132">
        <v>0.37708333333333333</v>
      </c>
      <c r="AI19" s="132">
        <v>0.14374999999999999</v>
      </c>
      <c r="AJ19" s="132">
        <v>0.38055555555555554</v>
      </c>
      <c r="AK19" s="132">
        <v>0.15416666666666667</v>
      </c>
      <c r="AL19" s="124"/>
      <c r="AM19" s="124"/>
      <c r="AN19" s="129"/>
      <c r="AO19" s="129"/>
      <c r="AP19" s="132">
        <v>0.37847222222222221</v>
      </c>
      <c r="AQ19" s="132">
        <v>0.16527777777777777</v>
      </c>
      <c r="AR19" s="132">
        <v>0.38472222222222224</v>
      </c>
      <c r="AS19" s="132">
        <v>0.14027777777777778</v>
      </c>
      <c r="AT19" s="132">
        <v>0.37777777777777777</v>
      </c>
      <c r="AU19" s="132">
        <v>0.15069444444444444</v>
      </c>
      <c r="AV19" s="132">
        <v>0.37847222222222221</v>
      </c>
      <c r="AW19" s="132">
        <v>0.14166666666666666</v>
      </c>
      <c r="AX19" s="132">
        <v>0.38055555555555554</v>
      </c>
      <c r="AY19" s="132">
        <v>0.14583333333333334</v>
      </c>
      <c r="AZ19" s="130">
        <v>0.39861111111111114</v>
      </c>
      <c r="BA19" s="124"/>
      <c r="BB19" s="129"/>
      <c r="BC19" s="129"/>
      <c r="BD19" s="132">
        <v>0.38194444444444442</v>
      </c>
      <c r="BE19" s="132">
        <v>0.14444444444444443</v>
      </c>
      <c r="BF19" s="132">
        <v>0.38263888888888886</v>
      </c>
      <c r="BG19" s="132">
        <v>0.15069444444444444</v>
      </c>
      <c r="BH19" s="132">
        <v>0.3840277777777778</v>
      </c>
      <c r="BI19" s="132">
        <v>0.15</v>
      </c>
      <c r="BJ19" s="132">
        <v>0.38194444444444442</v>
      </c>
      <c r="BK19" s="132">
        <v>0.15763888888888888</v>
      </c>
      <c r="BL19" s="126">
        <f t="shared" ref="BL19:BM82" si="2">COUNTA(D19,F19,H19,L19,N19,P19,R19,T19,V19,Z19,AB19,AD19,AF19,AH19,AJ19,AN19,AP19,AR19,AT19,AV19,AX19,BB19,BD19,BF19,BH19,BJ19)</f>
        <v>20</v>
      </c>
      <c r="BM19" s="126">
        <f t="shared" si="2"/>
        <v>20</v>
      </c>
      <c r="BN19" s="126">
        <f t="shared" si="1"/>
        <v>2</v>
      </c>
      <c r="BO19" s="126"/>
    </row>
    <row r="20" spans="1:67" ht="16.5">
      <c r="A20" s="127" t="s">
        <v>26</v>
      </c>
      <c r="B20" s="127" t="s">
        <v>29</v>
      </c>
      <c r="C20" s="128" t="s">
        <v>30</v>
      </c>
      <c r="D20" s="132">
        <v>0.33611111111111114</v>
      </c>
      <c r="E20" s="132">
        <v>0.13055555555555556</v>
      </c>
      <c r="F20" s="131"/>
      <c r="G20" s="129"/>
      <c r="H20" s="129"/>
      <c r="I20" s="129"/>
      <c r="J20" s="130">
        <v>0.37916666666666665</v>
      </c>
      <c r="K20" s="124"/>
      <c r="L20" s="129"/>
      <c r="M20" s="129"/>
      <c r="N20" s="132">
        <v>0.33611111111111114</v>
      </c>
      <c r="O20" s="132">
        <v>8.5416666666666669E-2</v>
      </c>
      <c r="P20" s="132">
        <v>0.34652777777777777</v>
      </c>
      <c r="Q20" s="132">
        <v>0.15069444444444444</v>
      </c>
      <c r="R20" s="132">
        <v>0.35347222222222224</v>
      </c>
      <c r="S20" s="132">
        <v>0.125</v>
      </c>
      <c r="T20" s="132">
        <v>0.33611111111111114</v>
      </c>
      <c r="U20" s="132">
        <v>0.11666666666666667</v>
      </c>
      <c r="V20" s="132">
        <v>0.32500000000000001</v>
      </c>
      <c r="W20" s="132">
        <v>0.10277777777777777</v>
      </c>
      <c r="X20" s="130">
        <v>0.46944444444444444</v>
      </c>
      <c r="Y20" s="124"/>
      <c r="Z20" s="129"/>
      <c r="AA20" s="129"/>
      <c r="AB20" s="132">
        <v>0.35972222222222222</v>
      </c>
      <c r="AC20" s="132">
        <v>9.7916666666666666E-2</v>
      </c>
      <c r="AD20" s="132">
        <v>0.36319444444444443</v>
      </c>
      <c r="AE20" s="132">
        <v>0.13680555555555557</v>
      </c>
      <c r="AF20" s="132">
        <v>0.35625000000000001</v>
      </c>
      <c r="AG20" s="132">
        <v>0.125</v>
      </c>
      <c r="AH20" s="132">
        <v>0.35902777777777778</v>
      </c>
      <c r="AI20" s="132">
        <v>0.12291666666666666</v>
      </c>
      <c r="AJ20" s="132">
        <v>0.34652777777777777</v>
      </c>
      <c r="AK20" s="132">
        <v>0.13402777777777777</v>
      </c>
      <c r="AL20" s="130">
        <v>0.29583333333333334</v>
      </c>
      <c r="AM20" s="124"/>
      <c r="AN20" s="129"/>
      <c r="AO20" s="129"/>
      <c r="AP20" s="132">
        <v>0.37361111111111112</v>
      </c>
      <c r="AQ20" s="132">
        <v>0.13125000000000001</v>
      </c>
      <c r="AR20" s="132">
        <v>0.35</v>
      </c>
      <c r="AS20" s="132">
        <v>0.12916666666666668</v>
      </c>
      <c r="AT20" s="132">
        <v>0.35069444444444442</v>
      </c>
      <c r="AU20" s="132">
        <v>0.13194444444444445</v>
      </c>
      <c r="AV20" s="132">
        <v>0.35972222222222222</v>
      </c>
      <c r="AW20" s="132">
        <v>0.125</v>
      </c>
      <c r="AX20" s="132">
        <v>0.37013888888888891</v>
      </c>
      <c r="AY20" s="132">
        <v>0.13263888888888889</v>
      </c>
      <c r="AZ20" s="130">
        <v>0.37638888888888888</v>
      </c>
      <c r="BA20" s="124"/>
      <c r="BB20" s="129"/>
      <c r="BC20" s="129"/>
      <c r="BD20" s="132">
        <v>0.37916666666666665</v>
      </c>
      <c r="BE20" s="132">
        <v>0.12291666666666666</v>
      </c>
      <c r="BF20" s="132">
        <v>0.34722222222222221</v>
      </c>
      <c r="BG20" s="132">
        <v>8.2638888888888887E-2</v>
      </c>
      <c r="BH20" s="132">
        <v>0.34722222222222221</v>
      </c>
      <c r="BI20" s="132">
        <v>0.12916666666666668</v>
      </c>
      <c r="BJ20" s="132">
        <v>0.34583333333333333</v>
      </c>
      <c r="BK20" s="132">
        <v>0.12847222222222221</v>
      </c>
      <c r="BL20" s="126">
        <f t="shared" si="2"/>
        <v>20</v>
      </c>
      <c r="BM20" s="126">
        <f t="shared" si="2"/>
        <v>20</v>
      </c>
      <c r="BN20" s="126">
        <f t="shared" si="1"/>
        <v>4</v>
      </c>
      <c r="BO20" s="126"/>
    </row>
    <row r="21" spans="1:67" ht="16.5">
      <c r="A21" s="127" t="s">
        <v>26</v>
      </c>
      <c r="B21" s="127" t="s">
        <v>31</v>
      </c>
      <c r="C21" s="128" t="s">
        <v>32</v>
      </c>
      <c r="D21" s="132">
        <v>0.37430555555555556</v>
      </c>
      <c r="E21" s="132">
        <v>0.21875</v>
      </c>
      <c r="F21" s="129"/>
      <c r="G21" s="131"/>
      <c r="H21" s="129"/>
      <c r="I21" s="129"/>
      <c r="J21" s="124"/>
      <c r="K21" s="124"/>
      <c r="L21" s="129"/>
      <c r="M21" s="129"/>
      <c r="N21" s="132">
        <v>0.35625000000000001</v>
      </c>
      <c r="O21" s="132">
        <v>0.20208333333333334</v>
      </c>
      <c r="P21" s="126"/>
      <c r="Q21" s="132">
        <v>0.19652777777777777</v>
      </c>
      <c r="R21" s="132">
        <v>0.37291666666666667</v>
      </c>
      <c r="S21" s="126"/>
      <c r="T21" s="132">
        <v>0.35555555555555557</v>
      </c>
      <c r="U21" s="132">
        <v>0.23125000000000001</v>
      </c>
      <c r="V21" s="132">
        <v>0.36458333333333331</v>
      </c>
      <c r="W21" s="132"/>
      <c r="X21" s="130">
        <v>0.39097222222222222</v>
      </c>
      <c r="Y21" s="124"/>
      <c r="Z21" s="129"/>
      <c r="AA21" s="129"/>
      <c r="AB21" s="132">
        <v>0.3527777777777778</v>
      </c>
      <c r="AC21" s="132">
        <v>0.17986111111111111</v>
      </c>
      <c r="AD21" s="126"/>
      <c r="AE21" s="126"/>
      <c r="AF21" s="126"/>
      <c r="AG21" s="126"/>
      <c r="AH21" s="126"/>
      <c r="AI21" s="126"/>
      <c r="AJ21" s="132">
        <v>0.36458333333333331</v>
      </c>
      <c r="AK21" s="126"/>
      <c r="AL21" s="124"/>
      <c r="AM21" s="124"/>
      <c r="AN21" s="129"/>
      <c r="AO21" s="129"/>
      <c r="AP21" s="132">
        <v>0.34861111111111109</v>
      </c>
      <c r="AQ21" s="132">
        <v>0.19791666666666666</v>
      </c>
      <c r="AR21" s="126"/>
      <c r="AS21" s="132">
        <v>0.20833333333333334</v>
      </c>
      <c r="AT21" s="126"/>
      <c r="AU21" s="126"/>
      <c r="AV21" s="132">
        <v>0.3611111111111111</v>
      </c>
      <c r="AW21" s="126"/>
      <c r="AX21" s="126"/>
      <c r="AY21" s="132">
        <v>0.17430555555555555</v>
      </c>
      <c r="AZ21" s="130">
        <v>0.39930555555555558</v>
      </c>
      <c r="BA21" s="124"/>
      <c r="BB21" s="129"/>
      <c r="BC21" s="129"/>
      <c r="BD21" s="132">
        <v>0.35416666666666669</v>
      </c>
      <c r="BE21" s="126"/>
      <c r="BF21" s="126"/>
      <c r="BG21" s="132">
        <v>0.18263888888888888</v>
      </c>
      <c r="BH21" s="132">
        <v>0.36180555555555555</v>
      </c>
      <c r="BI21" s="132">
        <v>0.1986111111111111</v>
      </c>
      <c r="BJ21" s="132">
        <v>0.41388888888888886</v>
      </c>
      <c r="BK21" s="132">
        <v>0.14027777777777778</v>
      </c>
      <c r="BL21" s="126">
        <f t="shared" si="2"/>
        <v>12</v>
      </c>
      <c r="BM21" s="126">
        <f t="shared" si="2"/>
        <v>11</v>
      </c>
      <c r="BN21" s="126">
        <f t="shared" si="1"/>
        <v>2</v>
      </c>
      <c r="BO21" s="126"/>
    </row>
    <row r="22" spans="1:67" ht="16.5">
      <c r="A22" s="127" t="s">
        <v>26</v>
      </c>
      <c r="B22" s="127" t="s">
        <v>31</v>
      </c>
      <c r="C22" s="128" t="s">
        <v>33</v>
      </c>
      <c r="D22" s="126"/>
      <c r="E22" s="126"/>
      <c r="F22" s="129"/>
      <c r="G22" s="129"/>
      <c r="H22" s="129"/>
      <c r="I22" s="129"/>
      <c r="J22" s="124"/>
      <c r="K22" s="124"/>
      <c r="L22" s="129"/>
      <c r="M22" s="129"/>
      <c r="N22" s="126"/>
      <c r="O22" s="126"/>
      <c r="P22" s="132">
        <v>0.35833333333333334</v>
      </c>
      <c r="Q22" s="126"/>
      <c r="R22" s="126"/>
      <c r="S22" s="126"/>
      <c r="T22" s="126"/>
      <c r="U22" s="126"/>
      <c r="V22" s="126"/>
      <c r="W22" s="126"/>
      <c r="X22" s="124"/>
      <c r="Y22" s="124"/>
      <c r="Z22" s="129"/>
      <c r="AA22" s="129"/>
      <c r="AB22" s="132"/>
      <c r="AC22" s="126"/>
      <c r="AD22" s="126"/>
      <c r="AE22" s="126"/>
      <c r="AF22" s="126"/>
      <c r="AG22" s="126"/>
      <c r="AH22" s="132">
        <v>0.35416666666666669</v>
      </c>
      <c r="AI22" s="126"/>
      <c r="AJ22" s="126"/>
      <c r="AK22" s="126"/>
      <c r="AL22" s="124"/>
      <c r="AM22" s="124"/>
      <c r="AN22" s="129"/>
      <c r="AO22" s="129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4"/>
      <c r="BA22" s="124"/>
      <c r="BB22" s="129"/>
      <c r="BC22" s="129"/>
      <c r="BD22" s="126"/>
      <c r="BE22" s="126"/>
      <c r="BF22" s="126"/>
      <c r="BG22" s="126"/>
      <c r="BH22" s="126"/>
      <c r="BI22" s="126"/>
      <c r="BJ22" s="126"/>
      <c r="BK22" s="126"/>
      <c r="BL22" s="126">
        <f t="shared" si="2"/>
        <v>2</v>
      </c>
      <c r="BM22" s="126">
        <f t="shared" si="2"/>
        <v>0</v>
      </c>
      <c r="BN22" s="126">
        <f t="shared" si="1"/>
        <v>0</v>
      </c>
      <c r="BO22" s="126"/>
    </row>
    <row r="23" spans="1:67" ht="16.5">
      <c r="A23" s="127" t="s">
        <v>26</v>
      </c>
      <c r="B23" s="127" t="s">
        <v>31</v>
      </c>
      <c r="C23" s="128" t="s">
        <v>34</v>
      </c>
      <c r="D23" s="126"/>
      <c r="E23" s="126"/>
      <c r="F23" s="129"/>
      <c r="G23" s="129"/>
      <c r="H23" s="129"/>
      <c r="I23" s="129"/>
      <c r="J23" s="124"/>
      <c r="K23" s="124"/>
      <c r="L23" s="129"/>
      <c r="M23" s="129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4"/>
      <c r="Y23" s="124"/>
      <c r="Z23" s="129"/>
      <c r="AA23" s="129"/>
      <c r="AB23" s="126"/>
      <c r="AC23" s="126"/>
      <c r="AD23" s="126"/>
      <c r="AE23" s="132">
        <v>0.18194444444444444</v>
      </c>
      <c r="AF23" s="126"/>
      <c r="AG23" s="132">
        <v>0.1451388888888889</v>
      </c>
      <c r="AH23" s="126"/>
      <c r="AI23" s="132">
        <v>0.13541666666666666</v>
      </c>
      <c r="AJ23" s="126"/>
      <c r="AK23" s="126"/>
      <c r="AL23" s="124"/>
      <c r="AM23" s="124"/>
      <c r="AN23" s="129"/>
      <c r="AO23" s="129"/>
      <c r="AP23" s="126"/>
      <c r="AQ23" s="126"/>
      <c r="AR23" s="126"/>
      <c r="AS23" s="126"/>
      <c r="AT23" s="126"/>
      <c r="AU23" s="126"/>
      <c r="AV23" s="126"/>
      <c r="AW23" s="132">
        <v>0.16111111111111112</v>
      </c>
      <c r="AX23" s="126"/>
      <c r="AY23" s="126"/>
      <c r="AZ23" s="124"/>
      <c r="BA23" s="124"/>
      <c r="BB23" s="129"/>
      <c r="BC23" s="129"/>
      <c r="BD23" s="126"/>
      <c r="BE23" s="126"/>
      <c r="BF23" s="126"/>
      <c r="BG23" s="126"/>
      <c r="BH23" s="126"/>
      <c r="BI23" s="126"/>
      <c r="BJ23" s="126"/>
      <c r="BK23" s="126"/>
      <c r="BL23" s="126">
        <f t="shared" si="2"/>
        <v>0</v>
      </c>
      <c r="BM23" s="126">
        <f t="shared" si="2"/>
        <v>4</v>
      </c>
      <c r="BN23" s="126">
        <f t="shared" si="1"/>
        <v>0</v>
      </c>
      <c r="BO23" s="126"/>
    </row>
    <row r="24" spans="1:67" ht="16.5">
      <c r="A24" s="127" t="s">
        <v>26</v>
      </c>
      <c r="B24" s="127" t="s">
        <v>31</v>
      </c>
      <c r="C24" s="128" t="s">
        <v>35</v>
      </c>
      <c r="D24" s="126"/>
      <c r="E24" s="126"/>
      <c r="F24" s="129"/>
      <c r="G24" s="129"/>
      <c r="H24" s="129"/>
      <c r="I24" s="129"/>
      <c r="J24" s="124"/>
      <c r="K24" s="124"/>
      <c r="L24" s="129"/>
      <c r="M24" s="129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4"/>
      <c r="Y24" s="124"/>
      <c r="Z24" s="129"/>
      <c r="AA24" s="129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4"/>
      <c r="AM24" s="124"/>
      <c r="AN24" s="129"/>
      <c r="AO24" s="129"/>
      <c r="AP24" s="126"/>
      <c r="AQ24" s="126"/>
      <c r="AR24" s="126"/>
      <c r="AS24" s="126"/>
      <c r="AT24" s="126"/>
      <c r="AU24" s="126"/>
      <c r="AV24" s="126"/>
      <c r="AW24" s="126"/>
      <c r="AX24" s="132">
        <v>0.41805555555555557</v>
      </c>
      <c r="AY24" s="126"/>
      <c r="AZ24" s="124"/>
      <c r="BA24" s="124"/>
      <c r="BB24" s="129"/>
      <c r="BC24" s="129"/>
      <c r="BD24" s="126"/>
      <c r="BE24" s="132">
        <v>0.12152777777777778</v>
      </c>
      <c r="BF24" s="126"/>
      <c r="BG24" s="126"/>
      <c r="BH24" s="126"/>
      <c r="BI24" s="126"/>
      <c r="BJ24" s="126"/>
      <c r="BK24" s="126"/>
      <c r="BL24" s="126">
        <f t="shared" si="2"/>
        <v>1</v>
      </c>
      <c r="BM24" s="126">
        <f t="shared" si="2"/>
        <v>1</v>
      </c>
      <c r="BN24" s="126">
        <f t="shared" si="1"/>
        <v>0</v>
      </c>
      <c r="BO24" s="126"/>
    </row>
    <row r="25" spans="1:67" ht="16.5">
      <c r="A25" s="127" t="s">
        <v>26</v>
      </c>
      <c r="B25" s="127" t="s">
        <v>31</v>
      </c>
      <c r="C25" s="128" t="s">
        <v>36</v>
      </c>
      <c r="D25" s="126"/>
      <c r="E25" s="126"/>
      <c r="F25" s="129"/>
      <c r="G25" s="129"/>
      <c r="H25" s="129"/>
      <c r="I25" s="129"/>
      <c r="J25" s="124"/>
      <c r="K25" s="124"/>
      <c r="L25" s="129"/>
      <c r="M25" s="129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4"/>
      <c r="Y25" s="124"/>
      <c r="Z25" s="129"/>
      <c r="AA25" s="129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4"/>
      <c r="AM25" s="124"/>
      <c r="AN25" s="129"/>
      <c r="AO25" s="129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4"/>
      <c r="BA25" s="124"/>
      <c r="BB25" s="129"/>
      <c r="BC25" s="129"/>
      <c r="BD25" s="126"/>
      <c r="BE25" s="126"/>
      <c r="BF25" s="126"/>
      <c r="BG25" s="126"/>
      <c r="BH25" s="126"/>
      <c r="BI25" s="126"/>
      <c r="BJ25" s="126"/>
      <c r="BK25" s="126"/>
      <c r="BL25" s="126">
        <f t="shared" si="2"/>
        <v>0</v>
      </c>
      <c r="BM25" s="126">
        <f t="shared" si="2"/>
        <v>0</v>
      </c>
      <c r="BN25" s="126">
        <f t="shared" si="1"/>
        <v>0</v>
      </c>
      <c r="BO25" s="126"/>
    </row>
    <row r="26" spans="1:67" ht="16.5">
      <c r="A26" s="127" t="s">
        <v>26</v>
      </c>
      <c r="B26" s="127" t="s">
        <v>31</v>
      </c>
      <c r="C26" s="128" t="s">
        <v>37</v>
      </c>
      <c r="D26" s="126"/>
      <c r="E26" s="126"/>
      <c r="F26" s="129"/>
      <c r="G26" s="129"/>
      <c r="H26" s="129"/>
      <c r="I26" s="129"/>
      <c r="J26" s="124"/>
      <c r="K26" s="124"/>
      <c r="L26" s="129"/>
      <c r="M26" s="129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4"/>
      <c r="Y26" s="124"/>
      <c r="Z26" s="129"/>
      <c r="AA26" s="129"/>
      <c r="AB26" s="126"/>
      <c r="AC26" s="126"/>
      <c r="AD26" s="132">
        <v>0.34861111111111109</v>
      </c>
      <c r="AE26" s="126"/>
      <c r="AF26" s="132">
        <v>0.35138888888888886</v>
      </c>
      <c r="AG26" s="126"/>
      <c r="AH26" s="126"/>
      <c r="AI26" s="126"/>
      <c r="AJ26" s="126"/>
      <c r="AK26" s="126"/>
      <c r="AL26" s="124"/>
      <c r="AM26" s="124"/>
      <c r="AN26" s="129"/>
      <c r="AO26" s="129"/>
      <c r="AP26" s="126"/>
      <c r="AQ26" s="126"/>
      <c r="AR26" s="132">
        <v>0.37152777777777779</v>
      </c>
      <c r="AS26" s="126"/>
      <c r="AT26" s="132">
        <v>0.39583333333333331</v>
      </c>
      <c r="AU26" s="126"/>
      <c r="AV26" s="126"/>
      <c r="AW26" s="126"/>
      <c r="AX26" s="126"/>
      <c r="AY26" s="126"/>
      <c r="AZ26" s="124"/>
      <c r="BA26" s="124"/>
      <c r="BB26" s="129"/>
      <c r="BC26" s="129"/>
      <c r="BD26" s="126"/>
      <c r="BE26" s="126"/>
      <c r="BF26" s="132">
        <v>0.37361111111111112</v>
      </c>
      <c r="BG26" s="126"/>
      <c r="BH26" s="126"/>
      <c r="BI26" s="126"/>
      <c r="BJ26" s="126"/>
      <c r="BK26" s="126"/>
      <c r="BL26" s="126">
        <f t="shared" si="2"/>
        <v>5</v>
      </c>
      <c r="BM26" s="126">
        <f t="shared" si="2"/>
        <v>0</v>
      </c>
      <c r="BN26" s="126">
        <f t="shared" si="1"/>
        <v>0</v>
      </c>
      <c r="BO26" s="126"/>
    </row>
    <row r="27" spans="1:67" ht="16.5">
      <c r="A27" s="127" t="s">
        <v>26</v>
      </c>
      <c r="B27" s="127" t="s">
        <v>31</v>
      </c>
      <c r="C27" s="128" t="s">
        <v>38</v>
      </c>
      <c r="D27" s="126"/>
      <c r="E27" s="126"/>
      <c r="F27" s="129"/>
      <c r="G27" s="129"/>
      <c r="H27" s="129"/>
      <c r="I27" s="129"/>
      <c r="J27" s="124"/>
      <c r="K27" s="124"/>
      <c r="L27" s="129"/>
      <c r="M27" s="129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4"/>
      <c r="Y27" s="124"/>
      <c r="Z27" s="129"/>
      <c r="AA27" s="129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4"/>
      <c r="AM27" s="124"/>
      <c r="AN27" s="129"/>
      <c r="AO27" s="129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4"/>
      <c r="BA27" s="124"/>
      <c r="BB27" s="129"/>
      <c r="BC27" s="129"/>
      <c r="BD27" s="126"/>
      <c r="BE27" s="126"/>
      <c r="BF27" s="126"/>
      <c r="BG27" s="126"/>
      <c r="BH27" s="126"/>
      <c r="BI27" s="126"/>
      <c r="BJ27" s="126"/>
      <c r="BK27" s="126"/>
      <c r="BL27" s="126">
        <f t="shared" si="2"/>
        <v>0</v>
      </c>
      <c r="BM27" s="126">
        <f t="shared" si="2"/>
        <v>0</v>
      </c>
      <c r="BN27" s="126">
        <f t="shared" si="1"/>
        <v>0</v>
      </c>
      <c r="BO27" s="126"/>
    </row>
    <row r="28" spans="1:67" ht="16.5">
      <c r="A28" s="127" t="s">
        <v>26</v>
      </c>
      <c r="B28" s="127" t="s">
        <v>39</v>
      </c>
      <c r="C28" s="128" t="s">
        <v>40</v>
      </c>
      <c r="D28" s="132">
        <v>0.41597222222222224</v>
      </c>
      <c r="E28" s="132">
        <v>0.15069444444444444</v>
      </c>
      <c r="F28" s="129"/>
      <c r="G28" s="129"/>
      <c r="H28" s="129"/>
      <c r="I28" s="129"/>
      <c r="J28" s="124"/>
      <c r="K28" s="124"/>
      <c r="L28" s="129"/>
      <c r="M28" s="129"/>
      <c r="N28" s="132">
        <v>0.37222222222222223</v>
      </c>
      <c r="O28" s="132">
        <v>0.15347222222222223</v>
      </c>
      <c r="P28" s="132">
        <v>0.38124999999999998</v>
      </c>
      <c r="Q28" s="132">
        <v>0.15763888888888888</v>
      </c>
      <c r="R28" s="132">
        <v>0.38194444444444442</v>
      </c>
      <c r="S28" s="132">
        <v>0.15069444444444444</v>
      </c>
      <c r="T28" s="132">
        <v>0.42152777777777778</v>
      </c>
      <c r="U28" s="132">
        <v>0.20416666666666666</v>
      </c>
      <c r="V28" s="132">
        <v>0.40416666666666667</v>
      </c>
      <c r="W28" s="132">
        <v>0.2076388888888889</v>
      </c>
      <c r="X28" s="124"/>
      <c r="Y28" s="124"/>
      <c r="Z28" s="129"/>
      <c r="AA28" s="129"/>
      <c r="AB28" s="132">
        <v>0.4284722222222222</v>
      </c>
      <c r="AC28" s="132">
        <v>0.19375000000000001</v>
      </c>
      <c r="AD28" s="132">
        <v>0.38263888888888886</v>
      </c>
      <c r="AE28" s="132">
        <v>0.17777777777777778</v>
      </c>
      <c r="AF28" s="132">
        <v>0.37569444444444444</v>
      </c>
      <c r="AG28" s="132">
        <v>0.1701388888888889</v>
      </c>
      <c r="AH28" s="132">
        <v>0.37986111111111109</v>
      </c>
      <c r="AI28" s="132">
        <v>0.17083333333333334</v>
      </c>
      <c r="AJ28" s="132">
        <v>0.39861111111111114</v>
      </c>
      <c r="AK28" s="132">
        <v>0.18472222222222223</v>
      </c>
      <c r="AL28" s="130">
        <v>0.43055555555555558</v>
      </c>
      <c r="AM28" s="124"/>
      <c r="AN28" s="129"/>
      <c r="AO28" s="129"/>
      <c r="AP28" s="132">
        <v>0.38194444444444442</v>
      </c>
      <c r="AQ28" s="132">
        <v>0.14722222222222223</v>
      </c>
      <c r="AR28" s="132">
        <v>0.42777777777777776</v>
      </c>
      <c r="AS28" s="132">
        <v>0.16805555555555557</v>
      </c>
      <c r="AT28" s="132">
        <v>0.38055555555555554</v>
      </c>
      <c r="AU28" s="132">
        <v>0.14791666666666667</v>
      </c>
      <c r="AV28" s="132">
        <v>0.40694444444444444</v>
      </c>
      <c r="AW28" s="132">
        <v>0.15486111111111112</v>
      </c>
      <c r="AX28" s="132">
        <v>0.40486111111111112</v>
      </c>
      <c r="AY28" s="132">
        <v>0.16041666666666668</v>
      </c>
      <c r="AZ28" s="124"/>
      <c r="BA28" s="124"/>
      <c r="BB28" s="129"/>
      <c r="BC28" s="129"/>
      <c r="BD28" s="132">
        <v>0.39791666666666664</v>
      </c>
      <c r="BE28" s="132">
        <v>0.17083333333333334</v>
      </c>
      <c r="BF28" s="132">
        <v>0.39305555555555555</v>
      </c>
      <c r="BG28" s="132">
        <v>0.18194444444444444</v>
      </c>
      <c r="BH28" s="132"/>
      <c r="BI28" s="132">
        <v>0.22777777777777777</v>
      </c>
      <c r="BJ28" s="132">
        <v>0.37222222222222223</v>
      </c>
      <c r="BK28" s="132"/>
      <c r="BL28" s="126">
        <f t="shared" si="2"/>
        <v>19</v>
      </c>
      <c r="BM28" s="126">
        <f t="shared" si="2"/>
        <v>19</v>
      </c>
      <c r="BN28" s="126">
        <f t="shared" si="1"/>
        <v>1</v>
      </c>
      <c r="BO28" s="126"/>
    </row>
    <row r="29" spans="1:67" ht="16.5">
      <c r="A29" s="127" t="s">
        <v>26</v>
      </c>
      <c r="B29" s="127" t="s">
        <v>41</v>
      </c>
      <c r="C29" s="128" t="s">
        <v>42</v>
      </c>
      <c r="D29" s="132">
        <v>0.3840277777777778</v>
      </c>
      <c r="E29" s="132">
        <v>0.18333333333333332</v>
      </c>
      <c r="F29" s="129"/>
      <c r="G29" s="129"/>
      <c r="H29" s="129"/>
      <c r="I29" s="129"/>
      <c r="J29" s="124"/>
      <c r="K29" s="124"/>
      <c r="L29" s="129"/>
      <c r="M29" s="129"/>
      <c r="N29" s="132">
        <v>0.38750000000000001</v>
      </c>
      <c r="O29" s="132">
        <v>0</v>
      </c>
      <c r="P29" s="132">
        <v>0.3888888888888889</v>
      </c>
      <c r="Q29" s="132">
        <v>0.19305555555555556</v>
      </c>
      <c r="R29" s="132">
        <v>0.41180555555555554</v>
      </c>
      <c r="S29" s="132">
        <v>0</v>
      </c>
      <c r="T29" s="132">
        <v>0.37916666666666665</v>
      </c>
      <c r="U29" s="132">
        <v>0.15555555555555556</v>
      </c>
      <c r="V29" s="132">
        <v>0.37291666666666667</v>
      </c>
      <c r="W29" s="132">
        <v>0.16666666666666666</v>
      </c>
      <c r="X29" s="124"/>
      <c r="Y29" s="124"/>
      <c r="Z29" s="129"/>
      <c r="AA29" s="129"/>
      <c r="AB29" s="132">
        <v>0.375</v>
      </c>
      <c r="AC29" s="132">
        <v>0.15</v>
      </c>
      <c r="AD29" s="132">
        <v>0.37777777777777777</v>
      </c>
      <c r="AE29" s="132">
        <v>0.1875</v>
      </c>
      <c r="AF29" s="132">
        <v>0.39374999999999999</v>
      </c>
      <c r="AG29" s="132">
        <v>0.17916666666666667</v>
      </c>
      <c r="AH29" s="132">
        <v>0</v>
      </c>
      <c r="AI29" s="132">
        <v>0</v>
      </c>
      <c r="AJ29" s="132">
        <v>0.3576388888888889</v>
      </c>
      <c r="AK29" s="126"/>
      <c r="AL29" s="124"/>
      <c r="AM29" s="124"/>
      <c r="AN29" s="129"/>
      <c r="AO29" s="129"/>
      <c r="AP29" s="132">
        <v>0.37291666666666667</v>
      </c>
      <c r="AQ29" s="132">
        <v>0.16250000000000001</v>
      </c>
      <c r="AR29" s="132">
        <v>0.37986111111111109</v>
      </c>
      <c r="AS29" s="132">
        <v>0.16041666666666668</v>
      </c>
      <c r="AT29" s="132">
        <v>0.39027777777777778</v>
      </c>
      <c r="AU29" s="132">
        <v>0.21666666666666667</v>
      </c>
      <c r="AV29" s="132">
        <v>0.3923611111111111</v>
      </c>
      <c r="AW29" s="132">
        <v>0.16180555555555556</v>
      </c>
      <c r="AX29" s="132">
        <v>0.38819444444444445</v>
      </c>
      <c r="AY29" s="132">
        <v>0.12916666666666668</v>
      </c>
      <c r="AZ29" s="124"/>
      <c r="BA29" s="124"/>
      <c r="BB29" s="129"/>
      <c r="BC29" s="129"/>
      <c r="BD29" s="126"/>
      <c r="BE29" s="126"/>
      <c r="BF29" s="132">
        <v>0.39305555555555555</v>
      </c>
      <c r="BG29" s="132">
        <v>0.21597222222222223</v>
      </c>
      <c r="BH29" s="132">
        <v>0.38124999999999998</v>
      </c>
      <c r="BI29" s="126"/>
      <c r="BJ29" s="132">
        <v>0.38194444444444442</v>
      </c>
      <c r="BK29" s="132">
        <v>0.17569444444444443</v>
      </c>
      <c r="BL29" s="126">
        <f t="shared" si="2"/>
        <v>19</v>
      </c>
      <c r="BM29" s="126">
        <f t="shared" si="2"/>
        <v>17</v>
      </c>
      <c r="BN29" s="126">
        <f t="shared" si="1"/>
        <v>0</v>
      </c>
      <c r="BO29" s="126"/>
    </row>
    <row r="30" spans="1:67" ht="16.5">
      <c r="A30" s="127" t="s">
        <v>43</v>
      </c>
      <c r="B30" s="127" t="s">
        <v>44</v>
      </c>
      <c r="C30" s="128" t="s">
        <v>45</v>
      </c>
      <c r="D30" s="132">
        <v>0.37083333333333335</v>
      </c>
      <c r="E30" s="132">
        <v>0.21458333333333332</v>
      </c>
      <c r="F30" s="129"/>
      <c r="G30" s="129"/>
      <c r="H30" s="129"/>
      <c r="I30" s="129"/>
      <c r="J30" s="130">
        <v>0.36180555555555555</v>
      </c>
      <c r="K30" s="124"/>
      <c r="L30" s="129"/>
      <c r="M30" s="129"/>
      <c r="N30" s="132">
        <v>0.3527777777777778</v>
      </c>
      <c r="O30" s="132">
        <v>0.12916666666666668</v>
      </c>
      <c r="P30" s="132">
        <v>0.4236111111111111</v>
      </c>
      <c r="Q30" s="126"/>
      <c r="R30" s="132">
        <v>0.34513888888888888</v>
      </c>
      <c r="S30" s="132">
        <v>0.14374999999999999</v>
      </c>
      <c r="T30" s="132">
        <v>0.37152777777777779</v>
      </c>
      <c r="U30" s="132">
        <v>0.18124999999999999</v>
      </c>
      <c r="V30" s="132">
        <v>0.35486111111111113</v>
      </c>
      <c r="W30" s="126"/>
      <c r="X30" s="124"/>
      <c r="Y30" s="124"/>
      <c r="Z30" s="129"/>
      <c r="AA30" s="129"/>
      <c r="AB30" s="132">
        <v>0.3527777777777778</v>
      </c>
      <c r="AC30" s="132">
        <v>0</v>
      </c>
      <c r="AD30" s="132">
        <v>0.4597222222222222</v>
      </c>
      <c r="AE30" s="132">
        <v>0.15</v>
      </c>
      <c r="AF30" s="132">
        <v>0.3576388888888889</v>
      </c>
      <c r="AG30" s="132">
        <v>0.16527777777777777</v>
      </c>
      <c r="AH30" s="132">
        <v>0.35833333333333334</v>
      </c>
      <c r="AI30" s="132">
        <v>0.12777777777777777</v>
      </c>
      <c r="AJ30" s="132">
        <v>0.36875000000000002</v>
      </c>
      <c r="AK30" s="132">
        <v>0.1388888888888889</v>
      </c>
      <c r="AL30" s="130">
        <v>0.37916666666666665</v>
      </c>
      <c r="AM30" s="124"/>
      <c r="AN30" s="129"/>
      <c r="AO30" s="129"/>
      <c r="AP30" s="132">
        <v>0.34722222222222221</v>
      </c>
      <c r="AQ30" s="132">
        <v>0.12847222222222221</v>
      </c>
      <c r="AR30" s="132">
        <v>0.3659722222222222</v>
      </c>
      <c r="AS30" s="132">
        <v>0.14097222222222222</v>
      </c>
      <c r="AT30" s="132">
        <v>0.35694444444444445</v>
      </c>
      <c r="AU30" s="132">
        <v>0.1736111111111111</v>
      </c>
      <c r="AV30" s="132">
        <v>0.35972222222222222</v>
      </c>
      <c r="AW30" s="132">
        <v>0.15347222222222223</v>
      </c>
      <c r="AX30" s="132">
        <v>0.36805555555555558</v>
      </c>
      <c r="AY30" s="132">
        <v>0.17847222222222223</v>
      </c>
      <c r="AZ30" s="130">
        <v>0.44513888888888886</v>
      </c>
      <c r="BA30" s="124"/>
      <c r="BB30" s="129"/>
      <c r="BC30" s="129"/>
      <c r="BD30" s="132">
        <v>0.35833333333333334</v>
      </c>
      <c r="BE30" s="132">
        <v>0.14027777777777778</v>
      </c>
      <c r="BF30" s="132">
        <v>0.36041666666666666</v>
      </c>
      <c r="BG30" s="132">
        <v>0.17708333333333334</v>
      </c>
      <c r="BH30" s="132">
        <v>0.36458333333333331</v>
      </c>
      <c r="BI30" s="132">
        <v>0.12013888888888889</v>
      </c>
      <c r="BJ30" s="132">
        <v>0.36944444444444446</v>
      </c>
      <c r="BK30" s="132">
        <v>0.125</v>
      </c>
      <c r="BL30" s="126">
        <f t="shared" si="2"/>
        <v>20</v>
      </c>
      <c r="BM30" s="126">
        <f t="shared" si="2"/>
        <v>18</v>
      </c>
      <c r="BN30" s="126">
        <f t="shared" si="1"/>
        <v>3</v>
      </c>
      <c r="BO30" s="126"/>
    </row>
    <row r="31" spans="1:67" ht="16.5">
      <c r="A31" s="127" t="s">
        <v>43</v>
      </c>
      <c r="B31" s="127" t="s">
        <v>46</v>
      </c>
      <c r="C31" s="128" t="s">
        <v>47</v>
      </c>
      <c r="D31" s="132">
        <v>0.36458333333333331</v>
      </c>
      <c r="E31" s="132">
        <v>0.16458333333333333</v>
      </c>
      <c r="F31" s="129"/>
      <c r="G31" s="129"/>
      <c r="H31" s="129"/>
      <c r="I31" s="129"/>
      <c r="J31" s="130">
        <v>0</v>
      </c>
      <c r="K31" s="124"/>
      <c r="L31" s="129"/>
      <c r="M31" s="129"/>
      <c r="N31" s="132">
        <v>0</v>
      </c>
      <c r="O31" s="132">
        <v>0</v>
      </c>
      <c r="P31" s="132">
        <v>0</v>
      </c>
      <c r="Q31" s="132">
        <v>0</v>
      </c>
      <c r="R31" s="132">
        <v>0</v>
      </c>
      <c r="S31" s="132">
        <v>0</v>
      </c>
      <c r="T31" s="132">
        <v>0.37361111111111112</v>
      </c>
      <c r="U31" s="132">
        <v>0.15</v>
      </c>
      <c r="V31" s="132">
        <v>0.3576388888888889</v>
      </c>
      <c r="W31" s="132">
        <v>0.20833333333333334</v>
      </c>
      <c r="X31" s="124"/>
      <c r="Y31" s="124"/>
      <c r="Z31" s="129"/>
      <c r="AA31" s="129"/>
      <c r="AB31" s="132">
        <v>0.36458333333333331</v>
      </c>
      <c r="AC31" s="132">
        <v>0.12847222222222221</v>
      </c>
      <c r="AD31" s="132">
        <v>0.36805555555555558</v>
      </c>
      <c r="AE31" s="132">
        <v>0.15486111111111112</v>
      </c>
      <c r="AF31" s="132">
        <v>0.36736111111111114</v>
      </c>
      <c r="AG31" s="132">
        <v>0.1388888888888889</v>
      </c>
      <c r="AH31" s="132">
        <v>0.36180555555555555</v>
      </c>
      <c r="AI31" s="132">
        <v>0.13333333333333333</v>
      </c>
      <c r="AJ31" s="132">
        <v>0.3659722222222222</v>
      </c>
      <c r="AK31" s="132">
        <v>0.16666666666666666</v>
      </c>
      <c r="AL31" s="130">
        <v>0.37916666666666665</v>
      </c>
      <c r="AM31" s="124"/>
      <c r="AN31" s="129"/>
      <c r="AO31" s="129"/>
      <c r="AP31" s="132">
        <v>0.36527777777777776</v>
      </c>
      <c r="AQ31" s="132">
        <v>0.14166666666666666</v>
      </c>
      <c r="AR31" s="132">
        <v>0.36388888888888887</v>
      </c>
      <c r="AS31" s="132">
        <v>0.13402777777777777</v>
      </c>
      <c r="AT31" s="132">
        <v>0.3659722222222222</v>
      </c>
      <c r="AU31" s="132"/>
      <c r="AV31" s="132">
        <v>0.36180555555555555</v>
      </c>
      <c r="AW31" s="126"/>
      <c r="AX31" s="132">
        <v>0.36180555555555555</v>
      </c>
      <c r="AY31" s="132">
        <v>0.14097222222222222</v>
      </c>
      <c r="AZ31" s="124"/>
      <c r="BA31" s="124"/>
      <c r="BB31" s="129"/>
      <c r="BC31" s="129"/>
      <c r="BD31" s="132">
        <v>0.36319444444444443</v>
      </c>
      <c r="BE31" s="132">
        <v>0.12986111111111112</v>
      </c>
      <c r="BF31" s="132">
        <v>0.36249999999999999</v>
      </c>
      <c r="BG31" s="132">
        <v>0.15625</v>
      </c>
      <c r="BH31" s="132">
        <v>0.36458333333333331</v>
      </c>
      <c r="BI31" s="132">
        <v>0.14722222222222223</v>
      </c>
      <c r="BJ31" s="132">
        <v>0.37083333333333335</v>
      </c>
      <c r="BK31" s="132">
        <v>0.14374999999999999</v>
      </c>
      <c r="BL31" s="126">
        <f t="shared" si="2"/>
        <v>20</v>
      </c>
      <c r="BM31" s="126">
        <f t="shared" si="2"/>
        <v>18</v>
      </c>
      <c r="BN31" s="126">
        <f t="shared" si="1"/>
        <v>2</v>
      </c>
      <c r="BO31" s="126"/>
    </row>
    <row r="32" spans="1:67" ht="16.5">
      <c r="A32" s="127" t="s">
        <v>43</v>
      </c>
      <c r="B32" s="127" t="s">
        <v>48</v>
      </c>
      <c r="C32" s="128" t="s">
        <v>49</v>
      </c>
      <c r="D32" s="132"/>
      <c r="E32" s="132">
        <v>0</v>
      </c>
      <c r="F32" s="129"/>
      <c r="G32" s="129"/>
      <c r="H32" s="129"/>
      <c r="I32" s="129"/>
      <c r="J32" s="124"/>
      <c r="K32" s="124"/>
      <c r="L32" s="129"/>
      <c r="M32" s="129"/>
      <c r="N32" s="132"/>
      <c r="O32" s="132">
        <v>0.17430555555555555</v>
      </c>
      <c r="P32" s="132">
        <v>0.36875000000000002</v>
      </c>
      <c r="Q32" s="132">
        <v>0.17916666666666667</v>
      </c>
      <c r="R32" s="126"/>
      <c r="S32" s="132">
        <v>0.14305555555555555</v>
      </c>
      <c r="T32" s="132">
        <v>0.38472222222222224</v>
      </c>
      <c r="U32" s="132">
        <v>0.17847222222222223</v>
      </c>
      <c r="V32" s="132">
        <v>0.37013888888888891</v>
      </c>
      <c r="W32" s="132">
        <v>0.19236111111111112</v>
      </c>
      <c r="X32" s="130">
        <v>0.39652777777777776</v>
      </c>
      <c r="Y32" s="124"/>
      <c r="Z32" s="129"/>
      <c r="AA32" s="129"/>
      <c r="AB32" s="132">
        <v>0.3611111111111111</v>
      </c>
      <c r="AC32" s="132">
        <v>0.17291666666666666</v>
      </c>
      <c r="AD32" s="132">
        <v>0.36527777777777776</v>
      </c>
      <c r="AE32" s="132">
        <v>0.1701388888888889</v>
      </c>
      <c r="AF32" s="126"/>
      <c r="AG32" s="132">
        <v>0.17291666666666666</v>
      </c>
      <c r="AH32" s="132">
        <v>0.35833333333333334</v>
      </c>
      <c r="AI32" s="132">
        <v>0.19166666666666668</v>
      </c>
      <c r="AJ32" s="132">
        <v>0.36180555555555555</v>
      </c>
      <c r="AK32" s="132">
        <v>0.17291666666666666</v>
      </c>
      <c r="AL32" s="124"/>
      <c r="AM32" s="124"/>
      <c r="AN32" s="129"/>
      <c r="AO32" s="129"/>
      <c r="AP32" s="126"/>
      <c r="AQ32" s="132">
        <v>0.15347222222222223</v>
      </c>
      <c r="AR32" s="132">
        <v>0.3576388888888889</v>
      </c>
      <c r="AS32" s="132">
        <v>0.23125000000000001</v>
      </c>
      <c r="AT32" s="132">
        <v>0.39583333333333331</v>
      </c>
      <c r="AU32" s="132">
        <v>0.1736111111111111</v>
      </c>
      <c r="AV32" s="132">
        <v>0.37222222222222223</v>
      </c>
      <c r="AW32" s="132">
        <v>0.12986111111111112</v>
      </c>
      <c r="AX32" s="132">
        <v>0.36458333333333331</v>
      </c>
      <c r="AY32" s="126"/>
      <c r="AZ32" s="124"/>
      <c r="BA32" s="124"/>
      <c r="BB32" s="129"/>
      <c r="BC32" s="129"/>
      <c r="BD32" s="132">
        <v>0.36736111111111114</v>
      </c>
      <c r="BE32" s="126"/>
      <c r="BF32" s="132">
        <v>0.37708333333333333</v>
      </c>
      <c r="BG32" s="132">
        <v>0.17916666666666667</v>
      </c>
      <c r="BH32" s="126"/>
      <c r="BI32" s="132">
        <v>0.16388888888888889</v>
      </c>
      <c r="BJ32" s="132">
        <v>0.38472222222222224</v>
      </c>
      <c r="BK32" s="132">
        <v>0.18055555555555555</v>
      </c>
      <c r="BL32" s="126">
        <f t="shared" si="2"/>
        <v>14</v>
      </c>
      <c r="BM32" s="126">
        <f t="shared" si="2"/>
        <v>18</v>
      </c>
      <c r="BN32" s="126">
        <f t="shared" si="1"/>
        <v>1</v>
      </c>
      <c r="BO32" s="126"/>
    </row>
    <row r="33" spans="1:67" ht="16.5">
      <c r="A33" s="127" t="s">
        <v>43</v>
      </c>
      <c r="B33" s="127" t="s">
        <v>48</v>
      </c>
      <c r="C33" s="128" t="s">
        <v>50</v>
      </c>
      <c r="D33" s="126"/>
      <c r="E33" s="126"/>
      <c r="F33" s="129"/>
      <c r="G33" s="129"/>
      <c r="H33" s="129"/>
      <c r="I33" s="129"/>
      <c r="J33" s="124"/>
      <c r="K33" s="124"/>
      <c r="L33" s="129"/>
      <c r="M33" s="129"/>
      <c r="N33" s="126"/>
      <c r="O33" s="126"/>
      <c r="P33" s="126"/>
      <c r="Q33" s="126"/>
      <c r="R33" s="132">
        <v>0.37638888888888888</v>
      </c>
      <c r="S33" s="126"/>
      <c r="T33" s="132">
        <v>0.35833333333333334</v>
      </c>
      <c r="U33" s="126"/>
      <c r="V33" s="126"/>
      <c r="W33" s="126"/>
      <c r="X33" s="124"/>
      <c r="Y33" s="124"/>
      <c r="Z33" s="129"/>
      <c r="AA33" s="129"/>
      <c r="AB33" s="126"/>
      <c r="AC33" s="126"/>
      <c r="AD33" s="126"/>
      <c r="AE33" s="126"/>
      <c r="AF33" s="132">
        <v>0.36041666666666666</v>
      </c>
      <c r="AG33" s="126"/>
      <c r="AH33" s="126"/>
      <c r="AI33" s="126"/>
      <c r="AJ33" s="132">
        <v>0.39861111111111114</v>
      </c>
      <c r="AK33" s="126"/>
      <c r="AL33" s="124"/>
      <c r="AM33" s="124"/>
      <c r="AN33" s="129"/>
      <c r="AO33" s="129"/>
      <c r="AP33" s="132">
        <v>0.38819444444444445</v>
      </c>
      <c r="AQ33" s="126"/>
      <c r="AR33" s="126"/>
      <c r="AS33" s="126"/>
      <c r="AT33" s="126"/>
      <c r="AU33" s="126"/>
      <c r="AV33" s="126"/>
      <c r="AW33" s="126"/>
      <c r="AX33" s="126"/>
      <c r="AY33" s="126"/>
      <c r="AZ33" s="124"/>
      <c r="BA33" s="124"/>
      <c r="BB33" s="129"/>
      <c r="BC33" s="129"/>
      <c r="BD33" s="126"/>
      <c r="BE33" s="126"/>
      <c r="BF33" s="126"/>
      <c r="BG33" s="126"/>
      <c r="BH33" s="132">
        <v>0.38263888888888886</v>
      </c>
      <c r="BI33" s="126"/>
      <c r="BJ33" s="126"/>
      <c r="BK33" s="126"/>
      <c r="BL33" s="126">
        <f t="shared" si="2"/>
        <v>6</v>
      </c>
      <c r="BM33" s="126">
        <f t="shared" si="2"/>
        <v>0</v>
      </c>
      <c r="BN33" s="126">
        <f t="shared" si="1"/>
        <v>0</v>
      </c>
      <c r="BO33" s="126"/>
    </row>
    <row r="34" spans="1:67" ht="16.5">
      <c r="A34" s="127" t="s">
        <v>43</v>
      </c>
      <c r="B34" s="127" t="s">
        <v>51</v>
      </c>
      <c r="C34" s="128" t="s">
        <v>52</v>
      </c>
      <c r="D34" s="132">
        <v>0.36041666666666666</v>
      </c>
      <c r="E34" s="126"/>
      <c r="F34" s="129"/>
      <c r="G34" s="129"/>
      <c r="H34" s="129"/>
      <c r="I34" s="129"/>
      <c r="J34" s="124"/>
      <c r="K34" s="124"/>
      <c r="L34" s="129"/>
      <c r="M34" s="129"/>
      <c r="N34" s="132">
        <v>0.36666666666666664</v>
      </c>
      <c r="O34" s="132">
        <v>0.14027777777777778</v>
      </c>
      <c r="P34" s="132">
        <v>0.35416666666666669</v>
      </c>
      <c r="Q34" s="132">
        <v>0.15972222222222221</v>
      </c>
      <c r="R34" s="132">
        <v>0.35069444444444442</v>
      </c>
      <c r="S34" s="126"/>
      <c r="T34" s="132">
        <v>0.34930555555555554</v>
      </c>
      <c r="U34" s="126"/>
      <c r="V34" s="132">
        <v>0.35486111111111113</v>
      </c>
      <c r="W34" s="126"/>
      <c r="X34" s="130">
        <v>0.37291666666666667</v>
      </c>
      <c r="Y34" s="124"/>
      <c r="Z34" s="129"/>
      <c r="AA34" s="129"/>
      <c r="AB34" s="126"/>
      <c r="AC34" s="132">
        <v>0.125</v>
      </c>
      <c r="AD34" s="132">
        <v>0.3527777777777778</v>
      </c>
      <c r="AE34" s="132">
        <v>0.1361111111111111</v>
      </c>
      <c r="AF34" s="126"/>
      <c r="AG34" s="132">
        <v>0.15069444444444444</v>
      </c>
      <c r="AH34" s="132">
        <v>0.35625000000000001</v>
      </c>
      <c r="AI34" s="132">
        <v>0.15416666666666667</v>
      </c>
      <c r="AJ34" s="132">
        <v>0.35416666666666669</v>
      </c>
      <c r="AK34" s="126"/>
      <c r="AL34" s="124"/>
      <c r="AM34" s="124"/>
      <c r="AN34" s="129"/>
      <c r="AO34" s="129"/>
      <c r="AP34" s="132">
        <v>0.34861111111111109</v>
      </c>
      <c r="AQ34" s="132">
        <v>0.14097222222222222</v>
      </c>
      <c r="AR34" s="132">
        <v>0.37569444444444444</v>
      </c>
      <c r="AS34" s="132">
        <v>0.13958333333333334</v>
      </c>
      <c r="AT34" s="132">
        <v>0.34791666666666665</v>
      </c>
      <c r="AU34" s="126"/>
      <c r="AV34" s="132">
        <v>0.34444444444444444</v>
      </c>
      <c r="AW34" s="126"/>
      <c r="AX34" s="132">
        <v>0.37291666666666667</v>
      </c>
      <c r="AY34" s="126"/>
      <c r="AZ34" s="124"/>
      <c r="BA34" s="124"/>
      <c r="BB34" s="129"/>
      <c r="BC34" s="129"/>
      <c r="BD34" s="126"/>
      <c r="BE34" s="126"/>
      <c r="BF34" s="132">
        <v>0.34375</v>
      </c>
      <c r="BG34" s="132">
        <v>0.18888888888888888</v>
      </c>
      <c r="BH34" s="132">
        <v>0.35416666666666669</v>
      </c>
      <c r="BI34" s="132">
        <v>0.15138888888888888</v>
      </c>
      <c r="BJ34" s="132">
        <v>0.42222222222222222</v>
      </c>
      <c r="BK34" s="132">
        <v>0.13750000000000001</v>
      </c>
      <c r="BL34" s="126">
        <f t="shared" si="2"/>
        <v>17</v>
      </c>
      <c r="BM34" s="126">
        <f t="shared" si="2"/>
        <v>11</v>
      </c>
      <c r="BN34" s="126">
        <f t="shared" si="1"/>
        <v>1</v>
      </c>
      <c r="BO34" s="126"/>
    </row>
    <row r="35" spans="1:67" ht="16.5">
      <c r="A35" s="127" t="s">
        <v>43</v>
      </c>
      <c r="B35" s="127" t="s">
        <v>51</v>
      </c>
      <c r="C35" s="128" t="s">
        <v>53</v>
      </c>
      <c r="D35" s="126"/>
      <c r="E35" s="126"/>
      <c r="F35" s="129"/>
      <c r="G35" s="129"/>
      <c r="H35" s="129"/>
      <c r="I35" s="129"/>
      <c r="J35" s="124"/>
      <c r="K35" s="124"/>
      <c r="L35" s="129"/>
      <c r="M35" s="129"/>
      <c r="N35" s="126"/>
      <c r="O35" s="126"/>
      <c r="P35" s="126"/>
      <c r="Q35" s="126"/>
      <c r="R35" s="126"/>
      <c r="S35" s="126"/>
      <c r="T35" s="126"/>
      <c r="U35" s="126"/>
      <c r="V35" s="132"/>
      <c r="W35" s="126"/>
      <c r="X35" s="124"/>
      <c r="Y35" s="124"/>
      <c r="Z35" s="129"/>
      <c r="AA35" s="129"/>
      <c r="AB35" s="132">
        <v>0.35138888888888886</v>
      </c>
      <c r="AC35" s="126"/>
      <c r="AD35" s="126"/>
      <c r="AE35" s="126"/>
      <c r="AF35" s="132">
        <v>0.34930555555555554</v>
      </c>
      <c r="AG35" s="126"/>
      <c r="AH35" s="126"/>
      <c r="AI35" s="126"/>
      <c r="AJ35" s="126"/>
      <c r="AK35" s="126"/>
      <c r="AL35" s="124"/>
      <c r="AM35" s="124"/>
      <c r="AN35" s="129"/>
      <c r="AO35" s="129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4"/>
      <c r="BA35" s="124"/>
      <c r="BB35" s="129"/>
      <c r="BC35" s="129"/>
      <c r="BD35" s="126"/>
      <c r="BE35" s="126"/>
      <c r="BF35" s="126"/>
      <c r="BG35" s="126"/>
      <c r="BH35" s="126"/>
      <c r="BI35" s="126"/>
      <c r="BJ35" s="132">
        <v>0.37083333333333335</v>
      </c>
      <c r="BK35" s="126"/>
      <c r="BL35" s="126">
        <f t="shared" si="2"/>
        <v>3</v>
      </c>
      <c r="BM35" s="126">
        <f t="shared" si="2"/>
        <v>0</v>
      </c>
      <c r="BN35" s="126">
        <f t="shared" si="1"/>
        <v>0</v>
      </c>
      <c r="BO35" s="126"/>
    </row>
    <row r="36" spans="1:67" ht="16.5">
      <c r="A36" s="127" t="s">
        <v>43</v>
      </c>
      <c r="B36" s="127" t="s">
        <v>54</v>
      </c>
      <c r="C36" s="128" t="s">
        <v>55</v>
      </c>
      <c r="D36" s="132">
        <v>0.43194444444444446</v>
      </c>
      <c r="E36" s="126"/>
      <c r="F36" s="129"/>
      <c r="G36" s="129"/>
      <c r="H36" s="129"/>
      <c r="I36" s="129"/>
      <c r="J36" s="124"/>
      <c r="K36" s="124"/>
      <c r="L36" s="129"/>
      <c r="M36" s="129"/>
      <c r="N36" s="132">
        <v>0.34930555555555554</v>
      </c>
      <c r="O36" s="132">
        <v>0.1361111111111111</v>
      </c>
      <c r="P36" s="132">
        <v>0.34930555555555554</v>
      </c>
      <c r="Q36" s="132">
        <v>0.13680555555555557</v>
      </c>
      <c r="R36" s="132">
        <v>0.34513888888888888</v>
      </c>
      <c r="S36" s="132">
        <v>0.12152777777777778</v>
      </c>
      <c r="T36" s="132">
        <v>0.35625000000000001</v>
      </c>
      <c r="U36" s="126"/>
      <c r="V36" s="132">
        <v>0.3611111111111111</v>
      </c>
      <c r="W36" s="132">
        <v>0.15208333333333332</v>
      </c>
      <c r="X36" s="124"/>
      <c r="Y36" s="124"/>
      <c r="Z36" s="129"/>
      <c r="AA36" s="129"/>
      <c r="AB36" s="132">
        <v>0.32708333333333334</v>
      </c>
      <c r="AC36" s="132">
        <v>0.13125000000000001</v>
      </c>
      <c r="AD36" s="132">
        <v>0.34652777777777777</v>
      </c>
      <c r="AE36" s="132">
        <v>0.15208333333333332</v>
      </c>
      <c r="AF36" s="132">
        <v>0.35208333333333336</v>
      </c>
      <c r="AG36" s="132">
        <v>0.1451388888888889</v>
      </c>
      <c r="AH36" s="132">
        <v>0.36944444444444446</v>
      </c>
      <c r="AI36" s="132">
        <v>0.12847222222222221</v>
      </c>
      <c r="AJ36" s="132">
        <v>0.35</v>
      </c>
      <c r="AK36" s="132">
        <v>0.12638888888888888</v>
      </c>
      <c r="AL36" s="130">
        <v>0.52500000000000002</v>
      </c>
      <c r="AM36" s="124"/>
      <c r="AN36" s="129"/>
      <c r="AO36" s="129"/>
      <c r="AP36" s="132">
        <v>0.39166666666666666</v>
      </c>
      <c r="AQ36" s="132">
        <v>0.14930555555555555</v>
      </c>
      <c r="AR36" s="132">
        <v>0.34861111111111109</v>
      </c>
      <c r="AS36" s="132">
        <v>0.15555555555555556</v>
      </c>
      <c r="AT36" s="132">
        <v>0.34444444444444444</v>
      </c>
      <c r="AU36" s="132">
        <v>0.12777777777777777</v>
      </c>
      <c r="AV36" s="132">
        <v>0.33680555555555558</v>
      </c>
      <c r="AW36" s="132">
        <v>0.12569444444444444</v>
      </c>
      <c r="AX36" s="132">
        <v>0.34097222222222223</v>
      </c>
      <c r="AY36" s="132">
        <v>0.1451388888888889</v>
      </c>
      <c r="AZ36" s="124"/>
      <c r="BA36" s="124"/>
      <c r="BB36" s="129"/>
      <c r="BC36" s="129"/>
      <c r="BD36" s="132">
        <v>0.32361111111111113</v>
      </c>
      <c r="BE36" s="132">
        <v>0.12847222222222221</v>
      </c>
      <c r="BF36" s="132">
        <v>0.3347222222222222</v>
      </c>
      <c r="BG36" s="132">
        <v>0.12569444444444444</v>
      </c>
      <c r="BH36" s="132">
        <v>0.33611111111111114</v>
      </c>
      <c r="BI36" s="132">
        <v>0.13750000000000001</v>
      </c>
      <c r="BJ36" s="132">
        <v>0.40555555555555556</v>
      </c>
      <c r="BK36" s="132">
        <v>9.7916666666666666E-2</v>
      </c>
      <c r="BL36" s="126">
        <f t="shared" si="2"/>
        <v>20</v>
      </c>
      <c r="BM36" s="126">
        <f t="shared" si="2"/>
        <v>18</v>
      </c>
      <c r="BN36" s="126">
        <f t="shared" si="1"/>
        <v>1</v>
      </c>
      <c r="BO36" s="126"/>
    </row>
    <row r="37" spans="1:67" ht="16.5">
      <c r="A37" s="127" t="s">
        <v>56</v>
      </c>
      <c r="B37" s="127" t="s">
        <v>57</v>
      </c>
      <c r="C37" s="128" t="s">
        <v>58</v>
      </c>
      <c r="D37" s="126"/>
      <c r="E37" s="126"/>
      <c r="F37" s="129"/>
      <c r="G37" s="129"/>
      <c r="H37" s="129"/>
      <c r="I37" s="129"/>
      <c r="J37" s="124"/>
      <c r="K37" s="124"/>
      <c r="L37" s="129"/>
      <c r="M37" s="129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4"/>
      <c r="Y37" s="124"/>
      <c r="Z37" s="129"/>
      <c r="AA37" s="129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4"/>
      <c r="AM37" s="124"/>
      <c r="AN37" s="129"/>
      <c r="AO37" s="129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4"/>
      <c r="BA37" s="124"/>
      <c r="BB37" s="129"/>
      <c r="BC37" s="129"/>
      <c r="BD37" s="126"/>
      <c r="BE37" s="126"/>
      <c r="BF37" s="126"/>
      <c r="BG37" s="126"/>
      <c r="BH37" s="126"/>
      <c r="BI37" s="126"/>
      <c r="BJ37" s="126"/>
      <c r="BK37" s="126"/>
      <c r="BL37" s="126">
        <f t="shared" si="2"/>
        <v>0</v>
      </c>
      <c r="BM37" s="126">
        <f t="shared" si="2"/>
        <v>0</v>
      </c>
      <c r="BN37" s="126">
        <f t="shared" si="1"/>
        <v>0</v>
      </c>
      <c r="BO37" s="126"/>
    </row>
    <row r="38" spans="1:67" ht="16.5">
      <c r="A38" s="127" t="s">
        <v>56</v>
      </c>
      <c r="B38" s="127" t="s">
        <v>57</v>
      </c>
      <c r="C38" s="128" t="s">
        <v>59</v>
      </c>
      <c r="D38" s="132">
        <v>0.36527777777777776</v>
      </c>
      <c r="E38" s="132">
        <v>0.26319444444444445</v>
      </c>
      <c r="F38" s="129"/>
      <c r="G38" s="129"/>
      <c r="H38" s="129"/>
      <c r="I38" s="129"/>
      <c r="J38" s="130">
        <v>0.37222222222222223</v>
      </c>
      <c r="K38" s="124"/>
      <c r="L38" s="129"/>
      <c r="M38" s="129"/>
      <c r="N38" s="132">
        <v>0.37430555555555556</v>
      </c>
      <c r="O38" s="132">
        <v>0.17499999999999999</v>
      </c>
      <c r="P38" s="132">
        <v>0.38472222222222224</v>
      </c>
      <c r="Q38" s="126"/>
      <c r="R38" s="132">
        <v>0.37013888888888891</v>
      </c>
      <c r="S38" s="126"/>
      <c r="T38" s="132">
        <v>0.42083333333333334</v>
      </c>
      <c r="U38" s="132">
        <v>0.12986111111111112</v>
      </c>
      <c r="V38" s="132">
        <v>0.39305555555555555</v>
      </c>
      <c r="W38" s="126"/>
      <c r="X38" s="124"/>
      <c r="Y38" s="124"/>
      <c r="Z38" s="129"/>
      <c r="AA38" s="129"/>
      <c r="AB38" s="132">
        <v>0.37291666666666667</v>
      </c>
      <c r="AC38" s="132">
        <v>0.30694444444444446</v>
      </c>
      <c r="AD38" s="132">
        <v>0.51527777777777772</v>
      </c>
      <c r="AE38" s="132">
        <v>0.16597222222222222</v>
      </c>
      <c r="AF38" s="132">
        <v>0.40138888888888891</v>
      </c>
      <c r="AG38" s="132">
        <v>0.21527777777777779</v>
      </c>
      <c r="AH38" s="132">
        <v>0.38750000000000001</v>
      </c>
      <c r="AI38" s="132">
        <v>0.10694444444444444</v>
      </c>
      <c r="AJ38" s="132">
        <v>0.39513888888888887</v>
      </c>
      <c r="AK38" s="132">
        <v>0.16597222222222222</v>
      </c>
      <c r="AL38" s="130">
        <v>0.40555555555555556</v>
      </c>
      <c r="AM38" s="124"/>
      <c r="AN38" s="129"/>
      <c r="AO38" s="129"/>
      <c r="AP38" s="132">
        <v>0.39861111111111114</v>
      </c>
      <c r="AQ38" s="132">
        <v>0.23194444444444445</v>
      </c>
      <c r="AR38" s="132">
        <v>0.39513888888888887</v>
      </c>
      <c r="AS38" s="132">
        <v>0.17916666666666667</v>
      </c>
      <c r="AT38" s="132">
        <v>0.39027777777777778</v>
      </c>
      <c r="AU38" s="132">
        <v>0.21249999999999999</v>
      </c>
      <c r="AV38" s="132">
        <v>0.40277777777777779</v>
      </c>
      <c r="AW38" s="132">
        <v>0.16041666666666668</v>
      </c>
      <c r="AX38" s="132">
        <v>0.41319444444444442</v>
      </c>
      <c r="AY38" s="132">
        <v>0.21111111111111111</v>
      </c>
      <c r="AZ38" s="124"/>
      <c r="BA38" s="124"/>
      <c r="BB38" s="129"/>
      <c r="BC38" s="129"/>
      <c r="BD38" s="132">
        <v>0.40833333333333333</v>
      </c>
      <c r="BE38" s="132">
        <v>0.1673611111111111</v>
      </c>
      <c r="BF38" s="132">
        <v>0.37986111111111109</v>
      </c>
      <c r="BG38" s="132">
        <v>0.18263888888888888</v>
      </c>
      <c r="BH38" s="132">
        <v>0.39166666666666666</v>
      </c>
      <c r="BI38" s="132">
        <v>0.18541666666666667</v>
      </c>
      <c r="BJ38" s="132">
        <v>0.40972222222222221</v>
      </c>
      <c r="BK38" s="126"/>
      <c r="BL38" s="126">
        <f t="shared" si="2"/>
        <v>20</v>
      </c>
      <c r="BM38" s="126">
        <f t="shared" si="2"/>
        <v>16</v>
      </c>
      <c r="BN38" s="126">
        <f t="shared" si="1"/>
        <v>2</v>
      </c>
      <c r="BO38" s="126"/>
    </row>
    <row r="39" spans="1:67" ht="16.5">
      <c r="A39" s="127" t="s">
        <v>56</v>
      </c>
      <c r="B39" s="127" t="s">
        <v>60</v>
      </c>
      <c r="C39" s="128" t="s">
        <v>61</v>
      </c>
      <c r="D39" s="126"/>
      <c r="E39" s="126"/>
      <c r="F39" s="129"/>
      <c r="G39" s="129"/>
      <c r="H39" s="129"/>
      <c r="I39" s="129"/>
      <c r="J39" s="124"/>
      <c r="K39" s="124"/>
      <c r="L39" s="129"/>
      <c r="M39" s="129"/>
      <c r="N39" s="132">
        <v>0.35833333333333334</v>
      </c>
      <c r="O39" s="132">
        <v>0.17152777777777778</v>
      </c>
      <c r="P39" s="126"/>
      <c r="Q39" s="126"/>
      <c r="R39" s="132">
        <v>0.34513888888888888</v>
      </c>
      <c r="S39" s="132">
        <v>0.16805555555555557</v>
      </c>
      <c r="T39" s="126"/>
      <c r="U39" s="126"/>
      <c r="V39" s="132">
        <v>0.34236111111111112</v>
      </c>
      <c r="W39" s="132">
        <v>0.16319444444444445</v>
      </c>
      <c r="X39" s="124"/>
      <c r="Y39" s="124"/>
      <c r="Z39" s="129"/>
      <c r="AA39" s="129"/>
      <c r="AB39" s="126"/>
      <c r="AC39" s="126"/>
      <c r="AD39" s="126"/>
      <c r="AE39" s="126"/>
      <c r="AF39" s="132">
        <v>0.36666666666666664</v>
      </c>
      <c r="AG39" s="132">
        <v>0.15972222222222221</v>
      </c>
      <c r="AH39" s="126"/>
      <c r="AI39" s="126"/>
      <c r="AJ39" s="132">
        <v>0.38541666666666669</v>
      </c>
      <c r="AK39" s="126"/>
      <c r="AL39" s="124"/>
      <c r="AM39" s="124"/>
      <c r="AN39" s="129"/>
      <c r="AO39" s="129"/>
      <c r="AP39" s="126"/>
      <c r="AQ39" s="126"/>
      <c r="AR39" s="132">
        <v>0.36319444444444443</v>
      </c>
      <c r="AS39" s="132">
        <v>0.16944444444444445</v>
      </c>
      <c r="AT39" s="126"/>
      <c r="AU39" s="126"/>
      <c r="AV39" s="132">
        <v>0.37222222222222223</v>
      </c>
      <c r="AW39" s="132">
        <v>0.17986111111111111</v>
      </c>
      <c r="AX39" s="126"/>
      <c r="AY39" s="126"/>
      <c r="AZ39" s="124"/>
      <c r="BA39" s="124"/>
      <c r="BB39" s="129"/>
      <c r="BC39" s="129"/>
      <c r="BD39" s="132">
        <v>0.3576388888888889</v>
      </c>
      <c r="BE39" s="132">
        <v>0.1673611111111111</v>
      </c>
      <c r="BF39" s="126"/>
      <c r="BG39" s="126"/>
      <c r="BH39" s="132">
        <v>0.3576388888888889</v>
      </c>
      <c r="BI39" s="132"/>
      <c r="BJ39" s="132">
        <v>0.16041666666666668</v>
      </c>
      <c r="BK39" s="126"/>
      <c r="BL39" s="126">
        <f t="shared" si="2"/>
        <v>10</v>
      </c>
      <c r="BM39" s="126">
        <f t="shared" si="2"/>
        <v>7</v>
      </c>
      <c r="BN39" s="126">
        <f t="shared" si="1"/>
        <v>0</v>
      </c>
      <c r="BO39" s="126"/>
    </row>
    <row r="40" spans="1:67" ht="16.5">
      <c r="A40" s="127" t="s">
        <v>56</v>
      </c>
      <c r="B40" s="127" t="s">
        <v>60</v>
      </c>
      <c r="C40" s="128" t="s">
        <v>62</v>
      </c>
      <c r="D40" s="132">
        <v>0.38263888888888886</v>
      </c>
      <c r="E40" s="126"/>
      <c r="F40" s="129"/>
      <c r="G40" s="129"/>
      <c r="H40" s="129"/>
      <c r="I40" s="129"/>
      <c r="J40" s="124"/>
      <c r="K40" s="124"/>
      <c r="L40" s="129"/>
      <c r="M40" s="129"/>
      <c r="N40" s="126"/>
      <c r="O40" s="126"/>
      <c r="P40" s="132">
        <v>0.35069444444444442</v>
      </c>
      <c r="Q40" s="132">
        <v>0.21597222222222223</v>
      </c>
      <c r="R40" s="126"/>
      <c r="S40" s="126"/>
      <c r="T40" s="132">
        <v>0.34027777777777779</v>
      </c>
      <c r="U40" s="132">
        <v>0.21111111111111111</v>
      </c>
      <c r="V40" s="126"/>
      <c r="W40" s="126"/>
      <c r="X40" s="124"/>
      <c r="Y40" s="124"/>
      <c r="Z40" s="129"/>
      <c r="AA40" s="129"/>
      <c r="AB40" s="132">
        <v>0.35694444444444445</v>
      </c>
      <c r="AC40" s="132">
        <v>0.23472222222222222</v>
      </c>
      <c r="AD40" s="132">
        <v>0.36875000000000002</v>
      </c>
      <c r="AE40" s="132">
        <v>0.14652777777777778</v>
      </c>
      <c r="AF40" s="126"/>
      <c r="AG40" s="126"/>
      <c r="AH40" s="132">
        <v>0.35625000000000001</v>
      </c>
      <c r="AI40" s="132">
        <v>0.1736111111111111</v>
      </c>
      <c r="AJ40" s="126"/>
      <c r="AK40" s="126"/>
      <c r="AL40" s="124"/>
      <c r="AM40" s="124"/>
      <c r="AN40" s="129"/>
      <c r="AO40" s="129"/>
      <c r="AP40" s="132">
        <v>0.36319444444444443</v>
      </c>
      <c r="AQ40" s="132">
        <v>0.18888888888888888</v>
      </c>
      <c r="AR40" s="126"/>
      <c r="AS40" s="126"/>
      <c r="AT40" s="132">
        <v>0.36527777777777776</v>
      </c>
      <c r="AU40" s="132">
        <v>0.18124999999999999</v>
      </c>
      <c r="AV40" s="126"/>
      <c r="AW40" s="126"/>
      <c r="AX40" s="132">
        <v>0.37013888888888891</v>
      </c>
      <c r="AY40" s="132">
        <v>0.23749999999999999</v>
      </c>
      <c r="AZ40" s="124"/>
      <c r="BA40" s="124"/>
      <c r="BB40" s="129"/>
      <c r="BC40" s="129"/>
      <c r="BD40" s="126"/>
      <c r="BE40" s="126"/>
      <c r="BF40" s="132">
        <v>0.35555555555555557</v>
      </c>
      <c r="BG40" s="132">
        <v>0.1701388888888889</v>
      </c>
      <c r="BH40" s="126"/>
      <c r="BI40" s="132">
        <v>0.37847222222222221</v>
      </c>
      <c r="BJ40" s="132"/>
      <c r="BK40" s="132">
        <v>0.2013888888888889</v>
      </c>
      <c r="BL40" s="126">
        <f t="shared" si="2"/>
        <v>10</v>
      </c>
      <c r="BM40" s="126">
        <f t="shared" si="2"/>
        <v>11</v>
      </c>
      <c r="BN40" s="126">
        <f t="shared" si="1"/>
        <v>0</v>
      </c>
      <c r="BO40" s="126"/>
    </row>
    <row r="41" spans="1:67" ht="16.5">
      <c r="A41" s="127" t="s">
        <v>56</v>
      </c>
      <c r="B41" s="127" t="s">
        <v>63</v>
      </c>
      <c r="C41" s="128" t="s">
        <v>64</v>
      </c>
      <c r="D41" s="126"/>
      <c r="E41" s="132">
        <v>0.22152777777777777</v>
      </c>
      <c r="F41" s="129"/>
      <c r="G41" s="129"/>
      <c r="H41" s="129"/>
      <c r="I41" s="129"/>
      <c r="J41" s="124"/>
      <c r="K41" s="124"/>
      <c r="L41" s="129"/>
      <c r="M41" s="129"/>
      <c r="N41" s="126"/>
      <c r="O41" s="126"/>
      <c r="P41" s="126"/>
      <c r="Q41" s="126"/>
      <c r="R41" s="132">
        <v>0.36041666666666666</v>
      </c>
      <c r="S41" s="132">
        <v>0.1986111111111111</v>
      </c>
      <c r="T41" s="132">
        <v>0.40347222222222223</v>
      </c>
      <c r="U41" s="132">
        <v>0.21736111111111112</v>
      </c>
      <c r="V41" s="126"/>
      <c r="W41" s="126"/>
      <c r="X41" s="124"/>
      <c r="Y41" s="124"/>
      <c r="Z41" s="129"/>
      <c r="AA41" s="129"/>
      <c r="AB41" s="126"/>
      <c r="AC41" s="132">
        <v>0.24652777777777779</v>
      </c>
      <c r="AD41" s="126"/>
      <c r="AE41" s="126"/>
      <c r="AF41" s="126"/>
      <c r="AG41" s="132">
        <v>0.36527777777777776</v>
      </c>
      <c r="AH41" s="126"/>
      <c r="AI41" s="126"/>
      <c r="AJ41" s="126"/>
      <c r="AK41" s="132">
        <v>0.24583333333333332</v>
      </c>
      <c r="AL41" s="124"/>
      <c r="AM41" s="124"/>
      <c r="AN41" s="129"/>
      <c r="AO41" s="129"/>
      <c r="AP41" s="126"/>
      <c r="AQ41" s="132">
        <v>0.14930555555555555</v>
      </c>
      <c r="AR41" s="132">
        <v>0.41666666666666669</v>
      </c>
      <c r="AS41" s="132">
        <v>0.15277777777777779</v>
      </c>
      <c r="AT41" s="126"/>
      <c r="AU41" s="126"/>
      <c r="AV41" s="132">
        <v>0.40972222222222221</v>
      </c>
      <c r="AW41" s="132">
        <v>0.21458333333333332</v>
      </c>
      <c r="AX41" s="132">
        <v>0.43888888888888888</v>
      </c>
      <c r="AY41" s="132">
        <v>0.18541666666666667</v>
      </c>
      <c r="AZ41" s="124"/>
      <c r="BA41" s="124"/>
      <c r="BB41" s="129"/>
      <c r="BC41" s="129"/>
      <c r="BD41" s="132">
        <v>0.45555555555555555</v>
      </c>
      <c r="BE41" s="132">
        <v>0.26874999999999999</v>
      </c>
      <c r="BF41" s="126"/>
      <c r="BG41" s="132">
        <v>0.27291666666666664</v>
      </c>
      <c r="BH41" s="132">
        <v>0.36249999999999999</v>
      </c>
      <c r="BI41" s="126"/>
      <c r="BJ41" s="132">
        <v>0.43541666666666667</v>
      </c>
      <c r="BK41" s="126"/>
      <c r="BL41" s="126">
        <f t="shared" si="2"/>
        <v>8</v>
      </c>
      <c r="BM41" s="126">
        <f t="shared" si="2"/>
        <v>12</v>
      </c>
      <c r="BN41" s="126">
        <f t="shared" si="1"/>
        <v>0</v>
      </c>
      <c r="BO41" s="126"/>
    </row>
    <row r="42" spans="1:67" ht="16.5">
      <c r="A42" s="127" t="s">
        <v>56</v>
      </c>
      <c r="B42" s="127" t="s">
        <v>63</v>
      </c>
      <c r="C42" s="128" t="s">
        <v>65</v>
      </c>
      <c r="D42" s="132">
        <v>0.37777777777777777</v>
      </c>
      <c r="E42" s="126"/>
      <c r="F42" s="129"/>
      <c r="G42" s="129"/>
      <c r="H42" s="129"/>
      <c r="I42" s="129"/>
      <c r="J42" s="124"/>
      <c r="K42" s="124"/>
      <c r="L42" s="129"/>
      <c r="M42" s="129"/>
      <c r="N42" s="132">
        <v>0.37291666666666667</v>
      </c>
      <c r="O42" s="126"/>
      <c r="P42" s="126"/>
      <c r="Q42" s="126"/>
      <c r="R42" s="126"/>
      <c r="S42" s="126"/>
      <c r="T42" s="126"/>
      <c r="U42" s="126"/>
      <c r="V42" s="126"/>
      <c r="W42" s="126"/>
      <c r="X42" s="124"/>
      <c r="Y42" s="124"/>
      <c r="Z42" s="129"/>
      <c r="AA42" s="129"/>
      <c r="AB42" s="126"/>
      <c r="AC42" s="126"/>
      <c r="AD42" s="132">
        <v>0.41041666666666665</v>
      </c>
      <c r="AE42" s="132">
        <v>0.34027777777777779</v>
      </c>
      <c r="AF42" s="132">
        <v>0.38472222222222224</v>
      </c>
      <c r="AG42" s="126"/>
      <c r="AH42" s="126"/>
      <c r="AI42" s="126"/>
      <c r="AJ42" s="132">
        <v>0.3576388888888889</v>
      </c>
      <c r="AK42" s="126"/>
      <c r="AL42" s="124"/>
      <c r="AM42" s="124"/>
      <c r="AN42" s="129"/>
      <c r="AO42" s="129"/>
      <c r="AP42" s="126"/>
      <c r="AQ42" s="126"/>
      <c r="AR42" s="126"/>
      <c r="AS42" s="126"/>
      <c r="AT42" s="132">
        <v>0.36875000000000002</v>
      </c>
      <c r="AU42" s="126"/>
      <c r="AV42" s="126"/>
      <c r="AW42" s="126"/>
      <c r="AX42" s="126"/>
      <c r="AY42" s="126"/>
      <c r="AZ42" s="124"/>
      <c r="BA42" s="124"/>
      <c r="BB42" s="129"/>
      <c r="BC42" s="129"/>
      <c r="BD42" s="126"/>
      <c r="BE42" s="126"/>
      <c r="BF42" s="132">
        <v>0.45</v>
      </c>
      <c r="BG42" s="126"/>
      <c r="BH42" s="126"/>
      <c r="BI42" s="126"/>
      <c r="BJ42" s="126"/>
      <c r="BK42" s="126"/>
      <c r="BL42" s="126">
        <f t="shared" si="2"/>
        <v>7</v>
      </c>
      <c r="BM42" s="126">
        <f t="shared" si="2"/>
        <v>1</v>
      </c>
      <c r="BN42" s="126">
        <f t="shared" si="1"/>
        <v>0</v>
      </c>
      <c r="BO42" s="126"/>
    </row>
    <row r="43" spans="1:67" ht="16.5">
      <c r="A43" s="127" t="s">
        <v>56</v>
      </c>
      <c r="B43" s="127" t="s">
        <v>66</v>
      </c>
      <c r="C43" s="128" t="s">
        <v>67</v>
      </c>
      <c r="D43" s="132">
        <v>0.37222222222222223</v>
      </c>
      <c r="E43" s="132">
        <v>0.24305555555555555</v>
      </c>
      <c r="F43" s="129"/>
      <c r="G43" s="129"/>
      <c r="H43" s="129"/>
      <c r="I43" s="129"/>
      <c r="J43" s="124"/>
      <c r="K43" s="124"/>
      <c r="L43" s="129"/>
      <c r="M43" s="129"/>
      <c r="N43" s="126"/>
      <c r="O43" s="126"/>
      <c r="P43" s="132">
        <v>0.3840277777777778</v>
      </c>
      <c r="Q43" s="132">
        <v>0.14027777777777778</v>
      </c>
      <c r="R43" s="132">
        <v>0.42708333333333331</v>
      </c>
      <c r="S43" s="132">
        <v>0.18819444444444444</v>
      </c>
      <c r="T43" s="132">
        <v>0.3840277777777778</v>
      </c>
      <c r="U43" s="126"/>
      <c r="V43" s="132">
        <v>0.41875000000000001</v>
      </c>
      <c r="W43" s="126"/>
      <c r="X43" s="130">
        <v>0.39374999999999999</v>
      </c>
      <c r="Y43" s="124"/>
      <c r="Z43" s="129"/>
      <c r="AA43" s="129"/>
      <c r="AB43" s="132">
        <v>0.37013888888888891</v>
      </c>
      <c r="AC43" s="132">
        <v>0.18124999999999999</v>
      </c>
      <c r="AD43" s="132">
        <v>0.37777777777777777</v>
      </c>
      <c r="AE43" s="132">
        <v>0.16041666666666668</v>
      </c>
      <c r="AF43" s="132">
        <v>0.39166666666666666</v>
      </c>
      <c r="AG43" s="126"/>
      <c r="AH43" s="132">
        <v>0.42222222222222222</v>
      </c>
      <c r="AI43" s="132">
        <v>0.22847222222222222</v>
      </c>
      <c r="AJ43" s="132">
        <v>0.4152777777777778</v>
      </c>
      <c r="AK43" s="132">
        <v>0.1736111111111111</v>
      </c>
      <c r="AL43" s="130">
        <v>0.3611111111111111</v>
      </c>
      <c r="AM43" s="124"/>
      <c r="AN43" s="129"/>
      <c r="AO43" s="129"/>
      <c r="AP43" s="132">
        <v>0.37222222222222223</v>
      </c>
      <c r="AQ43" s="132">
        <v>0.14791666666666667</v>
      </c>
      <c r="AR43" s="132">
        <v>0.34236111111111112</v>
      </c>
      <c r="AS43" s="132">
        <v>0.15416666666666667</v>
      </c>
      <c r="AT43" s="132">
        <v>0.36180555555555555</v>
      </c>
      <c r="AU43" s="132">
        <v>0.14027777777777778</v>
      </c>
      <c r="AV43" s="132">
        <v>0.37708333333333333</v>
      </c>
      <c r="AW43" s="132">
        <v>0.13958333333333334</v>
      </c>
      <c r="AX43" s="132">
        <v>0.37569444444444444</v>
      </c>
      <c r="AY43" s="132">
        <v>0.27708333333333335</v>
      </c>
      <c r="AZ43" s="130">
        <v>0.34652777777777777</v>
      </c>
      <c r="BA43" s="124"/>
      <c r="BB43" s="129"/>
      <c r="BC43" s="129"/>
      <c r="BD43" s="132">
        <v>0.36180555555555555</v>
      </c>
      <c r="BE43" s="126"/>
      <c r="BF43" s="132">
        <v>0.41041666666666665</v>
      </c>
      <c r="BG43" s="132">
        <v>0.18194444444444444</v>
      </c>
      <c r="BH43" s="132">
        <v>0.52083333333333337</v>
      </c>
      <c r="BI43" s="126"/>
      <c r="BJ43" s="132">
        <v>0.45</v>
      </c>
      <c r="BK43" s="126"/>
      <c r="BL43" s="126">
        <f t="shared" si="2"/>
        <v>19</v>
      </c>
      <c r="BM43" s="126">
        <f t="shared" si="2"/>
        <v>13</v>
      </c>
      <c r="BN43" s="126">
        <f t="shared" si="1"/>
        <v>3</v>
      </c>
      <c r="BO43" s="126"/>
    </row>
    <row r="44" spans="1:67" ht="16.5">
      <c r="A44" s="127" t="s">
        <v>56</v>
      </c>
      <c r="B44" s="127" t="s">
        <v>68</v>
      </c>
      <c r="C44" s="128" t="s">
        <v>69</v>
      </c>
      <c r="D44" s="132">
        <v>0.35486111111111113</v>
      </c>
      <c r="E44" s="132">
        <v>0.14930555555555555</v>
      </c>
      <c r="F44" s="129"/>
      <c r="G44" s="129"/>
      <c r="H44" s="129"/>
      <c r="I44" s="129"/>
      <c r="J44" s="130">
        <v>0.35138888888888886</v>
      </c>
      <c r="K44" s="124"/>
      <c r="L44" s="129"/>
      <c r="M44" s="129"/>
      <c r="N44" s="132">
        <v>0.35208333333333336</v>
      </c>
      <c r="O44" s="132">
        <v>0.14444444444444443</v>
      </c>
      <c r="P44" s="132">
        <v>0.34930555555555554</v>
      </c>
      <c r="Q44" s="126"/>
      <c r="R44" s="132">
        <v>0.3576388888888889</v>
      </c>
      <c r="S44" s="132">
        <v>0.14027777777777778</v>
      </c>
      <c r="T44" s="132">
        <v>0</v>
      </c>
      <c r="U44" s="132">
        <v>0.1388888888888889</v>
      </c>
      <c r="V44" s="132">
        <v>0.35208333333333336</v>
      </c>
      <c r="W44" s="126"/>
      <c r="X44" s="124"/>
      <c r="Y44" s="124"/>
      <c r="Z44" s="129"/>
      <c r="AA44" s="129"/>
      <c r="AB44" s="132">
        <v>0.4375</v>
      </c>
      <c r="AC44" s="132">
        <v>0.16597222222222222</v>
      </c>
      <c r="AD44" s="132">
        <v>0.35138888888888886</v>
      </c>
      <c r="AE44" s="126"/>
      <c r="AF44" s="132">
        <v>0.34930555555555554</v>
      </c>
      <c r="AG44" s="126"/>
      <c r="AH44" s="132">
        <v>0.34930555555555554</v>
      </c>
      <c r="AI44" s="132">
        <v>0</v>
      </c>
      <c r="AJ44" s="132">
        <v>0.35416666666666669</v>
      </c>
      <c r="AK44" s="126"/>
      <c r="AL44" s="130">
        <v>0.35833333333333334</v>
      </c>
      <c r="AM44" s="124"/>
      <c r="AN44" s="129"/>
      <c r="AO44" s="129"/>
      <c r="AP44" s="132">
        <v>0.36666666666666664</v>
      </c>
      <c r="AQ44" s="132">
        <v>0.13958333333333334</v>
      </c>
      <c r="AR44" s="132">
        <v>0.34444444444444444</v>
      </c>
      <c r="AS44" s="132">
        <v>0.15</v>
      </c>
      <c r="AT44" s="132">
        <v>0.3527777777777778</v>
      </c>
      <c r="AU44" s="132">
        <v>0.14305555555555555</v>
      </c>
      <c r="AV44" s="132">
        <v>0.35694444444444445</v>
      </c>
      <c r="AW44" s="132">
        <v>0.14722222222222223</v>
      </c>
      <c r="AX44" s="132">
        <v>0.35486111111111113</v>
      </c>
      <c r="AY44" s="132">
        <v>0.24374999999999999</v>
      </c>
      <c r="AZ44" s="124"/>
      <c r="BA44" s="124"/>
      <c r="BB44" s="129"/>
      <c r="BC44" s="129"/>
      <c r="BD44" s="132">
        <v>0.35625000000000001</v>
      </c>
      <c r="BE44" s="126"/>
      <c r="BF44" s="126"/>
      <c r="BG44" s="132">
        <v>0.15347222222222223</v>
      </c>
      <c r="BH44" s="132">
        <v>0.34583333333333333</v>
      </c>
      <c r="BI44" s="132">
        <v>0.16180555555555556</v>
      </c>
      <c r="BJ44" s="132">
        <v>0.35347222222222224</v>
      </c>
      <c r="BK44" s="132">
        <v>0.15694444444444444</v>
      </c>
      <c r="BL44" s="126">
        <f t="shared" si="2"/>
        <v>19</v>
      </c>
      <c r="BM44" s="126">
        <f t="shared" si="2"/>
        <v>14</v>
      </c>
      <c r="BN44" s="126">
        <f t="shared" si="1"/>
        <v>2</v>
      </c>
      <c r="BO44" s="126"/>
    </row>
    <row r="45" spans="1:67" ht="16.5">
      <c r="A45" s="127" t="s">
        <v>56</v>
      </c>
      <c r="B45" s="127" t="s">
        <v>70</v>
      </c>
      <c r="C45" s="128" t="s">
        <v>71</v>
      </c>
      <c r="D45" s="132">
        <v>0</v>
      </c>
      <c r="E45" s="132">
        <v>0</v>
      </c>
      <c r="F45" s="129"/>
      <c r="G45" s="129"/>
      <c r="H45" s="129"/>
      <c r="I45" s="129"/>
      <c r="J45" s="124"/>
      <c r="K45" s="124"/>
      <c r="L45" s="129"/>
      <c r="M45" s="129"/>
      <c r="N45" s="132">
        <v>0.35138888888888886</v>
      </c>
      <c r="O45" s="132">
        <v>0.13263888888888889</v>
      </c>
      <c r="P45" s="132">
        <v>0.34027777777777779</v>
      </c>
      <c r="Q45" s="132">
        <v>0.13750000000000001</v>
      </c>
      <c r="R45" s="132">
        <v>0.34861111111111109</v>
      </c>
      <c r="S45" s="132">
        <v>0.1388888888888889</v>
      </c>
      <c r="T45" s="132">
        <v>0.34375</v>
      </c>
      <c r="U45" s="132">
        <v>0.12777777777777777</v>
      </c>
      <c r="V45" s="132">
        <v>0.34930555555555554</v>
      </c>
      <c r="W45" s="132">
        <v>0.15972222222222221</v>
      </c>
      <c r="X45" s="124"/>
      <c r="Y45" s="124"/>
      <c r="Z45" s="129"/>
      <c r="AA45" s="129"/>
      <c r="AB45" s="132">
        <v>0.35069444444444442</v>
      </c>
      <c r="AC45" s="132">
        <v>0.13194444444444445</v>
      </c>
      <c r="AD45" s="132">
        <v>0.34861111111111109</v>
      </c>
      <c r="AE45" s="132">
        <v>0.16180555555555556</v>
      </c>
      <c r="AF45" s="132">
        <v>0.34861111111111109</v>
      </c>
      <c r="AG45" s="132">
        <v>0.19930555555555557</v>
      </c>
      <c r="AH45" s="132">
        <v>0.34861111111111109</v>
      </c>
      <c r="AI45" s="132">
        <v>0.1736111111111111</v>
      </c>
      <c r="AJ45" s="132">
        <v>0.35069444444444442</v>
      </c>
      <c r="AK45" s="132">
        <v>0.19236111111111112</v>
      </c>
      <c r="AL45" s="130">
        <v>0.37777777777777777</v>
      </c>
      <c r="AM45" s="124"/>
      <c r="AN45" s="129"/>
      <c r="AO45" s="129"/>
      <c r="AP45" s="132">
        <v>0.36388888888888887</v>
      </c>
      <c r="AQ45" s="132">
        <v>0.16319444444444445</v>
      </c>
      <c r="AR45" s="132">
        <v>0.35347222222222224</v>
      </c>
      <c r="AS45" s="132">
        <v>0.14791666666666667</v>
      </c>
      <c r="AT45" s="132">
        <v>0.35486111111111113</v>
      </c>
      <c r="AU45" s="132">
        <v>0.17222222222222222</v>
      </c>
      <c r="AV45" s="132">
        <v>0.36666666666666664</v>
      </c>
      <c r="AW45" s="132">
        <v>0.15555555555555556</v>
      </c>
      <c r="AX45" s="132">
        <v>0.35138888888888886</v>
      </c>
      <c r="AY45" s="132">
        <v>0.15</v>
      </c>
      <c r="AZ45" s="124"/>
      <c r="BA45" s="124"/>
      <c r="BB45" s="129"/>
      <c r="BC45" s="129"/>
      <c r="BD45" s="132">
        <v>0.35347222222222224</v>
      </c>
      <c r="BE45" s="132">
        <v>0.13194444444444445</v>
      </c>
      <c r="BF45" s="132">
        <v>0.36944444444444446</v>
      </c>
      <c r="BG45" s="132">
        <v>0.13819444444444445</v>
      </c>
      <c r="BH45" s="132">
        <v>0.35694444444444445</v>
      </c>
      <c r="BI45" s="132">
        <v>0.14791666666666667</v>
      </c>
      <c r="BJ45" s="132">
        <v>0.35347222222222224</v>
      </c>
      <c r="BK45" s="132">
        <v>0.16875000000000001</v>
      </c>
      <c r="BL45" s="126">
        <f t="shared" si="2"/>
        <v>20</v>
      </c>
      <c r="BM45" s="126">
        <f t="shared" si="2"/>
        <v>20</v>
      </c>
      <c r="BN45" s="126">
        <f t="shared" si="1"/>
        <v>1</v>
      </c>
      <c r="BO45" s="126"/>
    </row>
    <row r="46" spans="1:67" ht="16.5">
      <c r="A46" s="127" t="s">
        <v>72</v>
      </c>
      <c r="B46" s="127" t="s">
        <v>73</v>
      </c>
      <c r="C46" s="128" t="s">
        <v>74</v>
      </c>
      <c r="D46" s="132">
        <v>0.41388888888888886</v>
      </c>
      <c r="E46" s="126"/>
      <c r="F46" s="131">
        <v>0.39166666666666666</v>
      </c>
      <c r="G46" s="129"/>
      <c r="H46" s="129"/>
      <c r="I46" s="129"/>
      <c r="J46" s="130">
        <v>0.53125</v>
      </c>
      <c r="K46" s="124"/>
      <c r="L46" s="129"/>
      <c r="M46" s="129"/>
      <c r="N46" s="132">
        <v>0.50902777777777775</v>
      </c>
      <c r="O46" s="132">
        <v>0.21388888888888888</v>
      </c>
      <c r="P46" s="132">
        <v>0.43888888888888888</v>
      </c>
      <c r="Q46" s="126"/>
      <c r="R46" s="132">
        <v>0.34652777777777777</v>
      </c>
      <c r="S46" s="126"/>
      <c r="T46" s="132">
        <v>0.34930555555555554</v>
      </c>
      <c r="U46" s="132">
        <v>0.12638888888888888</v>
      </c>
      <c r="V46" s="132">
        <v>0.3527777777777778</v>
      </c>
      <c r="W46" s="132">
        <v>0.16180555555555556</v>
      </c>
      <c r="X46" s="130">
        <v>0.35555555555555557</v>
      </c>
      <c r="Y46" s="124"/>
      <c r="Z46" s="129"/>
      <c r="AA46" s="129"/>
      <c r="AB46" s="132">
        <v>0.36736111111111114</v>
      </c>
      <c r="AC46" s="132">
        <v>0.125</v>
      </c>
      <c r="AD46" s="132">
        <v>0.30555555555555558</v>
      </c>
      <c r="AE46" s="132">
        <v>0.1388888888888889</v>
      </c>
      <c r="AF46" s="132">
        <v>0.3527777777777778</v>
      </c>
      <c r="AG46" s="132">
        <v>0.15208333333333332</v>
      </c>
      <c r="AH46" s="132">
        <v>0.39583333333333331</v>
      </c>
      <c r="AI46" s="132">
        <v>0.15763888888888888</v>
      </c>
      <c r="AJ46" s="126"/>
      <c r="AK46" s="126"/>
      <c r="AL46" s="130">
        <v>0.39652777777777776</v>
      </c>
      <c r="AM46" s="124"/>
      <c r="AN46" s="129"/>
      <c r="AO46" s="129"/>
      <c r="AP46" s="132">
        <v>0.35416666666666669</v>
      </c>
      <c r="AQ46" s="126"/>
      <c r="AR46" s="132">
        <v>0.39097222222222222</v>
      </c>
      <c r="AS46" s="126"/>
      <c r="AT46" s="132">
        <v>0.33124999999999999</v>
      </c>
      <c r="AU46" s="132">
        <v>0.12569444444444444</v>
      </c>
      <c r="AV46" s="132">
        <v>0.37430555555555556</v>
      </c>
      <c r="AW46" s="126"/>
      <c r="AX46" s="126"/>
      <c r="AY46" s="126"/>
      <c r="AZ46" s="130">
        <v>0.40833333333333333</v>
      </c>
      <c r="BA46" s="124"/>
      <c r="BB46" s="129"/>
      <c r="BC46" s="129"/>
      <c r="BD46" s="132">
        <v>0.34097222222222223</v>
      </c>
      <c r="BE46" s="132">
        <v>0.13958333333333334</v>
      </c>
      <c r="BF46" s="132">
        <v>0.33680555555555558</v>
      </c>
      <c r="BG46" s="132">
        <v>0.1736111111111111</v>
      </c>
      <c r="BH46" s="132">
        <v>0.36527777777777776</v>
      </c>
      <c r="BI46" s="132">
        <v>0.16111111111111112</v>
      </c>
      <c r="BJ46" s="132">
        <v>0.36041666666666666</v>
      </c>
      <c r="BK46" s="126"/>
      <c r="BL46" s="126">
        <f t="shared" si="2"/>
        <v>19</v>
      </c>
      <c r="BM46" s="126">
        <f t="shared" si="2"/>
        <v>11</v>
      </c>
      <c r="BN46" s="126">
        <f t="shared" si="1"/>
        <v>4</v>
      </c>
      <c r="BO46" s="126"/>
    </row>
    <row r="47" spans="1:67" ht="16.5">
      <c r="A47" s="127" t="s">
        <v>72</v>
      </c>
      <c r="B47" s="127" t="s">
        <v>73</v>
      </c>
      <c r="C47" s="128" t="s">
        <v>75</v>
      </c>
      <c r="D47" s="126"/>
      <c r="E47" s="126"/>
      <c r="F47" s="129"/>
      <c r="G47" s="129"/>
      <c r="H47" s="129"/>
      <c r="I47" s="129"/>
      <c r="J47" s="124"/>
      <c r="K47" s="124"/>
      <c r="L47" s="129"/>
      <c r="M47" s="129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4"/>
      <c r="Y47" s="124"/>
      <c r="Z47" s="129"/>
      <c r="AA47" s="129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4"/>
      <c r="AM47" s="124"/>
      <c r="AN47" s="129"/>
      <c r="AO47" s="129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4"/>
      <c r="BA47" s="124"/>
      <c r="BB47" s="129"/>
      <c r="BC47" s="129"/>
      <c r="BD47" s="126"/>
      <c r="BE47" s="126"/>
      <c r="BF47" s="126"/>
      <c r="BG47" s="126"/>
      <c r="BH47" s="126"/>
      <c r="BI47" s="126"/>
      <c r="BJ47" s="126"/>
      <c r="BK47" s="126"/>
      <c r="BL47" s="126">
        <f t="shared" si="2"/>
        <v>0</v>
      </c>
      <c r="BM47" s="126">
        <f t="shared" si="2"/>
        <v>0</v>
      </c>
      <c r="BN47" s="126">
        <f t="shared" si="1"/>
        <v>0</v>
      </c>
      <c r="BO47" s="126"/>
    </row>
    <row r="48" spans="1:67" ht="16.5">
      <c r="A48" s="127" t="s">
        <v>72</v>
      </c>
      <c r="B48" s="127" t="s">
        <v>76</v>
      </c>
      <c r="C48" s="128" t="s">
        <v>77</v>
      </c>
      <c r="D48" s="132">
        <v>0.36041666666666666</v>
      </c>
      <c r="E48" s="132">
        <v>0.22569444444444445</v>
      </c>
      <c r="F48" s="131"/>
      <c r="G48" s="129"/>
      <c r="H48" s="129"/>
      <c r="I48" s="129"/>
      <c r="J48" s="124"/>
      <c r="K48" s="124"/>
      <c r="L48" s="129"/>
      <c r="M48" s="129"/>
      <c r="N48" s="132">
        <v>0.35347222222222224</v>
      </c>
      <c r="O48" s="132">
        <v>0.17083333333333334</v>
      </c>
      <c r="P48" s="132">
        <v>0.35416666666666669</v>
      </c>
      <c r="Q48" s="132">
        <v>0.12291666666666666</v>
      </c>
      <c r="R48" s="132">
        <v>0.36944444444444446</v>
      </c>
      <c r="S48" s="132">
        <v>0.16388888888888889</v>
      </c>
      <c r="T48" s="132">
        <v>0.37777777777777777</v>
      </c>
      <c r="U48" s="132">
        <v>0.16805555555555557</v>
      </c>
      <c r="V48" s="132">
        <v>0.35555555555555557</v>
      </c>
      <c r="W48" s="132">
        <v>0.16875000000000001</v>
      </c>
      <c r="X48" s="130">
        <v>0.36249999999999999</v>
      </c>
      <c r="Y48" s="130">
        <v>0.50624999999999998</v>
      </c>
      <c r="Z48" s="129"/>
      <c r="AA48" s="129"/>
      <c r="AB48" s="132">
        <v>0.35694444444444445</v>
      </c>
      <c r="AC48" s="132">
        <v>0.18402777777777779</v>
      </c>
      <c r="AD48" s="132">
        <v>0.35694444444444445</v>
      </c>
      <c r="AE48" s="132">
        <v>0.15347222222222223</v>
      </c>
      <c r="AF48" s="132">
        <v>0.36180555555555555</v>
      </c>
      <c r="AG48" s="132">
        <v>0.1875</v>
      </c>
      <c r="AH48" s="132">
        <v>0.36180555555555555</v>
      </c>
      <c r="AI48" s="132">
        <v>0.16180555555555556</v>
      </c>
      <c r="AJ48" s="132">
        <v>0.3527777777777778</v>
      </c>
      <c r="AK48" s="132">
        <v>0.17986111111111111</v>
      </c>
      <c r="AL48" s="124"/>
      <c r="AM48" s="124"/>
      <c r="AN48" s="129"/>
      <c r="AO48" s="129"/>
      <c r="AP48" s="132">
        <v>0.35902777777777778</v>
      </c>
      <c r="AQ48" s="132">
        <v>0.21736111111111112</v>
      </c>
      <c r="AR48" s="132">
        <v>0.35208333333333336</v>
      </c>
      <c r="AS48" s="132">
        <v>0.17222222222222222</v>
      </c>
      <c r="AT48" s="132">
        <v>0.35416666666666669</v>
      </c>
      <c r="AU48" s="132">
        <v>0.16597222222222222</v>
      </c>
      <c r="AV48" s="132">
        <v>0.35416666666666669</v>
      </c>
      <c r="AW48" s="132">
        <v>0.16458333333333333</v>
      </c>
      <c r="AX48" s="132">
        <v>0.35902777777777778</v>
      </c>
      <c r="AY48" s="132">
        <v>0.17777777777777778</v>
      </c>
      <c r="AZ48" s="130">
        <v>0.36944444444444446</v>
      </c>
      <c r="BA48" s="130">
        <v>0.50347222222222221</v>
      </c>
      <c r="BB48" s="129"/>
      <c r="BC48" s="129"/>
      <c r="BD48" s="132">
        <v>0.36249999999999999</v>
      </c>
      <c r="BE48" s="132">
        <v>0.1673611111111111</v>
      </c>
      <c r="BF48" s="132">
        <v>0.34930555555555554</v>
      </c>
      <c r="BG48" s="132">
        <v>0.17499999999999999</v>
      </c>
      <c r="BH48" s="132">
        <v>0.35972222222222222</v>
      </c>
      <c r="BI48" s="132">
        <v>0.17291666666666666</v>
      </c>
      <c r="BJ48" s="132">
        <v>0.36180555555555555</v>
      </c>
      <c r="BK48" s="132">
        <v>0.16805555555555557</v>
      </c>
      <c r="BL48" s="126">
        <f t="shared" si="2"/>
        <v>20</v>
      </c>
      <c r="BM48" s="126">
        <f t="shared" si="2"/>
        <v>20</v>
      </c>
      <c r="BN48" s="126">
        <f t="shared" si="1"/>
        <v>4</v>
      </c>
      <c r="BO48" s="126"/>
    </row>
    <row r="49" spans="1:67" ht="16.5">
      <c r="A49" s="127" t="s">
        <v>72</v>
      </c>
      <c r="B49" s="127" t="s">
        <v>76</v>
      </c>
      <c r="C49" s="128" t="s">
        <v>78</v>
      </c>
      <c r="D49" s="126"/>
      <c r="E49" s="126"/>
      <c r="F49" s="129"/>
      <c r="G49" s="129"/>
      <c r="H49" s="129"/>
      <c r="I49" s="129"/>
      <c r="J49" s="124"/>
      <c r="K49" s="124"/>
      <c r="L49" s="129"/>
      <c r="M49" s="129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4"/>
      <c r="Y49" s="124"/>
      <c r="Z49" s="129"/>
      <c r="AA49" s="129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4"/>
      <c r="AM49" s="124"/>
      <c r="AN49" s="129"/>
      <c r="AO49" s="129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4"/>
      <c r="BA49" s="124"/>
      <c r="BB49" s="129"/>
      <c r="BC49" s="129"/>
      <c r="BD49" s="126"/>
      <c r="BE49" s="126"/>
      <c r="BF49" s="126"/>
      <c r="BG49" s="126"/>
      <c r="BH49" s="126"/>
      <c r="BI49" s="126"/>
      <c r="BJ49" s="126"/>
      <c r="BK49" s="126"/>
      <c r="BL49" s="126">
        <f t="shared" si="2"/>
        <v>0</v>
      </c>
      <c r="BM49" s="126">
        <f t="shared" si="2"/>
        <v>0</v>
      </c>
      <c r="BN49" s="126">
        <f t="shared" si="1"/>
        <v>0</v>
      </c>
      <c r="BO49" s="126"/>
    </row>
    <row r="50" spans="1:67" ht="16.5">
      <c r="A50" s="127" t="s">
        <v>72</v>
      </c>
      <c r="B50" s="127" t="s">
        <v>76</v>
      </c>
      <c r="C50" s="128" t="s">
        <v>79</v>
      </c>
      <c r="D50" s="126"/>
      <c r="E50" s="126"/>
      <c r="F50" s="129"/>
      <c r="G50" s="129"/>
      <c r="H50" s="129"/>
      <c r="I50" s="129"/>
      <c r="J50" s="124"/>
      <c r="K50" s="124"/>
      <c r="L50" s="129"/>
      <c r="M50" s="129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4"/>
      <c r="Y50" s="124"/>
      <c r="Z50" s="129"/>
      <c r="AA50" s="129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4"/>
      <c r="AM50" s="124"/>
      <c r="AN50" s="129"/>
      <c r="AO50" s="129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4"/>
      <c r="BA50" s="124"/>
      <c r="BB50" s="129"/>
      <c r="BC50" s="129"/>
      <c r="BD50" s="126"/>
      <c r="BE50" s="126"/>
      <c r="BF50" s="126"/>
      <c r="BG50" s="126"/>
      <c r="BH50" s="126"/>
      <c r="BI50" s="126"/>
      <c r="BJ50" s="126"/>
      <c r="BK50" s="126"/>
      <c r="BL50" s="126">
        <f t="shared" si="2"/>
        <v>0</v>
      </c>
      <c r="BM50" s="126">
        <f t="shared" si="2"/>
        <v>0</v>
      </c>
      <c r="BN50" s="126">
        <f t="shared" si="1"/>
        <v>0</v>
      </c>
      <c r="BO50" s="126"/>
    </row>
    <row r="51" spans="1:67" ht="16.5">
      <c r="A51" s="127" t="s">
        <v>72</v>
      </c>
      <c r="B51" s="127" t="s">
        <v>76</v>
      </c>
      <c r="C51" s="128" t="s">
        <v>80</v>
      </c>
      <c r="D51" s="126"/>
      <c r="E51" s="126"/>
      <c r="F51" s="129"/>
      <c r="G51" s="129"/>
      <c r="H51" s="129"/>
      <c r="I51" s="129"/>
      <c r="J51" s="124"/>
      <c r="K51" s="124"/>
      <c r="L51" s="129"/>
      <c r="M51" s="129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4"/>
      <c r="Y51" s="124"/>
      <c r="Z51" s="129"/>
      <c r="AA51" s="129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4"/>
      <c r="AM51" s="124"/>
      <c r="AN51" s="129"/>
      <c r="AO51" s="129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4"/>
      <c r="BA51" s="124"/>
      <c r="BB51" s="129"/>
      <c r="BC51" s="129"/>
      <c r="BD51" s="126"/>
      <c r="BE51" s="126"/>
      <c r="BF51" s="126"/>
      <c r="BG51" s="126"/>
      <c r="BH51" s="126"/>
      <c r="BI51" s="126"/>
      <c r="BJ51" s="126"/>
      <c r="BK51" s="126"/>
      <c r="BL51" s="126">
        <f t="shared" si="2"/>
        <v>0</v>
      </c>
      <c r="BM51" s="126">
        <f t="shared" si="2"/>
        <v>0</v>
      </c>
      <c r="BN51" s="126">
        <f t="shared" si="1"/>
        <v>0</v>
      </c>
      <c r="BO51" s="126"/>
    </row>
    <row r="52" spans="1:67" ht="16.5">
      <c r="A52" s="127" t="s">
        <v>72</v>
      </c>
      <c r="B52" s="127" t="s">
        <v>76</v>
      </c>
      <c r="C52" s="128" t="s">
        <v>81</v>
      </c>
      <c r="D52" s="126"/>
      <c r="E52" s="126"/>
      <c r="F52" s="129"/>
      <c r="G52" s="129"/>
      <c r="H52" s="129"/>
      <c r="I52" s="129"/>
      <c r="J52" s="124"/>
      <c r="K52" s="124"/>
      <c r="L52" s="129"/>
      <c r="M52" s="129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4"/>
      <c r="Y52" s="124"/>
      <c r="Z52" s="129"/>
      <c r="AA52" s="129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4"/>
      <c r="AM52" s="124"/>
      <c r="AN52" s="129"/>
      <c r="AO52" s="129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4"/>
      <c r="BA52" s="124"/>
      <c r="BB52" s="129"/>
      <c r="BC52" s="129"/>
      <c r="BD52" s="126"/>
      <c r="BE52" s="126"/>
      <c r="BF52" s="126"/>
      <c r="BG52" s="126"/>
      <c r="BH52" s="126"/>
      <c r="BI52" s="126"/>
      <c r="BJ52" s="126"/>
      <c r="BK52" s="126"/>
      <c r="BL52" s="126">
        <f t="shared" si="2"/>
        <v>0</v>
      </c>
      <c r="BM52" s="126">
        <f t="shared" si="2"/>
        <v>0</v>
      </c>
      <c r="BN52" s="126">
        <f t="shared" si="1"/>
        <v>0</v>
      </c>
      <c r="BO52" s="126"/>
    </row>
    <row r="53" spans="1:67" ht="16.5">
      <c r="A53" s="127" t="s">
        <v>72</v>
      </c>
      <c r="B53" s="127" t="s">
        <v>82</v>
      </c>
      <c r="C53" s="128" t="s">
        <v>83</v>
      </c>
      <c r="D53" s="132">
        <v>0</v>
      </c>
      <c r="E53" s="132">
        <v>0</v>
      </c>
      <c r="F53" s="129"/>
      <c r="G53" s="129"/>
      <c r="H53" s="129"/>
      <c r="I53" s="129"/>
      <c r="J53" s="130">
        <v>0.40138888888888891</v>
      </c>
      <c r="K53" s="124"/>
      <c r="L53" s="129"/>
      <c r="M53" s="129"/>
      <c r="N53" s="132">
        <v>0.36249999999999999</v>
      </c>
      <c r="O53" s="132">
        <v>0.1451388888888889</v>
      </c>
      <c r="P53" s="132">
        <v>0.3888888888888889</v>
      </c>
      <c r="Q53" s="132">
        <v>0.13055555555555556</v>
      </c>
      <c r="R53" s="132">
        <v>0.3972222222222222</v>
      </c>
      <c r="S53" s="126"/>
      <c r="T53" s="132">
        <v>0.40347222222222223</v>
      </c>
      <c r="U53" s="132">
        <v>0.13750000000000001</v>
      </c>
      <c r="V53" s="132">
        <v>0.41249999999999998</v>
      </c>
      <c r="W53" s="132">
        <v>0.15972222222222221</v>
      </c>
      <c r="X53" s="124"/>
      <c r="Y53" s="124"/>
      <c r="Z53" s="129"/>
      <c r="AA53" s="129"/>
      <c r="AB53" s="126"/>
      <c r="AC53" s="126"/>
      <c r="AD53" s="132">
        <v>0.38194444444444442</v>
      </c>
      <c r="AE53" s="132">
        <v>0.15208333333333332</v>
      </c>
      <c r="AF53" s="132">
        <v>0.39791666666666664</v>
      </c>
      <c r="AG53" s="132">
        <v>8.2638888888888887E-2</v>
      </c>
      <c r="AH53" s="132">
        <v>0.38819444444444445</v>
      </c>
      <c r="AI53" s="126"/>
      <c r="AJ53" s="126"/>
      <c r="AK53" s="132">
        <v>0</v>
      </c>
      <c r="AL53" s="124"/>
      <c r="AM53" s="124"/>
      <c r="AN53" s="129"/>
      <c r="AO53" s="129"/>
      <c r="AP53" s="132">
        <v>0.38958333333333334</v>
      </c>
      <c r="AQ53" s="132">
        <v>0.14791666666666667</v>
      </c>
      <c r="AR53" s="132">
        <v>0.40416666666666667</v>
      </c>
      <c r="AS53" s="132">
        <v>0.15</v>
      </c>
      <c r="AT53" s="132">
        <v>0.40277777777777779</v>
      </c>
      <c r="AU53" s="132">
        <v>0.13819444444444445</v>
      </c>
      <c r="AV53" s="132">
        <v>0.39930555555555558</v>
      </c>
      <c r="AW53" s="132">
        <v>0.18263888888888888</v>
      </c>
      <c r="AX53" s="132">
        <v>0.38541666666666669</v>
      </c>
      <c r="AY53" s="132">
        <v>0.15138888888888888</v>
      </c>
      <c r="AZ53" s="124"/>
      <c r="BA53" s="124"/>
      <c r="BB53" s="129"/>
      <c r="BC53" s="129"/>
      <c r="BD53" s="132">
        <v>0.41111111111111109</v>
      </c>
      <c r="BE53" s="132">
        <v>0.15833333333333333</v>
      </c>
      <c r="BF53" s="132">
        <v>0.40694444444444444</v>
      </c>
      <c r="BG53" s="132">
        <v>0.13263888888888889</v>
      </c>
      <c r="BH53" s="132">
        <v>0.39583333333333331</v>
      </c>
      <c r="BI53" s="132">
        <v>0.16250000000000001</v>
      </c>
      <c r="BJ53" s="132">
        <v>0.39374999999999999</v>
      </c>
      <c r="BK53" s="132">
        <v>0.13125000000000001</v>
      </c>
      <c r="BL53" s="126">
        <f t="shared" si="2"/>
        <v>18</v>
      </c>
      <c r="BM53" s="126">
        <f t="shared" si="2"/>
        <v>17</v>
      </c>
      <c r="BN53" s="126">
        <f t="shared" si="1"/>
        <v>1</v>
      </c>
      <c r="BO53" s="126"/>
    </row>
    <row r="54" spans="1:67" ht="16.5">
      <c r="A54" s="127" t="s">
        <v>72</v>
      </c>
      <c r="B54" s="127" t="s">
        <v>82</v>
      </c>
      <c r="C54" s="128" t="s">
        <v>84</v>
      </c>
      <c r="D54" s="126"/>
      <c r="E54" s="126"/>
      <c r="F54" s="129"/>
      <c r="G54" s="129"/>
      <c r="H54" s="129"/>
      <c r="I54" s="129"/>
      <c r="J54" s="124"/>
      <c r="K54" s="124"/>
      <c r="L54" s="129"/>
      <c r="M54" s="129"/>
      <c r="N54" s="126"/>
      <c r="O54" s="126"/>
      <c r="P54" s="126"/>
      <c r="Q54" s="126"/>
      <c r="R54" s="126"/>
      <c r="S54" s="132">
        <v>0.16319444444444445</v>
      </c>
      <c r="T54" s="126"/>
      <c r="U54" s="126"/>
      <c r="V54" s="126"/>
      <c r="W54" s="126"/>
      <c r="X54" s="130">
        <v>0.39513888888888887</v>
      </c>
      <c r="Y54" s="124"/>
      <c r="Z54" s="129"/>
      <c r="AA54" s="129"/>
      <c r="AB54" s="132">
        <v>0.3923611111111111</v>
      </c>
      <c r="AC54" s="132">
        <v>0.14930555555555555</v>
      </c>
      <c r="AD54" s="126"/>
      <c r="AE54" s="126"/>
      <c r="AF54" s="126"/>
      <c r="AG54" s="126"/>
      <c r="AH54" s="126"/>
      <c r="AI54" s="132">
        <v>0.15833333333333333</v>
      </c>
      <c r="AJ54" s="132">
        <v>0.38958333333333334</v>
      </c>
      <c r="AK54" s="126"/>
      <c r="AL54" s="124"/>
      <c r="AM54" s="124"/>
      <c r="AN54" s="129"/>
      <c r="AO54" s="129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30">
        <v>0.39166666666666666</v>
      </c>
      <c r="BA54" s="124"/>
      <c r="BB54" s="129"/>
      <c r="BC54" s="129"/>
      <c r="BD54" s="126"/>
      <c r="BE54" s="126"/>
      <c r="BF54" s="126"/>
      <c r="BG54" s="126"/>
      <c r="BH54" s="126"/>
      <c r="BI54" s="126"/>
      <c r="BJ54" s="126"/>
      <c r="BK54" s="126"/>
      <c r="BL54" s="126">
        <f t="shared" si="2"/>
        <v>2</v>
      </c>
      <c r="BM54" s="126">
        <f t="shared" si="2"/>
        <v>3</v>
      </c>
      <c r="BN54" s="126">
        <f t="shared" si="1"/>
        <v>2</v>
      </c>
      <c r="BO54" s="126"/>
    </row>
    <row r="55" spans="1:67" ht="16.5">
      <c r="A55" s="127" t="s">
        <v>72</v>
      </c>
      <c r="B55" s="127" t="s">
        <v>85</v>
      </c>
      <c r="C55" s="128" t="s">
        <v>86</v>
      </c>
      <c r="D55" s="132">
        <v>0.38541666666666669</v>
      </c>
      <c r="E55" s="132">
        <v>0.17222222222222222</v>
      </c>
      <c r="F55" s="131"/>
      <c r="G55" s="129"/>
      <c r="H55" s="129"/>
      <c r="I55" s="129"/>
      <c r="J55" s="124"/>
      <c r="K55" s="124"/>
      <c r="L55" s="129"/>
      <c r="M55" s="129"/>
      <c r="N55" s="132">
        <v>0.38333333333333336</v>
      </c>
      <c r="O55" s="132">
        <v>0.1451388888888889</v>
      </c>
      <c r="P55" s="132">
        <v>0.38333333333333336</v>
      </c>
      <c r="Q55" s="132">
        <v>0.13125000000000001</v>
      </c>
      <c r="R55" s="132">
        <v>0.3923611111111111</v>
      </c>
      <c r="S55" s="132">
        <v>0.15347222222222223</v>
      </c>
      <c r="T55" s="132">
        <v>0.42291666666666666</v>
      </c>
      <c r="U55" s="132">
        <v>0.18333333333333332</v>
      </c>
      <c r="V55" s="132">
        <v>0.38611111111111113</v>
      </c>
      <c r="W55" s="132">
        <v>0.18194444444444444</v>
      </c>
      <c r="X55" s="130">
        <v>0.38472222222222224</v>
      </c>
      <c r="Y55" s="124"/>
      <c r="Z55" s="129"/>
      <c r="AA55" s="129"/>
      <c r="AB55" s="132">
        <v>0.38124999999999998</v>
      </c>
      <c r="AC55" s="126"/>
      <c r="AD55" s="132">
        <v>0.37638888888888888</v>
      </c>
      <c r="AE55" s="132">
        <v>0.14652777777777778</v>
      </c>
      <c r="AF55" s="132">
        <v>0.38333333333333336</v>
      </c>
      <c r="AG55" s="132">
        <v>0.14374999999999999</v>
      </c>
      <c r="AH55" s="132">
        <v>0.3840277777777778</v>
      </c>
      <c r="AI55" s="132">
        <v>0.15833333333333333</v>
      </c>
      <c r="AJ55" s="132">
        <v>0.39166666666666666</v>
      </c>
      <c r="AK55" s="132">
        <v>0.21736111111111112</v>
      </c>
      <c r="AL55" s="124"/>
      <c r="AM55" s="124"/>
      <c r="AN55" s="129"/>
      <c r="AO55" s="129"/>
      <c r="AP55" s="132">
        <v>0.3840277777777778</v>
      </c>
      <c r="AQ55" s="132">
        <v>0.14791666666666667</v>
      </c>
      <c r="AR55" s="132">
        <v>0.4201388888888889</v>
      </c>
      <c r="AS55" s="132">
        <v>0.15</v>
      </c>
      <c r="AT55" s="132">
        <v>0.40277777777777779</v>
      </c>
      <c r="AU55" s="132">
        <v>0.17083333333333334</v>
      </c>
      <c r="AV55" s="126"/>
      <c r="AW55" s="126"/>
      <c r="AX55" s="126"/>
      <c r="AY55" s="126"/>
      <c r="AZ55" s="124"/>
      <c r="BA55" s="124"/>
      <c r="BB55" s="129"/>
      <c r="BC55" s="129"/>
      <c r="BD55" s="126"/>
      <c r="BE55" s="126"/>
      <c r="BF55" s="132">
        <v>0.41319444444444442</v>
      </c>
      <c r="BG55" s="132">
        <v>0.16250000000000001</v>
      </c>
      <c r="BH55" s="132">
        <v>0.40902777777777777</v>
      </c>
      <c r="BI55" s="126"/>
      <c r="BJ55" s="126"/>
      <c r="BK55" s="126"/>
      <c r="BL55" s="126">
        <f t="shared" si="2"/>
        <v>16</v>
      </c>
      <c r="BM55" s="126">
        <f t="shared" si="2"/>
        <v>14</v>
      </c>
      <c r="BN55" s="126">
        <f t="shared" si="1"/>
        <v>1</v>
      </c>
      <c r="BO55" s="126"/>
    </row>
    <row r="56" spans="1:67" ht="16.5">
      <c r="A56" s="127" t="s">
        <v>72</v>
      </c>
      <c r="B56" s="127" t="s">
        <v>85</v>
      </c>
      <c r="C56" s="128" t="s">
        <v>87</v>
      </c>
      <c r="D56" s="126"/>
      <c r="E56" s="126"/>
      <c r="F56" s="129"/>
      <c r="G56" s="129"/>
      <c r="H56" s="129"/>
      <c r="I56" s="129"/>
      <c r="J56" s="124"/>
      <c r="K56" s="124"/>
      <c r="L56" s="129"/>
      <c r="M56" s="129"/>
      <c r="N56" s="126"/>
      <c r="O56" s="126"/>
      <c r="P56" s="126"/>
      <c r="Q56" s="126"/>
      <c r="R56" s="132"/>
      <c r="S56" s="126"/>
      <c r="T56" s="132">
        <v>0.46111111111111114</v>
      </c>
      <c r="U56" s="126"/>
      <c r="V56" s="126"/>
      <c r="W56" s="126"/>
      <c r="X56" s="124"/>
      <c r="Y56" s="124"/>
      <c r="Z56" s="129"/>
      <c r="AA56" s="129"/>
      <c r="AB56" s="132"/>
      <c r="AC56" s="132">
        <v>0.14861111111111111</v>
      </c>
      <c r="AD56" s="126"/>
      <c r="AE56" s="126"/>
      <c r="AF56" s="126"/>
      <c r="AG56" s="126"/>
      <c r="AH56" s="126"/>
      <c r="AI56" s="126"/>
      <c r="AJ56" s="126"/>
      <c r="AK56" s="126"/>
      <c r="AL56" s="124"/>
      <c r="AM56" s="124"/>
      <c r="AN56" s="129"/>
      <c r="AO56" s="129"/>
      <c r="AP56" s="126"/>
      <c r="AQ56" s="126"/>
      <c r="AR56" s="126"/>
      <c r="AS56" s="126"/>
      <c r="AT56" s="126"/>
      <c r="AU56" s="126"/>
      <c r="AV56" s="132">
        <v>0.38541666666666669</v>
      </c>
      <c r="AW56" s="132">
        <v>0.1673611111111111</v>
      </c>
      <c r="AX56" s="132">
        <v>0.38541666666666669</v>
      </c>
      <c r="AY56" s="132">
        <v>0.1736111111111111</v>
      </c>
      <c r="AZ56" s="130">
        <v>0.38750000000000001</v>
      </c>
      <c r="BA56" s="124"/>
      <c r="BB56" s="129"/>
      <c r="BC56" s="129"/>
      <c r="BD56" s="132">
        <v>0.39374999999999999</v>
      </c>
      <c r="BE56" s="132">
        <v>0.15833333333333333</v>
      </c>
      <c r="BF56" s="126"/>
      <c r="BG56" s="126"/>
      <c r="BH56" s="126"/>
      <c r="BI56" s="132">
        <v>0.16944444444444445</v>
      </c>
      <c r="BJ56" s="126"/>
      <c r="BK56" s="126"/>
      <c r="BL56" s="126">
        <f t="shared" si="2"/>
        <v>4</v>
      </c>
      <c r="BM56" s="126">
        <f t="shared" si="2"/>
        <v>5</v>
      </c>
      <c r="BN56" s="126">
        <f t="shared" si="1"/>
        <v>1</v>
      </c>
      <c r="BO56" s="126"/>
    </row>
    <row r="57" spans="1:67" ht="16.5">
      <c r="A57" s="127" t="s">
        <v>72</v>
      </c>
      <c r="B57" s="127" t="s">
        <v>85</v>
      </c>
      <c r="C57" s="128" t="s">
        <v>88</v>
      </c>
      <c r="D57" s="126"/>
      <c r="E57" s="126"/>
      <c r="F57" s="129"/>
      <c r="G57" s="129"/>
      <c r="H57" s="129"/>
      <c r="I57" s="129"/>
      <c r="J57" s="124"/>
      <c r="K57" s="124"/>
      <c r="L57" s="129"/>
      <c r="M57" s="129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4"/>
      <c r="Y57" s="124"/>
      <c r="Z57" s="129"/>
      <c r="AA57" s="129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4"/>
      <c r="AM57" s="124"/>
      <c r="AN57" s="129"/>
      <c r="AO57" s="129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4"/>
      <c r="BA57" s="124"/>
      <c r="BB57" s="129"/>
      <c r="BC57" s="129"/>
      <c r="BD57" s="126"/>
      <c r="BE57" s="126"/>
      <c r="BF57" s="126"/>
      <c r="BG57" s="126"/>
      <c r="BH57" s="126"/>
      <c r="BI57" s="126"/>
      <c r="BJ57" s="126"/>
      <c r="BK57" s="126"/>
      <c r="BL57" s="126">
        <f t="shared" si="2"/>
        <v>0</v>
      </c>
      <c r="BM57" s="126">
        <f t="shared" si="2"/>
        <v>0</v>
      </c>
      <c r="BN57" s="126">
        <f t="shared" si="1"/>
        <v>0</v>
      </c>
      <c r="BO57" s="126"/>
    </row>
    <row r="58" spans="1:67" ht="16.5">
      <c r="A58" s="127" t="s">
        <v>72</v>
      </c>
      <c r="B58" s="127" t="s">
        <v>89</v>
      </c>
      <c r="C58" s="128" t="s">
        <v>90</v>
      </c>
      <c r="D58" s="132">
        <v>0.375</v>
      </c>
      <c r="E58" s="132">
        <v>0.18472222222222223</v>
      </c>
      <c r="F58" s="131"/>
      <c r="G58" s="129"/>
      <c r="H58" s="129"/>
      <c r="I58" s="129"/>
      <c r="J58" s="124"/>
      <c r="K58" s="124"/>
      <c r="L58" s="129"/>
      <c r="M58" s="129"/>
      <c r="N58" s="132">
        <v>0.37986111111111109</v>
      </c>
      <c r="O58" s="132">
        <v>0.16944444444444445</v>
      </c>
      <c r="P58" s="132">
        <v>0.38055555555555554</v>
      </c>
      <c r="Q58" s="132">
        <v>0.16111111111111112</v>
      </c>
      <c r="R58" s="132">
        <v>0.37569444444444444</v>
      </c>
      <c r="S58" s="132">
        <v>0.15347222222222223</v>
      </c>
      <c r="T58" s="132">
        <v>0.37083333333333335</v>
      </c>
      <c r="U58" s="132">
        <v>0.16319444444444445</v>
      </c>
      <c r="V58" s="132">
        <v>0.39305555555555555</v>
      </c>
      <c r="W58" s="132">
        <v>0.14166666666666666</v>
      </c>
      <c r="X58" s="130">
        <v>0.38333333333333336</v>
      </c>
      <c r="Y58" s="124"/>
      <c r="Z58" s="129"/>
      <c r="AA58" s="129"/>
      <c r="AB58" s="132">
        <v>0.38055555555555554</v>
      </c>
      <c r="AC58" s="132">
        <v>0.1736111111111111</v>
      </c>
      <c r="AD58" s="132">
        <v>0.40625</v>
      </c>
      <c r="AE58" s="132">
        <v>0.16875000000000001</v>
      </c>
      <c r="AF58" s="132">
        <v>0.3840277777777778</v>
      </c>
      <c r="AG58" s="132">
        <v>0.14583333333333334</v>
      </c>
      <c r="AH58" s="132">
        <v>0.38819444444444445</v>
      </c>
      <c r="AI58" s="132">
        <v>0.17708333333333334</v>
      </c>
      <c r="AJ58" s="132">
        <v>0.38541666666666669</v>
      </c>
      <c r="AK58" s="132">
        <v>0.18819444444444444</v>
      </c>
      <c r="AL58" s="130">
        <v>0.38263888888888886</v>
      </c>
      <c r="AM58" s="124"/>
      <c r="AN58" s="129"/>
      <c r="AO58" s="129"/>
      <c r="AP58" s="132">
        <v>0.39930555555555558</v>
      </c>
      <c r="AQ58" s="132">
        <v>0.21111111111111111</v>
      </c>
      <c r="AR58" s="132">
        <v>0.50416666666666665</v>
      </c>
      <c r="AS58" s="126"/>
      <c r="AT58" s="132">
        <v>0.38055555555555554</v>
      </c>
      <c r="AU58" s="126"/>
      <c r="AV58" s="132">
        <v>0.3923611111111111</v>
      </c>
      <c r="AW58" s="126"/>
      <c r="AX58" s="132">
        <v>0.41458333333333336</v>
      </c>
      <c r="AY58" s="132">
        <v>0.19791666666666666</v>
      </c>
      <c r="AZ58" s="130">
        <v>0.39027777777777778</v>
      </c>
      <c r="BA58" s="124"/>
      <c r="BB58" s="129"/>
      <c r="BC58" s="129"/>
      <c r="BD58" s="132">
        <v>0.39374999999999999</v>
      </c>
      <c r="BE58" s="132">
        <v>0.16944444444444445</v>
      </c>
      <c r="BF58" s="132">
        <v>0.3840277777777778</v>
      </c>
      <c r="BG58" s="132">
        <v>0.16388888888888889</v>
      </c>
      <c r="BH58" s="132">
        <v>0.38750000000000001</v>
      </c>
      <c r="BI58" s="132">
        <v>0.1763888888888889</v>
      </c>
      <c r="BJ58" s="132">
        <v>0.39583333333333331</v>
      </c>
      <c r="BK58" s="132">
        <v>0.15694444444444444</v>
      </c>
      <c r="BL58" s="126">
        <f t="shared" si="2"/>
        <v>20</v>
      </c>
      <c r="BM58" s="126">
        <f t="shared" si="2"/>
        <v>17</v>
      </c>
      <c r="BN58" s="126">
        <f t="shared" si="1"/>
        <v>3</v>
      </c>
      <c r="BO58" s="126"/>
    </row>
    <row r="59" spans="1:67" ht="16.5">
      <c r="A59" s="127" t="s">
        <v>72</v>
      </c>
      <c r="B59" s="127" t="s">
        <v>91</v>
      </c>
      <c r="C59" s="128" t="s">
        <v>92</v>
      </c>
      <c r="D59" s="132">
        <v>0.43819444444444444</v>
      </c>
      <c r="E59" s="132">
        <v>0.22500000000000001</v>
      </c>
      <c r="F59" s="129"/>
      <c r="G59" s="129"/>
      <c r="H59" s="129"/>
      <c r="I59" s="129"/>
      <c r="J59" s="124"/>
      <c r="K59" s="124"/>
      <c r="L59" s="129"/>
      <c r="M59" s="129"/>
      <c r="N59" s="132">
        <v>0.41041666666666665</v>
      </c>
      <c r="O59" s="126"/>
      <c r="P59" s="126"/>
      <c r="Q59" s="126"/>
      <c r="R59" s="132">
        <v>0.38819444444444445</v>
      </c>
      <c r="S59" s="132">
        <v>0.22083333333333333</v>
      </c>
      <c r="T59" s="132">
        <v>0.47847222222222224</v>
      </c>
      <c r="U59" s="132">
        <v>0.26111111111111113</v>
      </c>
      <c r="V59" s="126"/>
      <c r="W59" s="132">
        <v>0.16805555555555557</v>
      </c>
      <c r="X59" s="124"/>
      <c r="Y59" s="124"/>
      <c r="Z59" s="129"/>
      <c r="AA59" s="129"/>
      <c r="AB59" s="132">
        <v>0.3972222222222222</v>
      </c>
      <c r="AC59" s="126"/>
      <c r="AD59" s="132">
        <v>0.41180555555555554</v>
      </c>
      <c r="AE59" s="132">
        <v>0.28333333333333333</v>
      </c>
      <c r="AF59" s="132">
        <v>0</v>
      </c>
      <c r="AG59" s="132">
        <v>0</v>
      </c>
      <c r="AH59" s="126"/>
      <c r="AI59" s="132">
        <v>0.19444444444444445</v>
      </c>
      <c r="AJ59" s="126"/>
      <c r="AK59" s="126"/>
      <c r="AL59" s="130">
        <v>0.41736111111111113</v>
      </c>
      <c r="AM59" s="130">
        <v>0.52708333333333335</v>
      </c>
      <c r="AN59" s="129"/>
      <c r="AO59" s="129"/>
      <c r="AP59" s="132">
        <v>0.40694444444444444</v>
      </c>
      <c r="AQ59" s="132">
        <v>0.28263888888888888</v>
      </c>
      <c r="AR59" s="132">
        <v>0.39027777777777778</v>
      </c>
      <c r="AS59" s="126"/>
      <c r="AT59" s="132">
        <v>0.39374999999999999</v>
      </c>
      <c r="AU59" s="126"/>
      <c r="AV59" s="132">
        <v>0.42499999999999999</v>
      </c>
      <c r="AW59" s="126"/>
      <c r="AX59" s="132">
        <v>0.39444444444444443</v>
      </c>
      <c r="AY59" s="132">
        <v>0.23958333333333334</v>
      </c>
      <c r="AZ59" s="130">
        <v>0.43055555555555558</v>
      </c>
      <c r="BA59" s="124"/>
      <c r="BB59" s="129"/>
      <c r="BC59" s="129"/>
      <c r="BD59" s="132">
        <v>0</v>
      </c>
      <c r="BE59" s="132">
        <v>0</v>
      </c>
      <c r="BF59" s="132">
        <v>0</v>
      </c>
      <c r="BG59" s="132">
        <v>0</v>
      </c>
      <c r="BH59" s="132">
        <v>0.41388888888888886</v>
      </c>
      <c r="BI59" s="132">
        <v>0.26458333333333334</v>
      </c>
      <c r="BJ59" s="132">
        <v>0.44166666666666665</v>
      </c>
      <c r="BK59" s="126"/>
      <c r="BL59" s="126">
        <f t="shared" si="2"/>
        <v>16</v>
      </c>
      <c r="BM59" s="126">
        <f t="shared" si="2"/>
        <v>12</v>
      </c>
      <c r="BN59" s="126">
        <f t="shared" si="1"/>
        <v>3</v>
      </c>
      <c r="BO59" s="126"/>
    </row>
    <row r="60" spans="1:67" ht="16.5">
      <c r="A60" s="127" t="s">
        <v>72</v>
      </c>
      <c r="B60" s="127" t="s">
        <v>91</v>
      </c>
      <c r="C60" s="128" t="s">
        <v>93</v>
      </c>
      <c r="D60" s="126"/>
      <c r="E60" s="126"/>
      <c r="F60" s="129"/>
      <c r="G60" s="129"/>
      <c r="H60" s="129"/>
      <c r="I60" s="129"/>
      <c r="J60" s="124"/>
      <c r="K60" s="124"/>
      <c r="L60" s="129"/>
      <c r="M60" s="129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4"/>
      <c r="Y60" s="124"/>
      <c r="Z60" s="129"/>
      <c r="AA60" s="129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4"/>
      <c r="AM60" s="124"/>
      <c r="AN60" s="129"/>
      <c r="AO60" s="129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4"/>
      <c r="BA60" s="124"/>
      <c r="BB60" s="129"/>
      <c r="BC60" s="129"/>
      <c r="BD60" s="126"/>
      <c r="BE60" s="126"/>
      <c r="BF60" s="126"/>
      <c r="BG60" s="126"/>
      <c r="BH60" s="126"/>
      <c r="BI60" s="126"/>
      <c r="BJ60" s="126"/>
      <c r="BK60" s="126"/>
      <c r="BL60" s="126">
        <f t="shared" si="2"/>
        <v>0</v>
      </c>
      <c r="BM60" s="126">
        <f t="shared" si="2"/>
        <v>0</v>
      </c>
      <c r="BN60" s="126">
        <f t="shared" si="1"/>
        <v>0</v>
      </c>
      <c r="BO60" s="126"/>
    </row>
    <row r="61" spans="1:67" ht="16.5">
      <c r="A61" s="127" t="s">
        <v>94</v>
      </c>
      <c r="B61" s="127" t="s">
        <v>95</v>
      </c>
      <c r="C61" s="128" t="s">
        <v>96</v>
      </c>
      <c r="D61" s="132">
        <v>0.36249999999999999</v>
      </c>
      <c r="E61" s="132">
        <v>0.22222222222222221</v>
      </c>
      <c r="F61" s="129"/>
      <c r="G61" s="129"/>
      <c r="H61" s="129"/>
      <c r="I61" s="129"/>
      <c r="J61" s="124"/>
      <c r="K61" s="124"/>
      <c r="L61" s="129"/>
      <c r="M61" s="129"/>
      <c r="N61" s="132">
        <v>0</v>
      </c>
      <c r="O61" s="132">
        <v>0</v>
      </c>
      <c r="P61" s="132">
        <v>0</v>
      </c>
      <c r="Q61" s="132">
        <v>0</v>
      </c>
      <c r="R61" s="132">
        <v>0.37222222222222223</v>
      </c>
      <c r="S61" s="132">
        <v>0.15555555555555556</v>
      </c>
      <c r="T61" s="132">
        <v>0.38124999999999998</v>
      </c>
      <c r="U61" s="132">
        <v>0.12430555555555556</v>
      </c>
      <c r="V61" s="132">
        <v>0.38680555555555557</v>
      </c>
      <c r="W61" s="132">
        <v>0.13958333333333334</v>
      </c>
      <c r="X61" s="124"/>
      <c r="Y61" s="124"/>
      <c r="Z61" s="129"/>
      <c r="AA61" s="129"/>
      <c r="AB61" s="132">
        <v>0.35694444444444445</v>
      </c>
      <c r="AC61" s="132">
        <v>0.16180555555555556</v>
      </c>
      <c r="AD61" s="132">
        <v>0.36319444444444443</v>
      </c>
      <c r="AE61" s="132">
        <v>0.1076388888888889</v>
      </c>
      <c r="AF61" s="132">
        <v>0.36041666666666666</v>
      </c>
      <c r="AG61" s="132">
        <v>0.15625</v>
      </c>
      <c r="AH61" s="132">
        <v>0.36944444444444446</v>
      </c>
      <c r="AI61" s="132">
        <v>0.17430555555555555</v>
      </c>
      <c r="AJ61" s="132">
        <v>0.34930555555555554</v>
      </c>
      <c r="AK61" s="132">
        <v>0.16805555555555557</v>
      </c>
      <c r="AL61" s="124"/>
      <c r="AM61" s="124"/>
      <c r="AN61" s="129"/>
      <c r="AO61" s="129"/>
      <c r="AP61" s="132">
        <v>0.35625000000000001</v>
      </c>
      <c r="AQ61" s="132">
        <v>0.13750000000000001</v>
      </c>
      <c r="AR61" s="132">
        <v>0.36458333333333331</v>
      </c>
      <c r="AS61" s="132">
        <v>0.12777777777777777</v>
      </c>
      <c r="AT61" s="132">
        <v>0.35833333333333334</v>
      </c>
      <c r="AU61" s="132">
        <v>0.12847222222222221</v>
      </c>
      <c r="AV61" s="132">
        <v>0.37013888888888891</v>
      </c>
      <c r="AW61" s="132">
        <v>0.14374999999999999</v>
      </c>
      <c r="AX61" s="132">
        <v>0.36805555555555558</v>
      </c>
      <c r="AY61" s="132">
        <v>0.14374999999999999</v>
      </c>
      <c r="AZ61" s="124"/>
      <c r="BA61" s="124"/>
      <c r="BB61" s="129"/>
      <c r="BC61" s="129"/>
      <c r="BD61" s="132">
        <v>0.3576388888888889</v>
      </c>
      <c r="BE61" s="132">
        <v>0.17986111111111111</v>
      </c>
      <c r="BF61" s="132">
        <v>0.36388888888888887</v>
      </c>
      <c r="BG61" s="132">
        <v>0.13680555555555557</v>
      </c>
      <c r="BH61" s="132">
        <v>0.35416666666666669</v>
      </c>
      <c r="BI61" s="132">
        <v>0.16458333333333333</v>
      </c>
      <c r="BJ61" s="132">
        <v>0.37430555555555556</v>
      </c>
      <c r="BK61" s="132">
        <v>0.17083333333333334</v>
      </c>
      <c r="BL61" s="126">
        <f t="shared" si="2"/>
        <v>20</v>
      </c>
      <c r="BM61" s="126">
        <f t="shared" si="2"/>
        <v>20</v>
      </c>
      <c r="BN61" s="126">
        <f t="shared" si="1"/>
        <v>0</v>
      </c>
      <c r="BO61" s="126"/>
    </row>
    <row r="62" spans="1:67" ht="16.5">
      <c r="A62" s="127" t="s">
        <v>97</v>
      </c>
      <c r="B62" s="127" t="s">
        <v>192</v>
      </c>
      <c r="C62" s="128" t="s">
        <v>99</v>
      </c>
      <c r="D62" s="132">
        <v>0.37569444444444444</v>
      </c>
      <c r="E62" s="132">
        <v>0.2673611111111111</v>
      </c>
      <c r="F62" s="129"/>
      <c r="G62" s="129"/>
      <c r="H62" s="129"/>
      <c r="I62" s="129"/>
      <c r="J62" s="124"/>
      <c r="K62" s="124"/>
      <c r="L62" s="129"/>
      <c r="M62" s="129"/>
      <c r="N62" s="132">
        <v>0.37430555555555556</v>
      </c>
      <c r="O62" s="132">
        <v>0.2048611111111111</v>
      </c>
      <c r="P62" s="132">
        <v>0.3659722222222222</v>
      </c>
      <c r="Q62" s="132">
        <v>0</v>
      </c>
      <c r="R62" s="132">
        <v>0.35347222222222224</v>
      </c>
      <c r="S62" s="132">
        <v>0.22500000000000001</v>
      </c>
      <c r="T62" s="132">
        <v>0.35208333333333336</v>
      </c>
      <c r="U62" s="132">
        <v>0.20208333333333334</v>
      </c>
      <c r="V62" s="132">
        <v>0.38333333333333336</v>
      </c>
      <c r="W62" s="132">
        <v>0.24513888888888888</v>
      </c>
      <c r="X62" s="130">
        <v>0.32916666666666666</v>
      </c>
      <c r="Y62" s="124"/>
      <c r="Z62" s="129"/>
      <c r="AA62" s="129"/>
      <c r="AB62" s="132">
        <v>0.35138888888888886</v>
      </c>
      <c r="AC62" s="132">
        <v>0.22430555555555556</v>
      </c>
      <c r="AD62" s="132">
        <v>0.36875000000000002</v>
      </c>
      <c r="AE62" s="132">
        <v>0.2</v>
      </c>
      <c r="AF62" s="126"/>
      <c r="AG62" s="132">
        <v>0.2388888888888889</v>
      </c>
      <c r="AH62" s="132">
        <v>0.37986111111111109</v>
      </c>
      <c r="AI62" s="132">
        <v>0.23541666666666666</v>
      </c>
      <c r="AJ62" s="132">
        <v>0.38055555555555554</v>
      </c>
      <c r="AK62" s="126"/>
      <c r="AL62" s="130">
        <v>0.37916666666666665</v>
      </c>
      <c r="AM62" s="124"/>
      <c r="AN62" s="129"/>
      <c r="AO62" s="129"/>
      <c r="AP62" s="132">
        <v>0.37638888888888888</v>
      </c>
      <c r="AQ62" s="132">
        <v>0.22569444444444445</v>
      </c>
      <c r="AR62" s="132">
        <v>0.38194444444444442</v>
      </c>
      <c r="AS62" s="132">
        <v>0.24444444444444444</v>
      </c>
      <c r="AT62" s="132">
        <v>0.36666666666666664</v>
      </c>
      <c r="AU62" s="126"/>
      <c r="AV62" s="132">
        <v>0.3576388888888889</v>
      </c>
      <c r="AW62" s="132">
        <v>0.21527777777777779</v>
      </c>
      <c r="AX62" s="132">
        <v>0.38194444444444442</v>
      </c>
      <c r="AY62" s="132">
        <v>0.24374999999999999</v>
      </c>
      <c r="AZ62" s="130">
        <v>0.40069444444444446</v>
      </c>
      <c r="BA62" s="124"/>
      <c r="BB62" s="129"/>
      <c r="BC62" s="129"/>
      <c r="BD62" s="132">
        <v>0.36805555555555558</v>
      </c>
      <c r="BE62" s="132">
        <v>0.2388888888888889</v>
      </c>
      <c r="BF62" s="132">
        <v>0.37361111111111112</v>
      </c>
      <c r="BG62" s="132">
        <v>0.27430555555555558</v>
      </c>
      <c r="BH62" s="132">
        <v>0.36319444444444443</v>
      </c>
      <c r="BI62" s="132">
        <v>0.24513888888888888</v>
      </c>
      <c r="BJ62" s="132">
        <v>0.35972222222222222</v>
      </c>
      <c r="BK62" s="126"/>
      <c r="BL62" s="126">
        <f t="shared" si="2"/>
        <v>19</v>
      </c>
      <c r="BM62" s="126">
        <f t="shared" si="2"/>
        <v>17</v>
      </c>
      <c r="BN62" s="126">
        <f t="shared" si="1"/>
        <v>3</v>
      </c>
      <c r="BO62" s="126"/>
    </row>
    <row r="63" spans="1:67" ht="16.5">
      <c r="A63" s="127" t="s">
        <v>97</v>
      </c>
      <c r="B63" s="127" t="s">
        <v>100</v>
      </c>
      <c r="C63" s="128" t="s">
        <v>101</v>
      </c>
      <c r="D63" s="126"/>
      <c r="E63" s="126"/>
      <c r="F63" s="129"/>
      <c r="G63" s="129"/>
      <c r="H63" s="129"/>
      <c r="I63" s="129"/>
      <c r="J63" s="130">
        <v>0.40138888888888891</v>
      </c>
      <c r="K63" s="124"/>
      <c r="L63" s="129"/>
      <c r="M63" s="129"/>
      <c r="N63" s="132">
        <v>0.40694444444444444</v>
      </c>
      <c r="O63" s="132">
        <v>0.2048611111111111</v>
      </c>
      <c r="P63" s="132">
        <v>0.39861111111111114</v>
      </c>
      <c r="Q63" s="132">
        <v>0.24861111111111112</v>
      </c>
      <c r="R63" s="132">
        <v>0.46736111111111112</v>
      </c>
      <c r="S63" s="132">
        <v>0.27361111111111114</v>
      </c>
      <c r="T63" s="132">
        <v>0.46111111111111114</v>
      </c>
      <c r="U63" s="132">
        <v>0.29791666666666666</v>
      </c>
      <c r="V63" s="132">
        <v>0.50763888888888886</v>
      </c>
      <c r="W63" s="132">
        <v>0.25208333333333333</v>
      </c>
      <c r="X63" s="130">
        <v>0.34305555555555556</v>
      </c>
      <c r="Y63" s="124"/>
      <c r="Z63" s="129"/>
      <c r="AA63" s="129"/>
      <c r="AB63" s="132">
        <v>0.43055555555555558</v>
      </c>
      <c r="AC63" s="132">
        <v>0.29722222222222222</v>
      </c>
      <c r="AD63" s="132">
        <v>0.44791666666666669</v>
      </c>
      <c r="AE63" s="132">
        <v>0.32083333333333336</v>
      </c>
      <c r="AF63" s="126"/>
      <c r="AG63" s="132">
        <v>0.30069444444444443</v>
      </c>
      <c r="AH63" s="132">
        <v>0.42638888888888887</v>
      </c>
      <c r="AI63" s="132">
        <v>0.26666666666666666</v>
      </c>
      <c r="AJ63" s="132">
        <v>0.43819444444444444</v>
      </c>
      <c r="AK63" s="132">
        <v>0.2590277777777778</v>
      </c>
      <c r="AL63" s="130">
        <v>0.41666666666666669</v>
      </c>
      <c r="AM63" s="124"/>
      <c r="AN63" s="129"/>
      <c r="AO63" s="129"/>
      <c r="AP63" s="132" t="s">
        <v>640</v>
      </c>
      <c r="AQ63" s="132">
        <v>0.28194444444444444</v>
      </c>
      <c r="AR63" s="132">
        <v>0.53263888888888888</v>
      </c>
      <c r="AS63" s="132">
        <v>0.23680555555555555</v>
      </c>
      <c r="AT63" s="132">
        <v>0.40763888888888888</v>
      </c>
      <c r="AU63" s="132">
        <v>0.31319444444444444</v>
      </c>
      <c r="AV63" s="132">
        <v>0.41249999999999998</v>
      </c>
      <c r="AW63" s="132">
        <v>0.28749999999999998</v>
      </c>
      <c r="AX63" s="132">
        <v>0.42916666666666664</v>
      </c>
      <c r="AY63" s="132">
        <v>0.27083333333333331</v>
      </c>
      <c r="AZ63" s="130">
        <v>0.37777777777777777</v>
      </c>
      <c r="BA63" s="124"/>
      <c r="BB63" s="129"/>
      <c r="BC63" s="129"/>
      <c r="BD63" s="132">
        <v>0.39374999999999999</v>
      </c>
      <c r="BE63" s="132">
        <v>0.2902777777777778</v>
      </c>
      <c r="BF63" s="132">
        <v>0.47916666666666669</v>
      </c>
      <c r="BG63" s="132">
        <v>0.29375000000000001</v>
      </c>
      <c r="BH63" s="132">
        <v>0.46805555555555556</v>
      </c>
      <c r="BI63" s="132">
        <v>0.32083333333333336</v>
      </c>
      <c r="BJ63" s="132">
        <v>0.44097222222222221</v>
      </c>
      <c r="BK63" s="126"/>
      <c r="BL63" s="126">
        <f t="shared" si="2"/>
        <v>18</v>
      </c>
      <c r="BM63" s="126">
        <f t="shared" si="2"/>
        <v>18</v>
      </c>
      <c r="BN63" s="126">
        <f t="shared" si="1"/>
        <v>4</v>
      </c>
      <c r="BO63" s="126"/>
    </row>
    <row r="64" spans="1:67" ht="16.5">
      <c r="A64" s="127" t="s">
        <v>97</v>
      </c>
      <c r="B64" s="127" t="s">
        <v>102</v>
      </c>
      <c r="C64" s="128" t="s">
        <v>103</v>
      </c>
      <c r="D64" s="132">
        <v>0.40208333333333335</v>
      </c>
      <c r="E64" s="132">
        <v>0.22916666666666666</v>
      </c>
      <c r="F64" s="129"/>
      <c r="G64" s="129"/>
      <c r="H64" s="129"/>
      <c r="I64" s="129"/>
      <c r="J64" s="124"/>
      <c r="K64" s="124"/>
      <c r="L64" s="129"/>
      <c r="M64" s="129"/>
      <c r="N64" s="132">
        <v>0.36875000000000002</v>
      </c>
      <c r="O64" s="126"/>
      <c r="P64" s="126"/>
      <c r="Q64" s="126"/>
      <c r="R64" s="126"/>
      <c r="S64" s="126"/>
      <c r="T64" s="132">
        <v>0.41944444444444445</v>
      </c>
      <c r="U64" s="126"/>
      <c r="V64" s="126"/>
      <c r="W64" s="126"/>
      <c r="X64" s="124"/>
      <c r="Y64" s="124"/>
      <c r="Z64" s="129"/>
      <c r="AA64" s="129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4"/>
      <c r="AM64" s="124"/>
      <c r="AN64" s="129"/>
      <c r="AO64" s="129"/>
      <c r="AP64" s="126"/>
      <c r="AQ64" s="126"/>
      <c r="AR64" s="126"/>
      <c r="AS64" s="126"/>
      <c r="AT64" s="132">
        <v>0.41111111111111109</v>
      </c>
      <c r="AU64" s="126"/>
      <c r="AV64" s="126"/>
      <c r="AW64" s="126"/>
      <c r="AX64" s="132">
        <v>0.39444444444444443</v>
      </c>
      <c r="AY64" s="126"/>
      <c r="AZ64" s="124"/>
      <c r="BA64" s="124"/>
      <c r="BB64" s="129"/>
      <c r="BC64" s="129"/>
      <c r="BD64" s="126"/>
      <c r="BE64" s="126"/>
      <c r="BF64" s="126"/>
      <c r="BG64" s="126"/>
      <c r="BH64" s="126"/>
      <c r="BI64" s="126"/>
      <c r="BJ64" s="126"/>
      <c r="BK64" s="126"/>
      <c r="BL64" s="126">
        <f t="shared" si="2"/>
        <v>5</v>
      </c>
      <c r="BM64" s="126">
        <f t="shared" si="2"/>
        <v>1</v>
      </c>
      <c r="BN64" s="126">
        <f t="shared" si="1"/>
        <v>0</v>
      </c>
      <c r="BO64" s="126"/>
    </row>
    <row r="65" spans="1:67" ht="16.5">
      <c r="A65" s="127" t="s">
        <v>97</v>
      </c>
      <c r="B65" s="127" t="s">
        <v>102</v>
      </c>
      <c r="C65" s="128" t="s">
        <v>104</v>
      </c>
      <c r="D65" s="126"/>
      <c r="E65" s="126"/>
      <c r="F65" s="129"/>
      <c r="G65" s="129"/>
      <c r="H65" s="129"/>
      <c r="I65" s="129"/>
      <c r="J65" s="130">
        <v>0.36944444444444446</v>
      </c>
      <c r="K65" s="124"/>
      <c r="L65" s="129"/>
      <c r="M65" s="129"/>
      <c r="N65" s="132">
        <v>0.40694444444444444</v>
      </c>
      <c r="O65" s="132">
        <v>0.19930555555555557</v>
      </c>
      <c r="P65" s="132">
        <v>0.4201388888888889</v>
      </c>
      <c r="Q65" s="132">
        <v>0.17847222222222223</v>
      </c>
      <c r="R65" s="132">
        <v>0.37777777777777777</v>
      </c>
      <c r="S65" s="132">
        <v>0.18472222222222223</v>
      </c>
      <c r="T65" s="126"/>
      <c r="U65" s="126"/>
      <c r="V65" s="126"/>
      <c r="W65" s="132">
        <v>0.18819444444444444</v>
      </c>
      <c r="X65" s="124"/>
      <c r="Y65" s="124"/>
      <c r="Z65" s="129"/>
      <c r="AA65" s="129"/>
      <c r="AB65" s="132">
        <v>0.43125000000000002</v>
      </c>
      <c r="AC65" s="132">
        <v>0.18194444444444444</v>
      </c>
      <c r="AD65" s="132">
        <v>0.38194444444444442</v>
      </c>
      <c r="AE65" s="132">
        <v>0.19027777777777777</v>
      </c>
      <c r="AF65" s="132">
        <v>0.45763888888888887</v>
      </c>
      <c r="AG65" s="126"/>
      <c r="AH65" s="132">
        <v>0.41875000000000001</v>
      </c>
      <c r="AI65" s="126"/>
      <c r="AJ65" s="132">
        <v>0.40972222222222221</v>
      </c>
      <c r="AK65" s="132">
        <v>0.20416666666666666</v>
      </c>
      <c r="AL65" s="124"/>
      <c r="AM65" s="124"/>
      <c r="AN65" s="129"/>
      <c r="AO65" s="129"/>
      <c r="AP65" s="132">
        <v>0.3923611111111111</v>
      </c>
      <c r="AQ65" s="132">
        <v>0.26180555555555557</v>
      </c>
      <c r="AR65" s="126"/>
      <c r="AS65" s="126"/>
      <c r="AT65" s="126"/>
      <c r="AU65" s="126"/>
      <c r="AV65" s="132">
        <v>0.40277777777777779</v>
      </c>
      <c r="AW65" s="132">
        <v>0.2388888888888889</v>
      </c>
      <c r="AX65" s="126"/>
      <c r="AY65" s="126"/>
      <c r="AZ65" s="124"/>
      <c r="BA65" s="124"/>
      <c r="BB65" s="129"/>
      <c r="BC65" s="129"/>
      <c r="BD65" s="132">
        <v>0.4</v>
      </c>
      <c r="BE65" s="132">
        <v>0.23749999999999999</v>
      </c>
      <c r="BF65" s="132">
        <v>0.38194444444444442</v>
      </c>
      <c r="BG65" s="132">
        <v>0.43888888888888888</v>
      </c>
      <c r="BH65" s="132">
        <v>0.42569444444444443</v>
      </c>
      <c r="BI65" s="132">
        <v>0.22291666666666668</v>
      </c>
      <c r="BJ65" s="132">
        <v>0.43472222222222223</v>
      </c>
      <c r="BK65" s="126"/>
      <c r="BL65" s="126">
        <f t="shared" si="2"/>
        <v>14</v>
      </c>
      <c r="BM65" s="126">
        <f t="shared" si="2"/>
        <v>12</v>
      </c>
      <c r="BN65" s="126">
        <f t="shared" si="1"/>
        <v>1</v>
      </c>
      <c r="BO65" s="126"/>
    </row>
    <row r="66" spans="1:67" ht="16.5">
      <c r="A66" s="127" t="s">
        <v>97</v>
      </c>
      <c r="B66" s="127" t="s">
        <v>105</v>
      </c>
      <c r="C66" s="128" t="s">
        <v>106</v>
      </c>
      <c r="D66" s="126"/>
      <c r="E66" s="132">
        <v>0.19791666666666666</v>
      </c>
      <c r="F66" s="129"/>
      <c r="G66" s="129"/>
      <c r="H66" s="129"/>
      <c r="I66" s="129"/>
      <c r="J66" s="124"/>
      <c r="K66" s="124"/>
      <c r="L66" s="129"/>
      <c r="M66" s="129"/>
      <c r="N66" s="132">
        <v>0.33958333333333335</v>
      </c>
      <c r="O66" s="132">
        <v>0.21805555555555556</v>
      </c>
      <c r="P66" s="132">
        <v>0.35138888888888886</v>
      </c>
      <c r="Q66" s="132">
        <v>0.2326388888888889</v>
      </c>
      <c r="R66" s="132">
        <v>0.3576388888888889</v>
      </c>
      <c r="S66" s="132">
        <v>0.19791666666666666</v>
      </c>
      <c r="T66" s="132">
        <v>0.34930555555555554</v>
      </c>
      <c r="U66" s="132">
        <v>0.2388888888888889</v>
      </c>
      <c r="V66" s="132">
        <v>0.38472222222222224</v>
      </c>
      <c r="W66" s="126"/>
      <c r="X66" s="124"/>
      <c r="Y66" s="124"/>
      <c r="Z66" s="129"/>
      <c r="AA66" s="129"/>
      <c r="AB66" s="126"/>
      <c r="AC66" s="126"/>
      <c r="AD66" s="132">
        <v>0.4</v>
      </c>
      <c r="AE66" s="126"/>
      <c r="AF66" s="126"/>
      <c r="AG66" s="126"/>
      <c r="AH66" s="126"/>
      <c r="AI66" s="126"/>
      <c r="AJ66" s="132">
        <v>0.35</v>
      </c>
      <c r="AK66" s="126"/>
      <c r="AL66" s="124"/>
      <c r="AM66" s="124"/>
      <c r="AN66" s="129"/>
      <c r="AO66" s="129"/>
      <c r="AP66" s="126"/>
      <c r="AQ66" s="126"/>
      <c r="AR66" s="132">
        <v>0.40833333333333333</v>
      </c>
      <c r="AS66" s="126"/>
      <c r="AT66" s="132">
        <v>0.42569444444444443</v>
      </c>
      <c r="AU66" s="126"/>
      <c r="AV66" s="126"/>
      <c r="AW66" s="132">
        <v>0.19097222222222221</v>
      </c>
      <c r="AX66" s="132">
        <v>0.36527777777777776</v>
      </c>
      <c r="AY66" s="126"/>
      <c r="AZ66" s="124"/>
      <c r="BA66" s="124"/>
      <c r="BB66" s="129"/>
      <c r="BC66" s="129"/>
      <c r="BD66" s="126"/>
      <c r="BE66" s="126"/>
      <c r="BF66" s="126"/>
      <c r="BG66" s="126"/>
      <c r="BH66" s="132">
        <v>0.35069444444444442</v>
      </c>
      <c r="BI66" s="126"/>
      <c r="BJ66" s="132">
        <v>0.36875000000000002</v>
      </c>
      <c r="BK66" s="126"/>
      <c r="BL66" s="126">
        <f t="shared" si="2"/>
        <v>12</v>
      </c>
      <c r="BM66" s="126">
        <f t="shared" si="2"/>
        <v>6</v>
      </c>
      <c r="BN66" s="126">
        <f t="shared" si="1"/>
        <v>0</v>
      </c>
      <c r="BO66" s="126"/>
    </row>
    <row r="67" spans="1:67" ht="16.5">
      <c r="A67" s="127" t="s">
        <v>97</v>
      </c>
      <c r="B67" s="127" t="s">
        <v>105</v>
      </c>
      <c r="C67" s="128" t="s">
        <v>107</v>
      </c>
      <c r="D67" s="126"/>
      <c r="E67" s="126"/>
      <c r="F67" s="129"/>
      <c r="G67" s="129"/>
      <c r="H67" s="129"/>
      <c r="I67" s="129"/>
      <c r="J67" s="124"/>
      <c r="K67" s="124"/>
      <c r="L67" s="129"/>
      <c r="M67" s="129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4"/>
      <c r="Y67" s="124"/>
      <c r="Z67" s="129"/>
      <c r="AA67" s="129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4"/>
      <c r="AM67" s="124"/>
      <c r="AN67" s="129"/>
      <c r="AO67" s="129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4"/>
      <c r="BA67" s="124"/>
      <c r="BB67" s="129"/>
      <c r="BC67" s="129"/>
      <c r="BD67" s="126"/>
      <c r="BE67" s="126"/>
      <c r="BF67" s="126"/>
      <c r="BG67" s="126"/>
      <c r="BH67" s="126"/>
      <c r="BI67" s="126"/>
      <c r="BJ67" s="126"/>
      <c r="BK67" s="126"/>
      <c r="BL67" s="126">
        <f t="shared" si="2"/>
        <v>0</v>
      </c>
      <c r="BM67" s="126">
        <f t="shared" si="2"/>
        <v>0</v>
      </c>
      <c r="BN67" s="126">
        <f t="shared" ref="BN67:BN130" si="3">COUNTA(J67,K67,X67,Y67,AL67,AM67,AZ67,BA67)</f>
        <v>0</v>
      </c>
      <c r="BO67" s="126"/>
    </row>
    <row r="68" spans="1:67" ht="16.5">
      <c r="A68" s="127" t="s">
        <v>108</v>
      </c>
      <c r="B68" s="127" t="s">
        <v>109</v>
      </c>
      <c r="C68" s="128" t="s">
        <v>110</v>
      </c>
      <c r="D68" s="132">
        <v>0.3888888888888889</v>
      </c>
      <c r="E68" s="126"/>
      <c r="F68" s="129"/>
      <c r="G68" s="129"/>
      <c r="H68" s="129"/>
      <c r="I68" s="129"/>
      <c r="J68" s="124"/>
      <c r="K68" s="124"/>
      <c r="L68" s="129"/>
      <c r="M68" s="129"/>
      <c r="N68" s="132">
        <v>0.36527777777777776</v>
      </c>
      <c r="O68" s="132">
        <v>0.2076388888888889</v>
      </c>
      <c r="P68" s="132">
        <v>0.35972222222222222</v>
      </c>
      <c r="Q68" s="126"/>
      <c r="R68" s="132">
        <v>0.36319444444444443</v>
      </c>
      <c r="S68" s="126"/>
      <c r="T68" s="132">
        <v>0.39861111111111114</v>
      </c>
      <c r="U68" s="132">
        <v>0.16388888888888889</v>
      </c>
      <c r="V68" s="132">
        <v>0.36041666666666666</v>
      </c>
      <c r="W68" s="132">
        <v>0.14722222222222223</v>
      </c>
      <c r="X68" s="124"/>
      <c r="Y68" s="124"/>
      <c r="Z68" s="129"/>
      <c r="AA68" s="129"/>
      <c r="AB68" s="132">
        <v>0.45208333333333334</v>
      </c>
      <c r="AC68" s="132">
        <v>0.14305555555555555</v>
      </c>
      <c r="AD68" s="132">
        <v>0.35625000000000001</v>
      </c>
      <c r="AE68" s="126"/>
      <c r="AF68" s="132">
        <v>0.4375</v>
      </c>
      <c r="AG68" s="126"/>
      <c r="AH68" s="132">
        <v>0.4284722222222222</v>
      </c>
      <c r="AI68" s="126"/>
      <c r="AJ68" s="132">
        <v>0.3611111111111111</v>
      </c>
      <c r="AK68" s="132">
        <v>0.17430555555555555</v>
      </c>
      <c r="AL68" s="130">
        <v>0.3972222222222222</v>
      </c>
      <c r="AM68" s="124"/>
      <c r="AN68" s="129"/>
      <c r="AO68" s="129"/>
      <c r="AP68" s="132">
        <v>0.45416666666666666</v>
      </c>
      <c r="AQ68" s="126"/>
      <c r="AR68" s="132">
        <v>0.34930555555555554</v>
      </c>
      <c r="AS68" s="126"/>
      <c r="AT68" s="132">
        <v>0.47430555555555554</v>
      </c>
      <c r="AU68" s="126"/>
      <c r="AV68" s="132">
        <v>0</v>
      </c>
      <c r="AW68" s="126"/>
      <c r="AX68" s="132">
        <v>0.35416666666666669</v>
      </c>
      <c r="AY68" s="132">
        <v>0.19166666666666668</v>
      </c>
      <c r="AZ68" s="130">
        <v>0.38750000000000001</v>
      </c>
      <c r="BA68" s="124"/>
      <c r="BB68" s="129"/>
      <c r="BC68" s="129"/>
      <c r="BD68" s="132">
        <v>0.36388888888888887</v>
      </c>
      <c r="BE68" s="132">
        <v>0.13958333333333334</v>
      </c>
      <c r="BF68" s="132">
        <v>0.37708333333333333</v>
      </c>
      <c r="BG68" s="132">
        <v>0.2076388888888889</v>
      </c>
      <c r="BH68" s="132">
        <v>0.38194444444444442</v>
      </c>
      <c r="BI68" s="132">
        <v>0.19722222222222222</v>
      </c>
      <c r="BJ68" s="132">
        <v>0.37708333333333333</v>
      </c>
      <c r="BK68" s="126"/>
      <c r="BL68" s="126">
        <f t="shared" si="2"/>
        <v>20</v>
      </c>
      <c r="BM68" s="126">
        <f t="shared" si="2"/>
        <v>9</v>
      </c>
      <c r="BN68" s="126">
        <f t="shared" si="3"/>
        <v>2</v>
      </c>
      <c r="BO68" s="126"/>
    </row>
    <row r="69" spans="1:67" ht="16.5">
      <c r="A69" s="127" t="s">
        <v>108</v>
      </c>
      <c r="B69" s="127" t="s">
        <v>109</v>
      </c>
      <c r="C69" s="128" t="s">
        <v>111</v>
      </c>
      <c r="D69" s="126"/>
      <c r="E69" s="126"/>
      <c r="F69" s="129"/>
      <c r="G69" s="129"/>
      <c r="H69" s="129"/>
      <c r="I69" s="129"/>
      <c r="J69" s="124"/>
      <c r="K69" s="124"/>
      <c r="L69" s="129"/>
      <c r="M69" s="129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4"/>
      <c r="Y69" s="124"/>
      <c r="Z69" s="129"/>
      <c r="AA69" s="129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4"/>
      <c r="AM69" s="124"/>
      <c r="AN69" s="129"/>
      <c r="AO69" s="129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4"/>
      <c r="BA69" s="124"/>
      <c r="BB69" s="129"/>
      <c r="BC69" s="129"/>
      <c r="BD69" s="126"/>
      <c r="BE69" s="126"/>
      <c r="BF69" s="126"/>
      <c r="BG69" s="126"/>
      <c r="BH69" s="126"/>
      <c r="BI69" s="126"/>
      <c r="BJ69" s="126"/>
      <c r="BK69" s="126"/>
      <c r="BL69" s="126">
        <f t="shared" si="2"/>
        <v>0</v>
      </c>
      <c r="BM69" s="126">
        <f t="shared" si="2"/>
        <v>0</v>
      </c>
      <c r="BN69" s="126">
        <f t="shared" si="3"/>
        <v>0</v>
      </c>
      <c r="BO69" s="126"/>
    </row>
    <row r="70" spans="1:67" ht="16.5">
      <c r="A70" s="127" t="s">
        <v>108</v>
      </c>
      <c r="B70" s="127" t="s">
        <v>112</v>
      </c>
      <c r="C70" s="128" t="s">
        <v>113</v>
      </c>
      <c r="D70" s="126"/>
      <c r="E70" s="126"/>
      <c r="F70" s="129"/>
      <c r="G70" s="129"/>
      <c r="H70" s="129"/>
      <c r="I70" s="129"/>
      <c r="J70" s="124"/>
      <c r="K70" s="124"/>
      <c r="L70" s="129"/>
      <c r="M70" s="129"/>
      <c r="N70" s="132">
        <v>0.38958333333333334</v>
      </c>
      <c r="O70" s="132">
        <v>0.11944444444444445</v>
      </c>
      <c r="P70" s="126"/>
      <c r="Q70" s="132">
        <v>0.16388888888888889</v>
      </c>
      <c r="R70" s="132">
        <v>0.39027777777777778</v>
      </c>
      <c r="S70" s="126"/>
      <c r="T70" s="132">
        <v>0.36875000000000002</v>
      </c>
      <c r="U70" s="132">
        <v>0.15694444444444444</v>
      </c>
      <c r="V70" s="132">
        <v>0.37083333333333335</v>
      </c>
      <c r="W70" s="126"/>
      <c r="X70" s="124"/>
      <c r="Y70" s="124"/>
      <c r="Z70" s="129"/>
      <c r="AA70" s="129"/>
      <c r="AB70" s="132">
        <v>0.51388888888888884</v>
      </c>
      <c r="AC70" s="132">
        <v>0.23749999999999999</v>
      </c>
      <c r="AD70" s="132">
        <v>0.46736111111111112</v>
      </c>
      <c r="AE70" s="132">
        <v>0.17986111111111111</v>
      </c>
      <c r="AF70" s="132">
        <v>0.39027777777777778</v>
      </c>
      <c r="AG70" s="126"/>
      <c r="AH70" s="132">
        <v>0.46666666666666667</v>
      </c>
      <c r="AI70" s="132">
        <v>0.16180555555555556</v>
      </c>
      <c r="AJ70" s="132">
        <v>0.42569444444444443</v>
      </c>
      <c r="AK70" s="132">
        <v>0.20069444444444445</v>
      </c>
      <c r="AL70" s="124"/>
      <c r="AM70" s="124"/>
      <c r="AN70" s="129"/>
      <c r="AO70" s="129"/>
      <c r="AP70" s="132">
        <v>0.44444444444444442</v>
      </c>
      <c r="AQ70" s="132">
        <v>0.22013888888888888</v>
      </c>
      <c r="AR70" s="126"/>
      <c r="AS70" s="126"/>
      <c r="AT70" s="132">
        <v>0.4777777777777778</v>
      </c>
      <c r="AU70" s="132">
        <v>0.1875</v>
      </c>
      <c r="AV70" s="132">
        <v>0.40486111111111112</v>
      </c>
      <c r="AW70" s="132">
        <v>0.14166666666666666</v>
      </c>
      <c r="AX70" s="132">
        <v>0.44374999999999998</v>
      </c>
      <c r="AY70" s="126"/>
      <c r="AZ70" s="124"/>
      <c r="BA70" s="124"/>
      <c r="BB70" s="129"/>
      <c r="BC70" s="129"/>
      <c r="BD70" s="132">
        <v>0.41805555555555557</v>
      </c>
      <c r="BE70" s="132">
        <v>0.2013888888888889</v>
      </c>
      <c r="BF70" s="132">
        <v>0.44166666666666665</v>
      </c>
      <c r="BG70" s="126"/>
      <c r="BH70" s="132">
        <v>0.43263888888888891</v>
      </c>
      <c r="BI70" s="126"/>
      <c r="BJ70" s="126"/>
      <c r="BK70" s="132">
        <v>0.17847222222222223</v>
      </c>
      <c r="BL70" s="126">
        <f t="shared" si="2"/>
        <v>16</v>
      </c>
      <c r="BM70" s="126">
        <f t="shared" si="2"/>
        <v>12</v>
      </c>
      <c r="BN70" s="126">
        <f t="shared" si="3"/>
        <v>0</v>
      </c>
      <c r="BO70" s="126"/>
    </row>
    <row r="71" spans="1:67" ht="16.5">
      <c r="A71" s="127" t="s">
        <v>108</v>
      </c>
      <c r="B71" s="127" t="s">
        <v>112</v>
      </c>
      <c r="C71" s="128" t="s">
        <v>114</v>
      </c>
      <c r="D71" s="126"/>
      <c r="E71" s="126"/>
      <c r="F71" s="129"/>
      <c r="G71" s="129"/>
      <c r="H71" s="129"/>
      <c r="I71" s="129"/>
      <c r="J71" s="124"/>
      <c r="K71" s="124"/>
      <c r="L71" s="129"/>
      <c r="M71" s="129"/>
      <c r="N71" s="126"/>
      <c r="O71" s="126"/>
      <c r="P71" s="126"/>
      <c r="Q71" s="126"/>
      <c r="R71" s="126"/>
      <c r="S71" s="132">
        <v>0.28472222222222221</v>
      </c>
      <c r="T71" s="126"/>
      <c r="U71" s="126"/>
      <c r="V71" s="126"/>
      <c r="W71" s="132">
        <v>0.29444444444444445</v>
      </c>
      <c r="X71" s="130">
        <v>0.40277777777777779</v>
      </c>
      <c r="Y71" s="124"/>
      <c r="Z71" s="129"/>
      <c r="AA71" s="129"/>
      <c r="AB71" s="126"/>
      <c r="AC71" s="132">
        <v>0.19583333333333333</v>
      </c>
      <c r="AD71" s="126"/>
      <c r="AE71" s="126"/>
      <c r="AF71" s="126"/>
      <c r="AG71" s="132">
        <v>0.26458333333333334</v>
      </c>
      <c r="AH71" s="126"/>
      <c r="AI71" s="126"/>
      <c r="AJ71" s="126"/>
      <c r="AK71" s="126"/>
      <c r="AL71" s="124"/>
      <c r="AM71" s="124"/>
      <c r="AN71" s="129"/>
      <c r="AO71" s="129"/>
      <c r="AP71" s="126"/>
      <c r="AQ71" s="126"/>
      <c r="AR71" s="132">
        <v>0.41180555555555554</v>
      </c>
      <c r="AS71" s="126"/>
      <c r="AT71" s="126"/>
      <c r="AU71" s="126"/>
      <c r="AV71" s="126"/>
      <c r="AW71" s="126"/>
      <c r="AX71" s="126"/>
      <c r="AY71" s="126"/>
      <c r="AZ71" s="124"/>
      <c r="BA71" s="124"/>
      <c r="BB71" s="129"/>
      <c r="BC71" s="129"/>
      <c r="BD71" s="126"/>
      <c r="BE71" s="126"/>
      <c r="BF71" s="126"/>
      <c r="BG71" s="132">
        <v>0.24374999999999999</v>
      </c>
      <c r="BH71" s="126"/>
      <c r="BI71" s="132">
        <v>0.25416666666666665</v>
      </c>
      <c r="BJ71" s="132">
        <v>0.38472222222222224</v>
      </c>
      <c r="BK71" s="126"/>
      <c r="BL71" s="126">
        <f t="shared" si="2"/>
        <v>2</v>
      </c>
      <c r="BM71" s="126">
        <f t="shared" si="2"/>
        <v>6</v>
      </c>
      <c r="BN71" s="126">
        <f t="shared" si="3"/>
        <v>1</v>
      </c>
      <c r="BO71" s="126"/>
    </row>
    <row r="72" spans="1:67" ht="16.5">
      <c r="A72" s="127" t="s">
        <v>108</v>
      </c>
      <c r="B72" s="127" t="s">
        <v>115</v>
      </c>
      <c r="C72" s="128" t="s">
        <v>116</v>
      </c>
      <c r="D72" s="132">
        <v>0.36736111111111114</v>
      </c>
      <c r="E72" s="132">
        <v>0.13541666666666666</v>
      </c>
      <c r="F72" s="129"/>
      <c r="G72" s="129"/>
      <c r="H72" s="129"/>
      <c r="I72" s="129"/>
      <c r="J72" s="124"/>
      <c r="K72" s="124"/>
      <c r="L72" s="129"/>
      <c r="M72" s="129"/>
      <c r="N72" s="132">
        <v>0.37083333333333335</v>
      </c>
      <c r="O72" s="132">
        <v>0.15625</v>
      </c>
      <c r="P72" s="132">
        <v>0.45277777777777778</v>
      </c>
      <c r="Q72" s="132">
        <v>0.15972222222222221</v>
      </c>
      <c r="R72" s="132">
        <v>0.39097222222222222</v>
      </c>
      <c r="S72" s="132">
        <v>0.2013888888888889</v>
      </c>
      <c r="T72" s="132">
        <v>0.3659722222222222</v>
      </c>
      <c r="U72" s="132">
        <v>0.16666666666666666</v>
      </c>
      <c r="V72" s="132">
        <v>0.40069444444444446</v>
      </c>
      <c r="W72" s="132">
        <v>0.15972222222222221</v>
      </c>
      <c r="X72" s="124"/>
      <c r="Y72" s="124"/>
      <c r="Z72" s="129"/>
      <c r="AA72" s="129"/>
      <c r="AB72" s="132">
        <v>0.38263888888888886</v>
      </c>
      <c r="AC72" s="132">
        <v>0.15208333333333332</v>
      </c>
      <c r="AD72" s="132">
        <v>0.375</v>
      </c>
      <c r="AE72" s="132">
        <v>0.15138888888888888</v>
      </c>
      <c r="AF72" s="132">
        <v>0.35208333333333336</v>
      </c>
      <c r="AG72" s="132">
        <v>0.16805555555555557</v>
      </c>
      <c r="AH72" s="132">
        <v>0.37777777777777777</v>
      </c>
      <c r="AI72" s="132">
        <v>0.16666666666666666</v>
      </c>
      <c r="AJ72" s="132">
        <v>0.36527777777777776</v>
      </c>
      <c r="AK72" s="132">
        <v>0.17499999999999999</v>
      </c>
      <c r="AL72" s="124"/>
      <c r="AM72" s="124"/>
      <c r="AN72" s="129"/>
      <c r="AO72" s="129"/>
      <c r="AP72" s="132">
        <v>0.37430555555555556</v>
      </c>
      <c r="AQ72" s="132">
        <v>0.17499999999999999</v>
      </c>
      <c r="AR72" s="132">
        <v>0.39027777777777778</v>
      </c>
      <c r="AS72" s="132">
        <v>0.13680555555555557</v>
      </c>
      <c r="AT72" s="132">
        <v>0.3840277777777778</v>
      </c>
      <c r="AU72" s="132">
        <v>0.19583333333333333</v>
      </c>
      <c r="AV72" s="132">
        <v>0.3888888888888889</v>
      </c>
      <c r="AW72" s="132">
        <v>0.14930555555555555</v>
      </c>
      <c r="AX72" s="132">
        <v>0.37569444444444444</v>
      </c>
      <c r="AY72" s="132">
        <v>0.12916666666666668</v>
      </c>
      <c r="AZ72" s="124"/>
      <c r="BA72" s="124"/>
      <c r="BB72" s="129"/>
      <c r="BC72" s="129"/>
      <c r="BD72" s="132">
        <v>0.37847222222222221</v>
      </c>
      <c r="BE72" s="132">
        <v>0.10347222222222222</v>
      </c>
      <c r="BF72" s="132">
        <v>0.37013888888888891</v>
      </c>
      <c r="BG72" s="132">
        <v>0.14930555555555555</v>
      </c>
      <c r="BH72" s="126"/>
      <c r="BI72" s="132">
        <v>0.16041666666666668</v>
      </c>
      <c r="BJ72" s="132">
        <v>0.37361111111111112</v>
      </c>
      <c r="BK72" s="132">
        <v>0.17430555555555555</v>
      </c>
      <c r="BL72" s="126">
        <f t="shared" si="2"/>
        <v>19</v>
      </c>
      <c r="BM72" s="126">
        <f t="shared" si="2"/>
        <v>20</v>
      </c>
      <c r="BN72" s="126">
        <f t="shared" si="3"/>
        <v>0</v>
      </c>
      <c r="BO72" s="126"/>
    </row>
    <row r="73" spans="1:67" ht="16.5">
      <c r="A73" s="127" t="s">
        <v>108</v>
      </c>
      <c r="B73" s="127" t="s">
        <v>117</v>
      </c>
      <c r="C73" s="128" t="s">
        <v>118</v>
      </c>
      <c r="D73" s="132">
        <v>0.3923611111111111</v>
      </c>
      <c r="E73" s="132">
        <v>0.22500000000000001</v>
      </c>
      <c r="F73" s="129"/>
      <c r="G73" s="129"/>
      <c r="H73" s="129"/>
      <c r="I73" s="129"/>
      <c r="J73" s="124"/>
      <c r="K73" s="124"/>
      <c r="L73" s="129"/>
      <c r="M73" s="129"/>
      <c r="N73" s="126"/>
      <c r="O73" s="126"/>
      <c r="P73" s="132">
        <v>0.3888888888888889</v>
      </c>
      <c r="Q73" s="132">
        <v>0.1763888888888889</v>
      </c>
      <c r="R73" s="132">
        <v>0.375</v>
      </c>
      <c r="S73" s="132">
        <v>0.17152777777777778</v>
      </c>
      <c r="T73" s="132">
        <v>0.37777777777777777</v>
      </c>
      <c r="U73" s="132">
        <v>0.20694444444444443</v>
      </c>
      <c r="V73" s="132">
        <v>0.38263888888888886</v>
      </c>
      <c r="W73" s="132">
        <v>0.2298611111111111</v>
      </c>
      <c r="X73" s="124"/>
      <c r="Y73" s="124"/>
      <c r="Z73" s="129"/>
      <c r="AA73" s="129"/>
      <c r="AB73" s="132">
        <v>0.375</v>
      </c>
      <c r="AC73" s="132">
        <v>0.15763888888888888</v>
      </c>
      <c r="AD73" s="132">
        <v>0.37361111111111112</v>
      </c>
      <c r="AE73" s="132">
        <v>0.15763888888888888</v>
      </c>
      <c r="AF73" s="132">
        <v>0.37291666666666667</v>
      </c>
      <c r="AG73" s="132">
        <v>0.2</v>
      </c>
      <c r="AH73" s="132">
        <v>0.39444444444444443</v>
      </c>
      <c r="AI73" s="132">
        <v>0.15972222222222221</v>
      </c>
      <c r="AJ73" s="132">
        <v>0.38680555555555557</v>
      </c>
      <c r="AK73" s="132">
        <v>0.19444444444444445</v>
      </c>
      <c r="AL73" s="124"/>
      <c r="AM73" s="124"/>
      <c r="AN73" s="129"/>
      <c r="AO73" s="129"/>
      <c r="AP73" s="132">
        <v>0.38055555555555554</v>
      </c>
      <c r="AQ73" s="132">
        <v>0.28263888888888888</v>
      </c>
      <c r="AR73" s="132">
        <v>0.38333333333333336</v>
      </c>
      <c r="AS73" s="132">
        <v>0.21527777777777779</v>
      </c>
      <c r="AT73" s="132">
        <v>0.38194444444444442</v>
      </c>
      <c r="AU73" s="132">
        <v>0.2</v>
      </c>
      <c r="AV73" s="132">
        <v>0.37083333333333335</v>
      </c>
      <c r="AW73" s="132">
        <v>0.20972222222222223</v>
      </c>
      <c r="AX73" s="132">
        <v>0.39861111111111114</v>
      </c>
      <c r="AY73" s="126"/>
      <c r="AZ73" s="124"/>
      <c r="BA73" s="124"/>
      <c r="BB73" s="129"/>
      <c r="BC73" s="129"/>
      <c r="BD73" s="132">
        <v>0.41875000000000001</v>
      </c>
      <c r="BE73" s="132">
        <v>0.19722222222222222</v>
      </c>
      <c r="BF73" s="132">
        <v>0.36666666666666664</v>
      </c>
      <c r="BG73" s="132">
        <v>0.20416666666666666</v>
      </c>
      <c r="BH73" s="132">
        <v>0.4284722222222222</v>
      </c>
      <c r="BI73" s="132">
        <v>0.21180555555555555</v>
      </c>
      <c r="BJ73" s="132">
        <v>0.4201388888888889</v>
      </c>
      <c r="BK73" s="132">
        <v>0.15555555555555556</v>
      </c>
      <c r="BL73" s="126">
        <f t="shared" si="2"/>
        <v>19</v>
      </c>
      <c r="BM73" s="126">
        <f t="shared" si="2"/>
        <v>18</v>
      </c>
      <c r="BN73" s="126">
        <f t="shared" si="3"/>
        <v>0</v>
      </c>
      <c r="BO73" s="126"/>
    </row>
    <row r="74" spans="1:67" ht="16.5">
      <c r="A74" s="127" t="s">
        <v>108</v>
      </c>
      <c r="B74" s="127" t="s">
        <v>119</v>
      </c>
      <c r="C74" s="128" t="s">
        <v>120</v>
      </c>
      <c r="D74" s="132">
        <v>0.37638888888888888</v>
      </c>
      <c r="E74" s="132">
        <v>0.16875000000000001</v>
      </c>
      <c r="F74" s="131">
        <v>0.42152777777777778</v>
      </c>
      <c r="G74" s="129"/>
      <c r="H74" s="129"/>
      <c r="I74" s="129"/>
      <c r="J74" s="124"/>
      <c r="K74" s="124"/>
      <c r="L74" s="129"/>
      <c r="M74" s="129"/>
      <c r="N74" s="132">
        <v>0.3659722222222222</v>
      </c>
      <c r="O74" s="132">
        <v>0.1076388888888889</v>
      </c>
      <c r="P74" s="132">
        <v>0.39583333333333331</v>
      </c>
      <c r="Q74" s="132">
        <v>0.10416666666666667</v>
      </c>
      <c r="R74" s="132">
        <v>0</v>
      </c>
      <c r="S74" s="132">
        <v>0.13819444444444445</v>
      </c>
      <c r="T74" s="132">
        <v>0.37708333333333333</v>
      </c>
      <c r="U74" s="132">
        <v>0.20347222222222222</v>
      </c>
      <c r="V74" s="132">
        <v>0.37222222222222223</v>
      </c>
      <c r="W74" s="132">
        <v>0.19305555555555556</v>
      </c>
      <c r="X74" s="124"/>
      <c r="Y74" s="124"/>
      <c r="Z74" s="129"/>
      <c r="AA74" s="129"/>
      <c r="AB74" s="132">
        <v>0.38263888888888886</v>
      </c>
      <c r="AC74" s="132">
        <v>0.2361111111111111</v>
      </c>
      <c r="AD74" s="132">
        <v>0.37569444444444444</v>
      </c>
      <c r="AE74" s="132">
        <v>0.15972222222222221</v>
      </c>
      <c r="AF74" s="132">
        <v>0.37222222222222223</v>
      </c>
      <c r="AG74" s="132">
        <v>0.1701388888888889</v>
      </c>
      <c r="AH74" s="132">
        <v>0.37569444444444444</v>
      </c>
      <c r="AI74" s="132">
        <v>0.15277777777777779</v>
      </c>
      <c r="AJ74" s="132">
        <v>0.3888888888888889</v>
      </c>
      <c r="AK74" s="132">
        <v>0</v>
      </c>
      <c r="AL74" s="124"/>
      <c r="AM74" s="124"/>
      <c r="AN74" s="129"/>
      <c r="AO74" s="129"/>
      <c r="AP74" s="132">
        <v>0.38611111111111113</v>
      </c>
      <c r="AQ74" s="132">
        <v>0.14305555555555555</v>
      </c>
      <c r="AR74" s="132">
        <v>0.35138888888888886</v>
      </c>
      <c r="AS74" s="132">
        <v>0.16875000000000001</v>
      </c>
      <c r="AT74" s="132">
        <v>0.37986111111111109</v>
      </c>
      <c r="AU74" s="132">
        <v>0.18888888888888888</v>
      </c>
      <c r="AV74" s="132">
        <v>0.35902777777777778</v>
      </c>
      <c r="AW74" s="132">
        <v>0.17569444444444443</v>
      </c>
      <c r="AX74" s="132">
        <v>0.38611111111111113</v>
      </c>
      <c r="AY74" s="132">
        <v>0.1701388888888889</v>
      </c>
      <c r="AZ74" s="124"/>
      <c r="BA74" s="124"/>
      <c r="BB74" s="129"/>
      <c r="BC74" s="129"/>
      <c r="BD74" s="132">
        <v>0.38263888888888886</v>
      </c>
      <c r="BE74" s="132">
        <v>0.1388888888888889</v>
      </c>
      <c r="BF74" s="132">
        <v>0.41597222222222224</v>
      </c>
      <c r="BG74" s="132">
        <v>0.15</v>
      </c>
      <c r="BH74" s="132">
        <v>0.41249999999999998</v>
      </c>
      <c r="BI74" s="132">
        <v>0.15138888888888888</v>
      </c>
      <c r="BJ74" s="126"/>
      <c r="BK74" s="132">
        <v>0.12777777777777777</v>
      </c>
      <c r="BL74" s="126">
        <f t="shared" si="2"/>
        <v>20</v>
      </c>
      <c r="BM74" s="126">
        <f t="shared" si="2"/>
        <v>20</v>
      </c>
      <c r="BN74" s="126">
        <f t="shared" si="3"/>
        <v>0</v>
      </c>
      <c r="BO74" s="126"/>
    </row>
    <row r="75" spans="1:67" ht="16.5">
      <c r="A75" s="127" t="s">
        <v>108</v>
      </c>
      <c r="B75" s="127" t="s">
        <v>121</v>
      </c>
      <c r="C75" s="128" t="s">
        <v>122</v>
      </c>
      <c r="D75" s="132">
        <v>0.50972222222222219</v>
      </c>
      <c r="E75" s="132">
        <v>0.15069444444444444</v>
      </c>
      <c r="F75" s="129"/>
      <c r="G75" s="129"/>
      <c r="H75" s="129"/>
      <c r="I75" s="129"/>
      <c r="J75" s="124"/>
      <c r="K75" s="124"/>
      <c r="L75" s="129"/>
      <c r="M75" s="129"/>
      <c r="N75" s="126"/>
      <c r="O75" s="132">
        <v>0.14444444444444443</v>
      </c>
      <c r="P75" s="132">
        <v>0.4597222222222222</v>
      </c>
      <c r="Q75" s="132">
        <v>0.19791666666666666</v>
      </c>
      <c r="R75" s="126"/>
      <c r="S75" s="126"/>
      <c r="T75" s="126"/>
      <c r="U75" s="132">
        <v>0.1736111111111111</v>
      </c>
      <c r="V75" s="126"/>
      <c r="W75" s="126"/>
      <c r="X75" s="124"/>
      <c r="Y75" s="124"/>
      <c r="Z75" s="129"/>
      <c r="AA75" s="129"/>
      <c r="AB75" s="126"/>
      <c r="AC75" s="132">
        <v>0.12708333333333333</v>
      </c>
      <c r="AD75" s="126"/>
      <c r="AE75" s="132">
        <v>0.13819444444444445</v>
      </c>
      <c r="AF75" s="132">
        <v>0.48541666666666666</v>
      </c>
      <c r="AG75" s="132">
        <v>0.17152777777777778</v>
      </c>
      <c r="AH75" s="126"/>
      <c r="AI75" s="132">
        <v>0.17430555555555555</v>
      </c>
      <c r="AJ75" s="126"/>
      <c r="AK75" s="132">
        <v>0.18541666666666667</v>
      </c>
      <c r="AL75" s="124"/>
      <c r="AM75" s="124"/>
      <c r="AN75" s="129"/>
      <c r="AO75" s="129"/>
      <c r="AP75" s="132">
        <v>0.4826388888888889</v>
      </c>
      <c r="AQ75" s="132">
        <v>0.13125000000000001</v>
      </c>
      <c r="AR75" s="132">
        <v>0.52361111111111114</v>
      </c>
      <c r="AS75" s="132">
        <v>0.24861111111111112</v>
      </c>
      <c r="AT75" s="126"/>
      <c r="AU75" s="132">
        <v>0.13750000000000001</v>
      </c>
      <c r="AV75" s="132">
        <v>0.48680555555555555</v>
      </c>
      <c r="AW75" s="132">
        <v>0.1451388888888889</v>
      </c>
      <c r="AX75" s="126"/>
      <c r="AY75" s="132">
        <v>0.18055555555555555</v>
      </c>
      <c r="AZ75" s="124"/>
      <c r="BA75" s="124"/>
      <c r="BB75" s="129"/>
      <c r="BC75" s="129"/>
      <c r="BD75" s="132">
        <v>0.47916666666666669</v>
      </c>
      <c r="BE75" s="126"/>
      <c r="BF75" s="132">
        <v>0.42708333333333331</v>
      </c>
      <c r="BG75" s="126"/>
      <c r="BH75" s="126"/>
      <c r="BI75" s="132">
        <v>0.19652777777777777</v>
      </c>
      <c r="BJ75" s="132">
        <v>0.49513888888888891</v>
      </c>
      <c r="BK75" s="126"/>
      <c r="BL75" s="126">
        <f t="shared" si="2"/>
        <v>9</v>
      </c>
      <c r="BM75" s="126">
        <f t="shared" si="2"/>
        <v>15</v>
      </c>
      <c r="BN75" s="126">
        <f t="shared" si="3"/>
        <v>0</v>
      </c>
      <c r="BO75" s="126"/>
    </row>
    <row r="76" spans="1:67" ht="16.5">
      <c r="A76" s="127" t="s">
        <v>123</v>
      </c>
      <c r="B76" s="127" t="s">
        <v>124</v>
      </c>
      <c r="C76" s="128" t="s">
        <v>125</v>
      </c>
      <c r="D76" s="132">
        <v>0.37777777777777777</v>
      </c>
      <c r="E76" s="132">
        <v>0.13541666666666666</v>
      </c>
      <c r="F76" s="131"/>
      <c r="G76" s="131"/>
      <c r="H76" s="129"/>
      <c r="I76" s="129"/>
      <c r="J76" s="130">
        <v>0.42083333333333334</v>
      </c>
      <c r="K76" s="124"/>
      <c r="L76" s="129"/>
      <c r="M76" s="129"/>
      <c r="N76" s="132">
        <v>0.33819444444444446</v>
      </c>
      <c r="O76" s="132">
        <v>0.11736111111111111</v>
      </c>
      <c r="P76" s="132">
        <v>0.35416666666666669</v>
      </c>
      <c r="Q76" s="132">
        <v>0.1451388888888889</v>
      </c>
      <c r="R76" s="132">
        <v>0.35833333333333334</v>
      </c>
      <c r="S76" s="132">
        <v>0.14166666666666666</v>
      </c>
      <c r="T76" s="132">
        <v>0.36458333333333331</v>
      </c>
      <c r="U76" s="132">
        <v>0.13194444444444445</v>
      </c>
      <c r="V76" s="132">
        <v>0.3611111111111111</v>
      </c>
      <c r="W76" s="132">
        <v>0.12569444444444444</v>
      </c>
      <c r="X76" s="130">
        <v>0.41597222222222224</v>
      </c>
      <c r="Y76" s="130">
        <v>0.12361111111111112</v>
      </c>
      <c r="Z76" s="129"/>
      <c r="AA76" s="129"/>
      <c r="AB76" s="132">
        <v>0.35972222222222222</v>
      </c>
      <c r="AC76" s="132">
        <v>0.11944444444444445</v>
      </c>
      <c r="AD76" s="132">
        <v>0.36458333333333331</v>
      </c>
      <c r="AE76" s="132">
        <v>0.15694444444444444</v>
      </c>
      <c r="AF76" s="132">
        <v>0.35416666666666669</v>
      </c>
      <c r="AG76" s="132">
        <v>0.11736111111111111</v>
      </c>
      <c r="AH76" s="132">
        <v>0.36458333333333331</v>
      </c>
      <c r="AI76" s="132">
        <v>0.11805555555555555</v>
      </c>
      <c r="AJ76" s="132">
        <v>0.40208333333333335</v>
      </c>
      <c r="AK76" s="132">
        <v>0.21319444444444444</v>
      </c>
      <c r="AL76" s="130">
        <v>0.38611111111111113</v>
      </c>
      <c r="AM76" s="130">
        <v>4.3749999999999997E-2</v>
      </c>
      <c r="AN76" s="129"/>
      <c r="AO76" s="129"/>
      <c r="AP76" s="132">
        <v>0.35416666666666669</v>
      </c>
      <c r="AQ76" s="132">
        <v>0.14444444444444443</v>
      </c>
      <c r="AR76" s="132">
        <v>0.37361111111111112</v>
      </c>
      <c r="AS76" s="132">
        <v>0.15347222222222223</v>
      </c>
      <c r="AT76" s="132">
        <v>0.36041666666666666</v>
      </c>
      <c r="AU76" s="132">
        <v>0.15</v>
      </c>
      <c r="AV76" s="132">
        <v>0.37152777777777779</v>
      </c>
      <c r="AW76" s="132">
        <v>0.14722222222222223</v>
      </c>
      <c r="AX76" s="132">
        <v>0.36527777777777776</v>
      </c>
      <c r="AY76" s="132">
        <v>0.15208333333333332</v>
      </c>
      <c r="AZ76" s="130">
        <v>0.39374999999999999</v>
      </c>
      <c r="BA76" s="124"/>
      <c r="BB76" s="129"/>
      <c r="BC76" s="129"/>
      <c r="BD76" s="132">
        <v>0.35069444444444442</v>
      </c>
      <c r="BE76" s="132">
        <v>0.12222222222222222</v>
      </c>
      <c r="BF76" s="132">
        <v>0.37708333333333333</v>
      </c>
      <c r="BG76" s="132">
        <v>0.15208333333333332</v>
      </c>
      <c r="BH76" s="132">
        <v>0.35069444444444442</v>
      </c>
      <c r="BI76" s="132">
        <v>0.1423611111111111</v>
      </c>
      <c r="BJ76" s="132">
        <v>0.35555555555555557</v>
      </c>
      <c r="BK76" s="132">
        <v>0.16388888888888889</v>
      </c>
      <c r="BL76" s="126">
        <f t="shared" si="2"/>
        <v>20</v>
      </c>
      <c r="BM76" s="126">
        <f t="shared" si="2"/>
        <v>20</v>
      </c>
      <c r="BN76" s="126">
        <f t="shared" si="3"/>
        <v>6</v>
      </c>
      <c r="BO76" s="126"/>
    </row>
    <row r="77" spans="1:67" ht="16.5">
      <c r="A77" s="127" t="s">
        <v>123</v>
      </c>
      <c r="B77" s="127" t="s">
        <v>126</v>
      </c>
      <c r="C77" s="128" t="s">
        <v>127</v>
      </c>
      <c r="D77" s="132">
        <v>0.40555555555555556</v>
      </c>
      <c r="E77" s="132">
        <v>0.19652777777777777</v>
      </c>
      <c r="F77" s="131"/>
      <c r="G77" s="131"/>
      <c r="H77" s="129"/>
      <c r="I77" s="129"/>
      <c r="J77" s="130">
        <v>0.3923611111111111</v>
      </c>
      <c r="K77" s="124"/>
      <c r="L77" s="129"/>
      <c r="M77" s="129"/>
      <c r="N77" s="132">
        <v>0.37777777777777777</v>
      </c>
      <c r="O77" s="132">
        <v>0.12708333333333333</v>
      </c>
      <c r="P77" s="132">
        <v>0.38055555555555554</v>
      </c>
      <c r="Q77" s="132">
        <v>0.17152777777777778</v>
      </c>
      <c r="R77" s="132">
        <v>0.36388888888888887</v>
      </c>
      <c r="S77" s="132">
        <v>0.15555555555555556</v>
      </c>
      <c r="T77" s="132">
        <v>0.38611111111111113</v>
      </c>
      <c r="U77" s="132">
        <v>0.16597222222222222</v>
      </c>
      <c r="V77" s="132">
        <v>0.37777777777777777</v>
      </c>
      <c r="W77" s="132">
        <v>0.1673611111111111</v>
      </c>
      <c r="X77" s="130">
        <v>0.38541666666666669</v>
      </c>
      <c r="Y77" s="130">
        <v>0.52847222222222223</v>
      </c>
      <c r="Z77" s="129"/>
      <c r="AA77" s="129"/>
      <c r="AB77" s="132">
        <v>0.36527777777777776</v>
      </c>
      <c r="AC77" s="132">
        <v>0.1673611111111111</v>
      </c>
      <c r="AD77" s="132">
        <v>0.37361111111111112</v>
      </c>
      <c r="AE77" s="132">
        <v>0.15972222222222221</v>
      </c>
      <c r="AF77" s="132">
        <v>0.37222222222222223</v>
      </c>
      <c r="AG77" s="132">
        <v>0.16666666666666666</v>
      </c>
      <c r="AH77" s="132">
        <v>0.39027777777777778</v>
      </c>
      <c r="AI77" s="132">
        <v>0.20694444444444443</v>
      </c>
      <c r="AJ77" s="132">
        <v>0.40486111111111112</v>
      </c>
      <c r="AK77" s="132">
        <v>0.15416666666666667</v>
      </c>
      <c r="AL77" s="130">
        <v>0.37013888888888891</v>
      </c>
      <c r="AM77" s="124"/>
      <c r="AN77" s="129"/>
      <c r="AO77" s="129"/>
      <c r="AP77" s="132">
        <v>0.37291666666666667</v>
      </c>
      <c r="AQ77" s="132">
        <v>0.16527777777777777</v>
      </c>
      <c r="AR77" s="132">
        <v>0.37083333333333335</v>
      </c>
      <c r="AS77" s="132">
        <v>0.14027777777777778</v>
      </c>
      <c r="AT77" s="132">
        <v>0.3527777777777778</v>
      </c>
      <c r="AU77" s="132">
        <v>0.16388888888888889</v>
      </c>
      <c r="AV77" s="132">
        <v>0.35138888888888886</v>
      </c>
      <c r="AW77" s="132">
        <v>0.17777777777777778</v>
      </c>
      <c r="AX77" s="132">
        <v>0.34791666666666665</v>
      </c>
      <c r="AY77" s="132">
        <v>0.15138888888888888</v>
      </c>
      <c r="AZ77" s="130">
        <v>0.47847222222222224</v>
      </c>
      <c r="BA77" s="124"/>
      <c r="BB77" s="129"/>
      <c r="BC77" s="129"/>
      <c r="BD77" s="132">
        <v>0.36527777777777776</v>
      </c>
      <c r="BE77" s="132">
        <v>0.22291666666666668</v>
      </c>
      <c r="BF77" s="132">
        <v>0.35347222222222224</v>
      </c>
      <c r="BG77" s="132">
        <v>0.17083333333333334</v>
      </c>
      <c r="BH77" s="132">
        <v>0.36944444444444446</v>
      </c>
      <c r="BI77" s="132">
        <v>0.16458333333333333</v>
      </c>
      <c r="BJ77" s="132">
        <v>0.37291666666666667</v>
      </c>
      <c r="BK77" s="132">
        <v>0.16319444444444445</v>
      </c>
      <c r="BL77" s="126">
        <f t="shared" si="2"/>
        <v>20</v>
      </c>
      <c r="BM77" s="126">
        <f t="shared" si="2"/>
        <v>20</v>
      </c>
      <c r="BN77" s="126">
        <f t="shared" si="3"/>
        <v>5</v>
      </c>
      <c r="BO77" s="126"/>
    </row>
    <row r="78" spans="1:67" ht="16.5">
      <c r="A78" s="127"/>
      <c r="B78" s="127" t="s">
        <v>641</v>
      </c>
      <c r="C78" s="128" t="s">
        <v>193</v>
      </c>
      <c r="D78" s="132">
        <v>0.34444444444444444</v>
      </c>
      <c r="E78" s="132">
        <v>0.14722222222222223</v>
      </c>
      <c r="F78" s="129"/>
      <c r="G78" s="129"/>
      <c r="H78" s="129"/>
      <c r="I78" s="129"/>
      <c r="J78" s="130">
        <v>0.3840277777777778</v>
      </c>
      <c r="K78" s="124"/>
      <c r="L78" s="129"/>
      <c r="M78" s="129"/>
      <c r="N78" s="132">
        <v>0.37569444444444444</v>
      </c>
      <c r="O78" s="132">
        <v>0.13333333333333333</v>
      </c>
      <c r="P78" s="132">
        <v>0.37083333333333335</v>
      </c>
      <c r="Q78" s="132">
        <v>0.12222222222222222</v>
      </c>
      <c r="R78" s="132">
        <v>0.35208333333333336</v>
      </c>
      <c r="S78" s="132">
        <v>0.13125000000000001</v>
      </c>
      <c r="T78" s="132">
        <v>0.37291666666666667</v>
      </c>
      <c r="U78" s="132">
        <v>0.14791666666666667</v>
      </c>
      <c r="V78" s="132">
        <v>0.37916666666666665</v>
      </c>
      <c r="W78" s="132">
        <v>0.13194444444444445</v>
      </c>
      <c r="X78" s="124"/>
      <c r="Y78" s="124"/>
      <c r="Z78" s="129"/>
      <c r="AA78" s="129"/>
      <c r="AB78" s="132">
        <v>0.36666666666666664</v>
      </c>
      <c r="AC78" s="132">
        <v>0.13472222222222222</v>
      </c>
      <c r="AD78" s="132">
        <v>0.39305555555555555</v>
      </c>
      <c r="AE78" s="132">
        <v>0.17083333333333334</v>
      </c>
      <c r="AF78" s="132">
        <v>0.35347222222222224</v>
      </c>
      <c r="AG78" s="132">
        <v>0.17569444444444443</v>
      </c>
      <c r="AH78" s="132">
        <v>0.36388888888888887</v>
      </c>
      <c r="AI78" s="132">
        <v>0.15486111111111112</v>
      </c>
      <c r="AJ78" s="132">
        <v>0.375</v>
      </c>
      <c r="AK78" s="132">
        <v>0.16805555555555557</v>
      </c>
      <c r="AL78" s="130">
        <v>0.47499999999999998</v>
      </c>
      <c r="AM78" s="124"/>
      <c r="AN78" s="129"/>
      <c r="AO78" s="129"/>
      <c r="AP78" s="132">
        <v>0.38750000000000001</v>
      </c>
      <c r="AQ78" s="132">
        <v>0.15208333333333332</v>
      </c>
      <c r="AR78" s="132">
        <v>0.38333333333333336</v>
      </c>
      <c r="AS78" s="132">
        <v>0.14444444444444443</v>
      </c>
      <c r="AT78" s="132">
        <v>0.41597222222222224</v>
      </c>
      <c r="AU78" s="132">
        <v>0.2902777777777778</v>
      </c>
      <c r="AV78" s="132">
        <v>0.39930555555555558</v>
      </c>
      <c r="AW78" s="132">
        <v>0.1451388888888889</v>
      </c>
      <c r="AX78" s="132">
        <v>0.37708333333333333</v>
      </c>
      <c r="AY78" s="132">
        <v>0.21180555555555555</v>
      </c>
      <c r="AZ78" s="130">
        <v>0.39791666666666664</v>
      </c>
      <c r="BA78" s="124"/>
      <c r="BB78" s="129"/>
      <c r="BC78" s="129"/>
      <c r="BD78" s="132">
        <v>0.39305555555555555</v>
      </c>
      <c r="BE78" s="132">
        <v>0.17847222222222223</v>
      </c>
      <c r="BF78" s="132">
        <v>0.39652777777777776</v>
      </c>
      <c r="BG78" s="132">
        <v>0.19930555555555557</v>
      </c>
      <c r="BH78" s="132">
        <v>0.39374999999999999</v>
      </c>
      <c r="BI78" s="132">
        <v>0.16597222222222222</v>
      </c>
      <c r="BJ78" s="132">
        <v>0.36736111111111114</v>
      </c>
      <c r="BK78" s="132">
        <v>0.17430555555555555</v>
      </c>
      <c r="BL78" s="126">
        <f t="shared" si="2"/>
        <v>20</v>
      </c>
      <c r="BM78" s="126">
        <f t="shared" si="2"/>
        <v>20</v>
      </c>
      <c r="BN78" s="126">
        <f t="shared" si="3"/>
        <v>3</v>
      </c>
      <c r="BO78" s="126"/>
    </row>
    <row r="79" spans="1:67" ht="16.5">
      <c r="A79" s="127" t="s">
        <v>123</v>
      </c>
      <c r="B79" s="127" t="s">
        <v>128</v>
      </c>
      <c r="C79" s="128" t="s">
        <v>194</v>
      </c>
      <c r="D79" s="132">
        <v>0.37847222222222221</v>
      </c>
      <c r="E79" s="132">
        <v>0.27708333333333335</v>
      </c>
      <c r="F79" s="129"/>
      <c r="G79" s="129"/>
      <c r="H79" s="129"/>
      <c r="I79" s="129"/>
      <c r="J79" s="130">
        <v>0.3659722222222222</v>
      </c>
      <c r="K79" s="124"/>
      <c r="L79" s="129"/>
      <c r="M79" s="129"/>
      <c r="N79" s="132">
        <v>0.39305555555555555</v>
      </c>
      <c r="O79" s="132">
        <v>0.15347222222222223</v>
      </c>
      <c r="P79" s="132">
        <v>0.38958333333333334</v>
      </c>
      <c r="Q79" s="132">
        <v>0.16319444444444445</v>
      </c>
      <c r="R79" s="132">
        <v>0.35694444444444445</v>
      </c>
      <c r="S79" s="132">
        <v>0.15</v>
      </c>
      <c r="T79" s="132">
        <v>0.37708333333333333</v>
      </c>
      <c r="U79" s="132">
        <v>0.1986111111111111</v>
      </c>
      <c r="V79" s="132">
        <v>0.42430555555555555</v>
      </c>
      <c r="W79" s="132">
        <v>0.14583333333333334</v>
      </c>
      <c r="X79" s="130">
        <v>0.40069444444444446</v>
      </c>
      <c r="Y79" s="124"/>
      <c r="Z79" s="129"/>
      <c r="AA79" s="129"/>
      <c r="AB79" s="132">
        <v>0.38819444444444445</v>
      </c>
      <c r="AC79" s="132">
        <v>0.17291666666666666</v>
      </c>
      <c r="AD79" s="132">
        <v>0.3888888888888889</v>
      </c>
      <c r="AE79" s="132">
        <v>0.19583333333333333</v>
      </c>
      <c r="AF79" s="132">
        <v>0.41736111111111113</v>
      </c>
      <c r="AG79" s="132">
        <v>0</v>
      </c>
      <c r="AH79" s="132">
        <v>0.37569444444444444</v>
      </c>
      <c r="AI79" s="132">
        <v>0.1701388888888889</v>
      </c>
      <c r="AJ79" s="132">
        <v>0.37777777777777777</v>
      </c>
      <c r="AK79" s="132">
        <v>0.15972222222222221</v>
      </c>
      <c r="AL79" s="124"/>
      <c r="AM79" s="124"/>
      <c r="AN79" s="129"/>
      <c r="AO79" s="129"/>
      <c r="AP79" s="132">
        <v>0.37777777777777777</v>
      </c>
      <c r="AQ79" s="132">
        <v>0.15763888888888888</v>
      </c>
      <c r="AR79" s="132">
        <v>0.3923611111111111</v>
      </c>
      <c r="AS79" s="132">
        <v>0.16319444444444445</v>
      </c>
      <c r="AT79" s="132">
        <v>0.37152777777777779</v>
      </c>
      <c r="AU79" s="132">
        <v>0</v>
      </c>
      <c r="AV79" s="132">
        <v>0.41805555555555557</v>
      </c>
      <c r="AW79" s="132">
        <v>0</v>
      </c>
      <c r="AX79" s="132">
        <v>0.38194444444444442</v>
      </c>
      <c r="AY79" s="132">
        <v>0.18333333333333332</v>
      </c>
      <c r="AZ79" s="124"/>
      <c r="BA79" s="124"/>
      <c r="BB79" s="129"/>
      <c r="BC79" s="129"/>
      <c r="BD79" s="132">
        <v>0.38680555555555557</v>
      </c>
      <c r="BE79" s="132">
        <v>0.16458333333333333</v>
      </c>
      <c r="BF79" s="132">
        <v>0.39374999999999999</v>
      </c>
      <c r="BG79" s="132">
        <v>0.15347222222222223</v>
      </c>
      <c r="BH79" s="132">
        <v>0.3840277777777778</v>
      </c>
      <c r="BI79" s="132">
        <v>0.15069444444444444</v>
      </c>
      <c r="BJ79" s="132">
        <v>0.38333333333333336</v>
      </c>
      <c r="BK79" s="132">
        <v>0.15763888888888888</v>
      </c>
      <c r="BL79" s="126">
        <f t="shared" si="2"/>
        <v>20</v>
      </c>
      <c r="BM79" s="126">
        <f t="shared" si="2"/>
        <v>20</v>
      </c>
      <c r="BN79" s="126">
        <f t="shared" si="3"/>
        <v>2</v>
      </c>
      <c r="BO79" s="126"/>
    </row>
    <row r="80" spans="1:67" ht="16.5">
      <c r="A80" s="127" t="s">
        <v>123</v>
      </c>
      <c r="B80" s="127" t="s">
        <v>130</v>
      </c>
      <c r="C80" s="128" t="s">
        <v>131</v>
      </c>
      <c r="D80" s="132">
        <v>0.37013888888888891</v>
      </c>
      <c r="E80" s="132">
        <v>0.14861111111111111</v>
      </c>
      <c r="F80" s="131">
        <v>0</v>
      </c>
      <c r="G80" s="131">
        <v>0</v>
      </c>
      <c r="H80" s="129"/>
      <c r="I80" s="129"/>
      <c r="J80" s="124"/>
      <c r="K80" s="124"/>
      <c r="L80" s="129"/>
      <c r="M80" s="129"/>
      <c r="N80" s="132">
        <v>0.36527777777777776</v>
      </c>
      <c r="O80" s="132">
        <v>0.27569444444444446</v>
      </c>
      <c r="P80" s="132">
        <v>0.36458333333333331</v>
      </c>
      <c r="Q80" s="132">
        <v>0.2722222222222222</v>
      </c>
      <c r="R80" s="132">
        <v>0.37013888888888891</v>
      </c>
      <c r="S80" s="132">
        <v>0.1673611111111111</v>
      </c>
      <c r="T80" s="132">
        <v>0.49930555555555556</v>
      </c>
      <c r="U80" s="132">
        <v>0.27361111111111114</v>
      </c>
      <c r="V80" s="132">
        <v>0.38055555555555554</v>
      </c>
      <c r="W80" s="132">
        <v>0.26666666666666666</v>
      </c>
      <c r="X80" s="124"/>
      <c r="Y80" s="124"/>
      <c r="Z80" s="129"/>
      <c r="AA80" s="129"/>
      <c r="AB80" s="132">
        <v>0.37986111111111109</v>
      </c>
      <c r="AC80" s="126"/>
      <c r="AD80" s="132">
        <v>0.45416666666666666</v>
      </c>
      <c r="AE80" s="132">
        <v>0.27847222222222223</v>
      </c>
      <c r="AF80" s="132">
        <v>0.38263888888888886</v>
      </c>
      <c r="AG80" s="132">
        <v>0.28888888888888886</v>
      </c>
      <c r="AH80" s="126"/>
      <c r="AI80" s="132">
        <v>0.27361111111111114</v>
      </c>
      <c r="AJ80" s="132">
        <v>0.49652777777777779</v>
      </c>
      <c r="AK80" s="132">
        <v>0.15763888888888888</v>
      </c>
      <c r="AL80" s="124"/>
      <c r="AM80" s="124"/>
      <c r="AN80" s="129"/>
      <c r="AO80" s="129"/>
      <c r="AP80" s="132">
        <v>0.375</v>
      </c>
      <c r="AQ80" s="132">
        <v>0.27986111111111112</v>
      </c>
      <c r="AR80" s="132">
        <v>0.38541666666666669</v>
      </c>
      <c r="AS80" s="132">
        <v>0.16180555555555556</v>
      </c>
      <c r="AT80" s="132">
        <v>0.49861111111111112</v>
      </c>
      <c r="AU80" s="132">
        <v>0</v>
      </c>
      <c r="AV80" s="132">
        <v>0</v>
      </c>
      <c r="AW80" s="132">
        <v>0</v>
      </c>
      <c r="AX80" s="132">
        <v>0.49930555555555556</v>
      </c>
      <c r="AY80" s="132">
        <v>0.27361111111111114</v>
      </c>
      <c r="AZ80" s="124"/>
      <c r="BA80" s="124"/>
      <c r="BB80" s="129"/>
      <c r="BC80" s="129"/>
      <c r="BD80" s="132">
        <v>0</v>
      </c>
      <c r="BE80" s="132">
        <v>0</v>
      </c>
      <c r="BF80" s="132">
        <v>0</v>
      </c>
      <c r="BG80" s="132">
        <v>0</v>
      </c>
      <c r="BH80" s="132">
        <v>0</v>
      </c>
      <c r="BI80" s="132">
        <v>0.18819444444444444</v>
      </c>
      <c r="BJ80" s="132">
        <v>0.38680555555555557</v>
      </c>
      <c r="BK80" s="132">
        <v>0.2013888888888889</v>
      </c>
      <c r="BL80" s="126">
        <f t="shared" si="2"/>
        <v>20</v>
      </c>
      <c r="BM80" s="126">
        <f t="shared" si="2"/>
        <v>20</v>
      </c>
      <c r="BN80" s="126">
        <f t="shared" si="3"/>
        <v>0</v>
      </c>
      <c r="BO80" s="126"/>
    </row>
    <row r="81" spans="1:67" ht="16.5">
      <c r="A81" s="127" t="s">
        <v>123</v>
      </c>
      <c r="B81" s="127" t="s">
        <v>132</v>
      </c>
      <c r="C81" s="128" t="s">
        <v>133</v>
      </c>
      <c r="D81" s="132">
        <v>0.38124999999999998</v>
      </c>
      <c r="E81" s="132">
        <v>0.15902777777777777</v>
      </c>
      <c r="F81" s="131"/>
      <c r="G81" s="131"/>
      <c r="H81" s="129"/>
      <c r="I81" s="129"/>
      <c r="J81" s="130">
        <v>0.35208333333333336</v>
      </c>
      <c r="K81" s="124"/>
      <c r="L81" s="129"/>
      <c r="M81" s="129"/>
      <c r="N81" s="132">
        <v>0.39652777777777776</v>
      </c>
      <c r="O81" s="132">
        <v>0.14861111111111111</v>
      </c>
      <c r="P81" s="132">
        <v>0.34236111111111112</v>
      </c>
      <c r="Q81" s="132">
        <v>0.15138888888888888</v>
      </c>
      <c r="R81" s="132">
        <v>0.34930555555555554</v>
      </c>
      <c r="S81" s="132">
        <v>0.13333333333333333</v>
      </c>
      <c r="T81" s="132">
        <v>0.35208333333333336</v>
      </c>
      <c r="U81" s="132">
        <v>0.15555555555555556</v>
      </c>
      <c r="V81" s="132">
        <v>0.34513888888888888</v>
      </c>
      <c r="W81" s="132">
        <v>0.27986111111111112</v>
      </c>
      <c r="X81" s="130">
        <v>0.3576388888888889</v>
      </c>
      <c r="Y81" s="124"/>
      <c r="Z81" s="129"/>
      <c r="AA81" s="129"/>
      <c r="AB81" s="132">
        <v>0.33402777777777776</v>
      </c>
      <c r="AC81" s="132">
        <v>0.17708333333333334</v>
      </c>
      <c r="AD81" s="132">
        <v>0.34930555555555554</v>
      </c>
      <c r="AE81" s="132">
        <v>0.1763888888888889</v>
      </c>
      <c r="AF81" s="132">
        <v>0.34722222222222221</v>
      </c>
      <c r="AG81" s="132">
        <v>0.16944444444444445</v>
      </c>
      <c r="AH81" s="132">
        <v>0.35138888888888886</v>
      </c>
      <c r="AI81" s="132">
        <v>0.1423611111111111</v>
      </c>
      <c r="AJ81" s="132">
        <v>0.34861111111111109</v>
      </c>
      <c r="AK81" s="132">
        <v>0.14305555555555555</v>
      </c>
      <c r="AL81" s="130">
        <v>0.41249999999999998</v>
      </c>
      <c r="AM81" s="124"/>
      <c r="AN81" s="129"/>
      <c r="AO81" s="129"/>
      <c r="AP81" s="132">
        <v>0.3923611111111111</v>
      </c>
      <c r="AQ81" s="132">
        <v>0.14166666666666666</v>
      </c>
      <c r="AR81" s="132">
        <v>0.38472222222222224</v>
      </c>
      <c r="AS81" s="132">
        <v>0.15486111111111112</v>
      </c>
      <c r="AT81" s="132">
        <v>0.38750000000000001</v>
      </c>
      <c r="AU81" s="132">
        <v>0.14305555555555555</v>
      </c>
      <c r="AV81" s="132">
        <v>0.3840277777777778</v>
      </c>
      <c r="AW81" s="132">
        <v>0.14583333333333334</v>
      </c>
      <c r="AX81" s="132">
        <v>0.36944444444444446</v>
      </c>
      <c r="AY81" s="132">
        <v>0.15277777777777779</v>
      </c>
      <c r="AZ81" s="130">
        <v>0.36319444444444443</v>
      </c>
      <c r="BA81" s="124"/>
      <c r="BB81" s="129"/>
      <c r="BC81" s="129"/>
      <c r="BD81" s="132">
        <v>0.36666666666666664</v>
      </c>
      <c r="BE81" s="132">
        <v>0.15</v>
      </c>
      <c r="BF81" s="132">
        <v>0.39791666666666664</v>
      </c>
      <c r="BG81" s="132">
        <v>0.16250000000000001</v>
      </c>
      <c r="BH81" s="132">
        <v>0.3923611111111111</v>
      </c>
      <c r="BI81" s="132">
        <v>0.15416666666666667</v>
      </c>
      <c r="BJ81" s="132">
        <v>0.4</v>
      </c>
      <c r="BK81" s="132">
        <v>0.15625</v>
      </c>
      <c r="BL81" s="126">
        <f t="shared" si="2"/>
        <v>20</v>
      </c>
      <c r="BM81" s="126">
        <f t="shared" si="2"/>
        <v>20</v>
      </c>
      <c r="BN81" s="126">
        <f t="shared" si="3"/>
        <v>4</v>
      </c>
      <c r="BO81" s="126"/>
    </row>
    <row r="82" spans="1:67" ht="16.5">
      <c r="A82" s="127" t="s">
        <v>134</v>
      </c>
      <c r="B82" s="127" t="s">
        <v>135</v>
      </c>
      <c r="C82" s="128" t="s">
        <v>136</v>
      </c>
      <c r="D82" s="132">
        <v>0.38194444444444442</v>
      </c>
      <c r="E82" s="126"/>
      <c r="F82" s="129"/>
      <c r="G82" s="129"/>
      <c r="H82" s="129"/>
      <c r="I82" s="129"/>
      <c r="J82" s="124"/>
      <c r="K82" s="124"/>
      <c r="L82" s="129"/>
      <c r="M82" s="129"/>
      <c r="N82" s="132">
        <v>0.36041666666666666</v>
      </c>
      <c r="O82" s="126"/>
      <c r="P82" s="132">
        <v>0.37916666666666665</v>
      </c>
      <c r="Q82" s="126"/>
      <c r="R82" s="126"/>
      <c r="S82" s="132">
        <v>0.14930555555555555</v>
      </c>
      <c r="T82" s="132">
        <v>0.35555555555555557</v>
      </c>
      <c r="U82" s="126"/>
      <c r="V82" s="132">
        <v>0.3611111111111111</v>
      </c>
      <c r="W82" s="126"/>
      <c r="X82" s="124"/>
      <c r="Y82" s="124"/>
      <c r="Z82" s="129"/>
      <c r="AA82" s="129"/>
      <c r="AB82" s="132">
        <v>0.35833333333333334</v>
      </c>
      <c r="AC82" s="126"/>
      <c r="AD82" s="132">
        <v>0.35833333333333334</v>
      </c>
      <c r="AE82" s="126"/>
      <c r="AF82" s="132">
        <v>0.36319444444444443</v>
      </c>
      <c r="AG82" s="126"/>
      <c r="AH82" s="132">
        <v>0.36041666666666666</v>
      </c>
      <c r="AI82" s="126"/>
      <c r="AJ82" s="132">
        <v>0.36041666666666666</v>
      </c>
      <c r="AK82" s="126"/>
      <c r="AL82" s="124"/>
      <c r="AM82" s="124"/>
      <c r="AN82" s="129"/>
      <c r="AO82" s="129"/>
      <c r="AP82" s="132">
        <v>0.36249999999999999</v>
      </c>
      <c r="AQ82" s="126"/>
      <c r="AR82" s="132">
        <v>0.36944444444444446</v>
      </c>
      <c r="AS82" s="126"/>
      <c r="AT82" s="132">
        <v>0.36875000000000002</v>
      </c>
      <c r="AU82" s="126"/>
      <c r="AV82" s="132">
        <v>0.35833333333333334</v>
      </c>
      <c r="AW82" s="132"/>
      <c r="AX82" s="132">
        <v>0.36388888888888887</v>
      </c>
      <c r="AY82" s="126"/>
      <c r="AZ82" s="124"/>
      <c r="BA82" s="124"/>
      <c r="BB82" s="129"/>
      <c r="BC82" s="129"/>
      <c r="BD82" s="132">
        <v>0.41736111111111113</v>
      </c>
      <c r="BE82" s="126"/>
      <c r="BF82" s="132">
        <v>0.36805555555555558</v>
      </c>
      <c r="BG82" s="126"/>
      <c r="BH82" s="132">
        <v>0.37847222222222221</v>
      </c>
      <c r="BI82" s="126"/>
      <c r="BJ82" s="132">
        <v>0.35069444444444442</v>
      </c>
      <c r="BK82" s="126"/>
      <c r="BL82" s="126">
        <f t="shared" si="2"/>
        <v>19</v>
      </c>
      <c r="BM82" s="126">
        <f t="shared" si="2"/>
        <v>1</v>
      </c>
      <c r="BN82" s="126">
        <f t="shared" si="3"/>
        <v>0</v>
      </c>
      <c r="BO82" s="126"/>
    </row>
    <row r="83" spans="1:67" ht="16.5">
      <c r="A83" s="127" t="s">
        <v>134</v>
      </c>
      <c r="B83" s="127" t="s">
        <v>135</v>
      </c>
      <c r="C83" s="128" t="s">
        <v>137</v>
      </c>
      <c r="D83" s="126"/>
      <c r="E83" s="132">
        <v>0.15902777777777777</v>
      </c>
      <c r="F83" s="129"/>
      <c r="G83" s="129"/>
      <c r="H83" s="129"/>
      <c r="I83" s="129"/>
      <c r="J83" s="124"/>
      <c r="K83" s="124"/>
      <c r="L83" s="129"/>
      <c r="M83" s="129"/>
      <c r="N83" s="126"/>
      <c r="O83" s="126"/>
      <c r="P83" s="126"/>
      <c r="Q83" s="132">
        <v>0.14722222222222223</v>
      </c>
      <c r="R83" s="132">
        <v>0.35972222222222222</v>
      </c>
      <c r="S83" s="126"/>
      <c r="T83" s="126"/>
      <c r="U83" s="132">
        <v>0.13958333333333334</v>
      </c>
      <c r="V83" s="126"/>
      <c r="W83" s="126"/>
      <c r="X83" s="124"/>
      <c r="Y83" s="124"/>
      <c r="Z83" s="129"/>
      <c r="AA83" s="129"/>
      <c r="AB83" s="126"/>
      <c r="AC83" s="132">
        <v>8.611111111111111E-2</v>
      </c>
      <c r="AD83" s="126"/>
      <c r="AE83" s="132">
        <v>0.15277777777777779</v>
      </c>
      <c r="AF83" s="126"/>
      <c r="AG83" s="132">
        <v>0.18055555555555555</v>
      </c>
      <c r="AH83" s="126"/>
      <c r="AI83" s="132">
        <v>0.15555555555555556</v>
      </c>
      <c r="AJ83" s="126"/>
      <c r="AK83" s="132">
        <v>0.15555555555555556</v>
      </c>
      <c r="AL83" s="124"/>
      <c r="AM83" s="124"/>
      <c r="AN83" s="129"/>
      <c r="AO83" s="129"/>
      <c r="AP83" s="126"/>
      <c r="AQ83" s="132">
        <v>0.13263888888888889</v>
      </c>
      <c r="AR83" s="126"/>
      <c r="AS83" s="132">
        <v>0.15763888888888888</v>
      </c>
      <c r="AT83" s="126"/>
      <c r="AU83" s="132">
        <v>0.16111111111111112</v>
      </c>
      <c r="AV83" s="126"/>
      <c r="AW83" s="132">
        <v>0.16111111111111112</v>
      </c>
      <c r="AX83" s="132"/>
      <c r="AY83" s="132">
        <v>0.15138888888888888</v>
      </c>
      <c r="AZ83" s="124"/>
      <c r="BA83" s="124"/>
      <c r="BB83" s="129"/>
      <c r="BC83" s="129"/>
      <c r="BD83" s="126"/>
      <c r="BE83" s="132">
        <v>0.1388888888888889</v>
      </c>
      <c r="BF83" s="126"/>
      <c r="BG83" s="132">
        <v>0.16319444444444445</v>
      </c>
      <c r="BH83" s="126"/>
      <c r="BI83" s="132">
        <v>0.15</v>
      </c>
      <c r="BJ83" s="126"/>
      <c r="BK83" s="126"/>
      <c r="BL83" s="126">
        <f t="shared" ref="BL83:BM105" si="4">COUNTA(D83,F83,H83,L83,N83,P83,R83,T83,V83,Z83,AB83,AD83,AF83,AH83,AJ83,AN83,AP83,AR83,AT83,AV83,AX83,BB83,BD83,BF83,BH83,BJ83)</f>
        <v>1</v>
      </c>
      <c r="BM83" s="126">
        <f t="shared" si="4"/>
        <v>16</v>
      </c>
      <c r="BN83" s="126">
        <f t="shared" si="3"/>
        <v>0</v>
      </c>
      <c r="BO83" s="126"/>
    </row>
    <row r="84" spans="1:67" ht="16.5">
      <c r="A84" s="127" t="s">
        <v>134</v>
      </c>
      <c r="B84" s="127" t="s">
        <v>135</v>
      </c>
      <c r="C84" s="128" t="s">
        <v>138</v>
      </c>
      <c r="D84" s="126"/>
      <c r="E84" s="126"/>
      <c r="F84" s="129"/>
      <c r="G84" s="129"/>
      <c r="H84" s="129"/>
      <c r="I84" s="129"/>
      <c r="J84" s="124"/>
      <c r="K84" s="124"/>
      <c r="L84" s="129"/>
      <c r="M84" s="129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4"/>
      <c r="Y84" s="124"/>
      <c r="Z84" s="129"/>
      <c r="AA84" s="129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4"/>
      <c r="AM84" s="124"/>
      <c r="AN84" s="129"/>
      <c r="AO84" s="129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4"/>
      <c r="BA84" s="124"/>
      <c r="BB84" s="129"/>
      <c r="BC84" s="129"/>
      <c r="BD84" s="126"/>
      <c r="BE84" s="126"/>
      <c r="BF84" s="126"/>
      <c r="BG84" s="126"/>
      <c r="BH84" s="126"/>
      <c r="BI84" s="126"/>
      <c r="BJ84" s="126"/>
      <c r="BK84" s="126"/>
      <c r="BL84" s="126">
        <f t="shared" si="4"/>
        <v>0</v>
      </c>
      <c r="BM84" s="126">
        <f t="shared" si="4"/>
        <v>0</v>
      </c>
      <c r="BN84" s="126">
        <f t="shared" si="3"/>
        <v>0</v>
      </c>
      <c r="BO84" s="126"/>
    </row>
    <row r="85" spans="1:67" ht="16.5">
      <c r="A85" s="127" t="s">
        <v>134</v>
      </c>
      <c r="B85" s="127" t="s">
        <v>135</v>
      </c>
      <c r="C85" s="128" t="s">
        <v>139</v>
      </c>
      <c r="D85" s="126"/>
      <c r="E85" s="126"/>
      <c r="F85" s="129"/>
      <c r="G85" s="129"/>
      <c r="H85" s="129"/>
      <c r="I85" s="129"/>
      <c r="J85" s="124"/>
      <c r="K85" s="124"/>
      <c r="L85" s="129"/>
      <c r="M85" s="129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4"/>
      <c r="Y85" s="124"/>
      <c r="Z85" s="129"/>
      <c r="AA85" s="129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4"/>
      <c r="AM85" s="124"/>
      <c r="AN85" s="129"/>
      <c r="AO85" s="129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4"/>
      <c r="BA85" s="124"/>
      <c r="BB85" s="129"/>
      <c r="BC85" s="129"/>
      <c r="BD85" s="126"/>
      <c r="BE85" s="126"/>
      <c r="BF85" s="126"/>
      <c r="BG85" s="126"/>
      <c r="BH85" s="126"/>
      <c r="BI85" s="126"/>
      <c r="BJ85" s="126"/>
      <c r="BK85" s="126"/>
      <c r="BL85" s="126">
        <f t="shared" si="4"/>
        <v>0</v>
      </c>
      <c r="BM85" s="126">
        <f t="shared" si="4"/>
        <v>0</v>
      </c>
      <c r="BN85" s="126">
        <f t="shared" si="3"/>
        <v>0</v>
      </c>
      <c r="BO85" s="126"/>
    </row>
    <row r="86" spans="1:67" ht="16.5">
      <c r="A86" s="127" t="s">
        <v>134</v>
      </c>
      <c r="B86" s="127" t="s">
        <v>135</v>
      </c>
      <c r="C86" s="128" t="s">
        <v>140</v>
      </c>
      <c r="D86" s="126"/>
      <c r="E86" s="126"/>
      <c r="F86" s="129"/>
      <c r="G86" s="129"/>
      <c r="H86" s="129"/>
      <c r="I86" s="129"/>
      <c r="J86" s="124"/>
      <c r="K86" s="124"/>
      <c r="L86" s="129"/>
      <c r="M86" s="129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4"/>
      <c r="Y86" s="124"/>
      <c r="Z86" s="129"/>
      <c r="AA86" s="129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4"/>
      <c r="AM86" s="124"/>
      <c r="AN86" s="129"/>
      <c r="AO86" s="129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4"/>
      <c r="BA86" s="124"/>
      <c r="BB86" s="129"/>
      <c r="BC86" s="129"/>
      <c r="BD86" s="126"/>
      <c r="BE86" s="126"/>
      <c r="BF86" s="126"/>
      <c r="BG86" s="126"/>
      <c r="BH86" s="126"/>
      <c r="BI86" s="126"/>
      <c r="BJ86" s="126"/>
      <c r="BK86" s="126"/>
      <c r="BL86" s="126">
        <f t="shared" si="4"/>
        <v>0</v>
      </c>
      <c r="BM86" s="126">
        <f t="shared" si="4"/>
        <v>0</v>
      </c>
      <c r="BN86" s="126">
        <f t="shared" si="3"/>
        <v>0</v>
      </c>
      <c r="BO86" s="126"/>
    </row>
    <row r="87" spans="1:67" ht="16.5">
      <c r="A87" s="127" t="s">
        <v>134</v>
      </c>
      <c r="B87" s="127" t="s">
        <v>141</v>
      </c>
      <c r="C87" s="128" t="s">
        <v>142</v>
      </c>
      <c r="D87" s="132">
        <v>0.4513888888888889</v>
      </c>
      <c r="E87" s="132">
        <v>0.16111111111111112</v>
      </c>
      <c r="F87" s="129"/>
      <c r="G87" s="129"/>
      <c r="H87" s="129"/>
      <c r="I87" s="129"/>
      <c r="J87" s="124"/>
      <c r="K87" s="124"/>
      <c r="L87" s="129"/>
      <c r="M87" s="129"/>
      <c r="N87" s="132">
        <v>0.3576388888888889</v>
      </c>
      <c r="O87" s="132">
        <v>0.18819444444444444</v>
      </c>
      <c r="P87" s="132">
        <v>0.37083333333333335</v>
      </c>
      <c r="Q87" s="132">
        <v>0.18680555555555556</v>
      </c>
      <c r="R87" s="132">
        <v>0.41944444444444445</v>
      </c>
      <c r="S87" s="132">
        <v>0.14374999999999999</v>
      </c>
      <c r="T87" s="132">
        <v>0.38194444444444442</v>
      </c>
      <c r="U87" s="126"/>
      <c r="V87" s="132">
        <v>0.37777777777777777</v>
      </c>
      <c r="W87" s="132">
        <v>0.22083333333333333</v>
      </c>
      <c r="X87" s="124"/>
      <c r="Y87" s="124"/>
      <c r="Z87" s="129"/>
      <c r="AA87" s="129"/>
      <c r="AB87" s="132">
        <v>0.40972222222222221</v>
      </c>
      <c r="AC87" s="132">
        <v>0.18819444444444444</v>
      </c>
      <c r="AD87" s="132">
        <v>0.43125000000000002</v>
      </c>
      <c r="AE87" s="132">
        <v>0.18611111111111112</v>
      </c>
      <c r="AF87" s="132">
        <v>0.39652777777777776</v>
      </c>
      <c r="AG87" s="132">
        <v>0.16666666666666666</v>
      </c>
      <c r="AH87" s="132">
        <v>0.38958333333333334</v>
      </c>
      <c r="AI87" s="126"/>
      <c r="AJ87" s="132">
        <v>0.42152777777777778</v>
      </c>
      <c r="AK87" s="132">
        <v>0.16875000000000001</v>
      </c>
      <c r="AL87" s="124"/>
      <c r="AM87" s="124"/>
      <c r="AN87" s="129"/>
      <c r="AO87" s="129"/>
      <c r="AP87" s="132">
        <v>0.41388888888888886</v>
      </c>
      <c r="AQ87" s="132">
        <v>0.15486111111111112</v>
      </c>
      <c r="AR87" s="132">
        <v>0.40416666666666667</v>
      </c>
      <c r="AS87" s="132">
        <v>0.22430555555555556</v>
      </c>
      <c r="AT87" s="132">
        <v>0.4</v>
      </c>
      <c r="AU87" s="132">
        <v>0.22708333333333333</v>
      </c>
      <c r="AV87" s="132">
        <v>0.40625</v>
      </c>
      <c r="AW87" s="132">
        <v>0.21111111111111111</v>
      </c>
      <c r="AX87" s="132">
        <v>0.40277777777777779</v>
      </c>
      <c r="AY87" s="132">
        <v>0.22152777777777777</v>
      </c>
      <c r="AZ87" s="124"/>
      <c r="BA87" s="124"/>
      <c r="BB87" s="129"/>
      <c r="BC87" s="129"/>
      <c r="BD87" s="132">
        <v>0.36944444444444446</v>
      </c>
      <c r="BE87" s="132">
        <v>0.23194444444444445</v>
      </c>
      <c r="BF87" s="132">
        <v>0.41319444444444442</v>
      </c>
      <c r="BG87" s="132">
        <v>0.23749999999999999</v>
      </c>
      <c r="BH87" s="132">
        <v>0.4201388888888889</v>
      </c>
      <c r="BI87" s="132">
        <v>0.25069444444444444</v>
      </c>
      <c r="BJ87" s="132">
        <v>0.40347222222222223</v>
      </c>
      <c r="BK87" s="132">
        <v>0.22361111111111112</v>
      </c>
      <c r="BL87" s="126">
        <f t="shared" si="4"/>
        <v>20</v>
      </c>
      <c r="BM87" s="126">
        <f t="shared" si="4"/>
        <v>18</v>
      </c>
      <c r="BN87" s="126">
        <f t="shared" si="3"/>
        <v>0</v>
      </c>
      <c r="BO87" s="126"/>
    </row>
    <row r="88" spans="1:67" ht="16.5">
      <c r="A88" s="127" t="s">
        <v>134</v>
      </c>
      <c r="B88" s="127" t="s">
        <v>141</v>
      </c>
      <c r="C88" s="128" t="s">
        <v>143</v>
      </c>
      <c r="D88" s="126"/>
      <c r="E88" s="126"/>
      <c r="F88" s="129"/>
      <c r="G88" s="129"/>
      <c r="H88" s="129"/>
      <c r="I88" s="129"/>
      <c r="J88" s="124"/>
      <c r="K88" s="124"/>
      <c r="L88" s="129"/>
      <c r="M88" s="129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4"/>
      <c r="Y88" s="124"/>
      <c r="Z88" s="129"/>
      <c r="AA88" s="129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4"/>
      <c r="AM88" s="124"/>
      <c r="AN88" s="129"/>
      <c r="AO88" s="129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4"/>
      <c r="BA88" s="124"/>
      <c r="BB88" s="129"/>
      <c r="BC88" s="129"/>
      <c r="BD88" s="126"/>
      <c r="BE88" s="126"/>
      <c r="BF88" s="126"/>
      <c r="BG88" s="126"/>
      <c r="BH88" s="126"/>
      <c r="BI88" s="126"/>
      <c r="BJ88" s="126"/>
      <c r="BK88" s="126"/>
      <c r="BL88" s="126">
        <f t="shared" si="4"/>
        <v>0</v>
      </c>
      <c r="BM88" s="126">
        <f t="shared" si="4"/>
        <v>0</v>
      </c>
      <c r="BN88" s="126">
        <f t="shared" si="3"/>
        <v>0</v>
      </c>
      <c r="BO88" s="126"/>
    </row>
    <row r="89" spans="1:67" ht="16.5">
      <c r="A89" s="127" t="s">
        <v>134</v>
      </c>
      <c r="B89" s="127" t="s">
        <v>141</v>
      </c>
      <c r="C89" s="128" t="s">
        <v>144</v>
      </c>
      <c r="D89" s="126"/>
      <c r="E89" s="126"/>
      <c r="F89" s="129"/>
      <c r="G89" s="129"/>
      <c r="H89" s="129"/>
      <c r="I89" s="129"/>
      <c r="J89" s="124"/>
      <c r="K89" s="124"/>
      <c r="L89" s="129"/>
      <c r="M89" s="129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4"/>
      <c r="Y89" s="124"/>
      <c r="Z89" s="129"/>
      <c r="AA89" s="129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4"/>
      <c r="AM89" s="124"/>
      <c r="AN89" s="129"/>
      <c r="AO89" s="129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4"/>
      <c r="BA89" s="124"/>
      <c r="BB89" s="129"/>
      <c r="BC89" s="129"/>
      <c r="BD89" s="126"/>
      <c r="BE89" s="126"/>
      <c r="BF89" s="126"/>
      <c r="BG89" s="126"/>
      <c r="BH89" s="126"/>
      <c r="BI89" s="126"/>
      <c r="BJ89" s="126"/>
      <c r="BK89" s="126"/>
      <c r="BL89" s="126">
        <f t="shared" si="4"/>
        <v>0</v>
      </c>
      <c r="BM89" s="126">
        <f t="shared" si="4"/>
        <v>0</v>
      </c>
      <c r="BN89" s="126">
        <f t="shared" si="3"/>
        <v>0</v>
      </c>
      <c r="BO89" s="126"/>
    </row>
    <row r="90" spans="1:67" ht="16.5">
      <c r="A90" s="127" t="s">
        <v>134</v>
      </c>
      <c r="B90" s="127" t="s">
        <v>145</v>
      </c>
      <c r="C90" s="128" t="s">
        <v>146</v>
      </c>
      <c r="D90" s="132">
        <v>0.38680555555555557</v>
      </c>
      <c r="E90" s="132">
        <v>0.19722222222222222</v>
      </c>
      <c r="F90" s="129"/>
      <c r="G90" s="129"/>
      <c r="H90" s="129"/>
      <c r="I90" s="129"/>
      <c r="J90" s="124"/>
      <c r="K90" s="124"/>
      <c r="L90" s="129"/>
      <c r="M90" s="129"/>
      <c r="N90" s="126"/>
      <c r="O90" s="126"/>
      <c r="P90" s="126"/>
      <c r="Q90" s="126"/>
      <c r="R90" s="132">
        <v>0.45347222222222222</v>
      </c>
      <c r="S90" s="132">
        <v>0.17569444444444443</v>
      </c>
      <c r="T90" s="132">
        <v>0.49930555555555556</v>
      </c>
      <c r="U90" s="132">
        <v>0.16527777777777777</v>
      </c>
      <c r="V90" s="126"/>
      <c r="W90" s="126"/>
      <c r="X90" s="124"/>
      <c r="Y90" s="124"/>
      <c r="Z90" s="129"/>
      <c r="AA90" s="129"/>
      <c r="AB90" s="132">
        <v>0.4375</v>
      </c>
      <c r="AC90" s="132">
        <v>0.14652777777777778</v>
      </c>
      <c r="AD90" s="126"/>
      <c r="AE90" s="126"/>
      <c r="AF90" s="132">
        <v>0.38263888888888886</v>
      </c>
      <c r="AG90" s="132">
        <v>0.15972222222222221</v>
      </c>
      <c r="AH90" s="126"/>
      <c r="AI90" s="126"/>
      <c r="AJ90" s="126"/>
      <c r="AK90" s="126"/>
      <c r="AL90" s="124"/>
      <c r="AM90" s="124"/>
      <c r="AN90" s="129"/>
      <c r="AO90" s="129"/>
      <c r="AP90" s="126"/>
      <c r="AQ90" s="126"/>
      <c r="AR90" s="132">
        <v>0.44722222222222224</v>
      </c>
      <c r="AS90" s="132">
        <v>0.17083333333333334</v>
      </c>
      <c r="AT90" s="126"/>
      <c r="AU90" s="126"/>
      <c r="AV90" s="126"/>
      <c r="AW90" s="126"/>
      <c r="AX90" s="132">
        <v>0.40833333333333333</v>
      </c>
      <c r="AY90" s="132">
        <v>0.22222222222222221</v>
      </c>
      <c r="AZ90" s="124"/>
      <c r="BA90" s="124"/>
      <c r="BB90" s="129"/>
      <c r="BC90" s="129"/>
      <c r="BD90" s="126"/>
      <c r="BE90" s="126"/>
      <c r="BF90" s="132">
        <v>0.41388888888888886</v>
      </c>
      <c r="BG90" s="132">
        <v>0.17708333333333334</v>
      </c>
      <c r="BH90" s="126"/>
      <c r="BI90" s="126"/>
      <c r="BJ90" s="132">
        <v>0.39583333333333331</v>
      </c>
      <c r="BK90" s="132">
        <v>0.14305555555555555</v>
      </c>
      <c r="BL90" s="126">
        <f t="shared" si="4"/>
        <v>9</v>
      </c>
      <c r="BM90" s="126">
        <f t="shared" si="4"/>
        <v>9</v>
      </c>
      <c r="BN90" s="126">
        <f t="shared" si="3"/>
        <v>0</v>
      </c>
      <c r="BO90" s="126"/>
    </row>
    <row r="91" spans="1:67" ht="16.5">
      <c r="A91" s="127" t="s">
        <v>147</v>
      </c>
      <c r="B91" s="127" t="s">
        <v>148</v>
      </c>
      <c r="C91" s="128" t="s">
        <v>149</v>
      </c>
      <c r="D91" s="132">
        <v>0.38541666666666669</v>
      </c>
      <c r="E91" s="132">
        <v>0.15138888888888888</v>
      </c>
      <c r="F91" s="131"/>
      <c r="G91" s="129"/>
      <c r="H91" s="129"/>
      <c r="I91" s="129"/>
      <c r="J91" s="124"/>
      <c r="K91" s="124"/>
      <c r="L91" s="129"/>
      <c r="M91" s="129"/>
      <c r="N91" s="132">
        <v>0.38819444444444445</v>
      </c>
      <c r="O91" s="132">
        <v>0.1736111111111111</v>
      </c>
      <c r="P91" s="132">
        <v>0.42708333333333331</v>
      </c>
      <c r="Q91" s="132">
        <v>0.1388888888888889</v>
      </c>
      <c r="R91" s="132">
        <v>0.35</v>
      </c>
      <c r="S91" s="132">
        <v>0.15486111111111112</v>
      </c>
      <c r="T91" s="132">
        <v>0.43472222222222223</v>
      </c>
      <c r="U91" s="132">
        <v>0.16111111111111112</v>
      </c>
      <c r="V91" s="132">
        <v>0.35694444444444445</v>
      </c>
      <c r="W91" s="132">
        <v>0.12708333333333333</v>
      </c>
      <c r="X91" s="124"/>
      <c r="Y91" s="124"/>
      <c r="Z91" s="129"/>
      <c r="AA91" s="129"/>
      <c r="AB91" s="132">
        <v>0.3888888888888889</v>
      </c>
      <c r="AC91" s="132">
        <v>0.1451388888888889</v>
      </c>
      <c r="AD91" s="132">
        <v>0.38958333333333334</v>
      </c>
      <c r="AE91" s="132">
        <v>0.14652777777777778</v>
      </c>
      <c r="AF91" s="132">
        <v>0.41111111111111109</v>
      </c>
      <c r="AG91" s="132">
        <v>0.15486111111111112</v>
      </c>
      <c r="AH91" s="132">
        <v>0.38680555555555557</v>
      </c>
      <c r="AI91" s="132">
        <v>0.18472222222222223</v>
      </c>
      <c r="AJ91" s="132">
        <v>0.44374999999999998</v>
      </c>
      <c r="AK91" s="132">
        <v>0.23680555555555555</v>
      </c>
      <c r="AL91" s="124"/>
      <c r="AM91" s="124"/>
      <c r="AN91" s="129"/>
      <c r="AO91" s="129"/>
      <c r="AP91" s="132">
        <v>0.39097222222222222</v>
      </c>
      <c r="AQ91" s="132">
        <v>0.19236111111111112</v>
      </c>
      <c r="AR91" s="132">
        <v>0.39166666666666666</v>
      </c>
      <c r="AS91" s="132">
        <v>0.16944444444444445</v>
      </c>
      <c r="AT91" s="132">
        <v>0.37152777777777779</v>
      </c>
      <c r="AU91" s="132">
        <v>0.16180555555555556</v>
      </c>
      <c r="AV91" s="132">
        <v>0.36875000000000002</v>
      </c>
      <c r="AW91" s="132">
        <v>0.1701388888888889</v>
      </c>
      <c r="AX91" s="132">
        <v>0.35972222222222222</v>
      </c>
      <c r="AY91" s="132">
        <v>0.17430555555555555</v>
      </c>
      <c r="AZ91" s="124"/>
      <c r="BA91" s="124"/>
      <c r="BB91" s="129"/>
      <c r="BC91" s="129"/>
      <c r="BD91" s="132">
        <v>0.3972222222222222</v>
      </c>
      <c r="BE91" s="132">
        <v>0.16944444444444445</v>
      </c>
      <c r="BF91" s="132">
        <v>0.37847222222222221</v>
      </c>
      <c r="BG91" s="132">
        <v>0.17430555555555555</v>
      </c>
      <c r="BH91" s="132">
        <v>0.36180555555555555</v>
      </c>
      <c r="BI91" s="132">
        <v>0.18055555555555555</v>
      </c>
      <c r="BJ91" s="132">
        <v>0.37361111111111112</v>
      </c>
      <c r="BK91" s="132">
        <v>0.19027777777777777</v>
      </c>
      <c r="BL91" s="126">
        <f t="shared" si="4"/>
        <v>20</v>
      </c>
      <c r="BM91" s="126">
        <f t="shared" si="4"/>
        <v>20</v>
      </c>
      <c r="BN91" s="126">
        <f t="shared" si="3"/>
        <v>0</v>
      </c>
      <c r="BO91" s="126"/>
    </row>
    <row r="92" spans="1:67" ht="16.5">
      <c r="A92" s="127" t="s">
        <v>147</v>
      </c>
      <c r="B92" s="127"/>
      <c r="C92" s="128" t="s">
        <v>195</v>
      </c>
      <c r="D92" s="132">
        <v>0.38541666666666669</v>
      </c>
      <c r="E92" s="132">
        <v>0.15277777777777779</v>
      </c>
      <c r="F92" s="129"/>
      <c r="G92" s="129"/>
      <c r="H92" s="129"/>
      <c r="I92" s="129"/>
      <c r="J92" s="130">
        <v>0.41875000000000001</v>
      </c>
      <c r="K92" s="124"/>
      <c r="L92" s="129"/>
      <c r="M92" s="129"/>
      <c r="N92" s="132">
        <v>0.38055555555555554</v>
      </c>
      <c r="O92" s="132">
        <v>0.11805555555555555</v>
      </c>
      <c r="P92" s="132">
        <v>0.39166666666666666</v>
      </c>
      <c r="Q92" s="132">
        <v>0.15486111111111112</v>
      </c>
      <c r="R92" s="132">
        <v>0.39861111111111114</v>
      </c>
      <c r="S92" s="126"/>
      <c r="T92" s="132">
        <v>0.37152777777777779</v>
      </c>
      <c r="U92" s="132">
        <v>0.16250000000000001</v>
      </c>
      <c r="V92" s="132">
        <v>0.40763888888888888</v>
      </c>
      <c r="W92" s="132">
        <v>0.13472222222222222</v>
      </c>
      <c r="X92" s="124"/>
      <c r="Y92" s="124"/>
      <c r="Z92" s="129"/>
      <c r="AA92" s="129"/>
      <c r="AB92" s="132">
        <v>0.31597222222222221</v>
      </c>
      <c r="AC92" s="132">
        <v>0.18819444444444444</v>
      </c>
      <c r="AD92" s="126"/>
      <c r="AE92" s="132">
        <v>0.125</v>
      </c>
      <c r="AF92" s="132">
        <v>0.35972222222222222</v>
      </c>
      <c r="AG92" s="132">
        <v>0.15416666666666667</v>
      </c>
      <c r="AH92" s="132">
        <v>0.37152777777777779</v>
      </c>
      <c r="AI92" s="132">
        <v>0.17083333333333334</v>
      </c>
      <c r="AJ92" s="132">
        <v>0.34722222222222221</v>
      </c>
      <c r="AK92" s="132">
        <v>0.12986111111111112</v>
      </c>
      <c r="AL92" s="124"/>
      <c r="AM92" s="124"/>
      <c r="AN92" s="129"/>
      <c r="AO92" s="129"/>
      <c r="AP92" s="132">
        <v>0.37361111111111112</v>
      </c>
      <c r="AQ92" s="132">
        <v>0.15208333333333332</v>
      </c>
      <c r="AR92" s="132">
        <v>0.34375</v>
      </c>
      <c r="AS92" s="132">
        <v>0.14097222222222222</v>
      </c>
      <c r="AT92" s="132">
        <v>0.35694444444444445</v>
      </c>
      <c r="AU92" s="132">
        <v>0.21388888888888888</v>
      </c>
      <c r="AV92" s="132">
        <v>0.32847222222222222</v>
      </c>
      <c r="AW92" s="132">
        <v>0.16805555555555557</v>
      </c>
      <c r="AX92" s="132">
        <v>0.32847222222222222</v>
      </c>
      <c r="AY92" s="132">
        <v>0.19236111111111112</v>
      </c>
      <c r="AZ92" s="124"/>
      <c r="BA92" s="124"/>
      <c r="BB92" s="129"/>
      <c r="BC92" s="129"/>
      <c r="BD92" s="132">
        <v>0.34861111111111109</v>
      </c>
      <c r="BE92" s="132">
        <v>0.16319444444444445</v>
      </c>
      <c r="BF92" s="132">
        <v>0.33680555555555558</v>
      </c>
      <c r="BG92" s="132">
        <v>0.18680555555555556</v>
      </c>
      <c r="BH92" s="132">
        <v>0.33124999999999999</v>
      </c>
      <c r="BI92" s="132">
        <v>0.14444444444444443</v>
      </c>
      <c r="BJ92" s="132">
        <v>0.35972222222222222</v>
      </c>
      <c r="BK92" s="126"/>
      <c r="BL92" s="126">
        <f t="shared" si="4"/>
        <v>19</v>
      </c>
      <c r="BM92" s="126">
        <f t="shared" si="4"/>
        <v>18</v>
      </c>
      <c r="BN92" s="126">
        <f t="shared" si="3"/>
        <v>1</v>
      </c>
      <c r="BO92" s="126"/>
    </row>
    <row r="93" spans="1:67" ht="16.5">
      <c r="A93" s="133" t="s">
        <v>147</v>
      </c>
      <c r="B93" s="127" t="s">
        <v>642</v>
      </c>
      <c r="C93" s="128" t="s">
        <v>643</v>
      </c>
      <c r="D93" s="132">
        <v>0.36319444444444443</v>
      </c>
      <c r="E93" s="126"/>
      <c r="F93" s="131"/>
      <c r="G93" s="129"/>
      <c r="H93" s="129"/>
      <c r="I93" s="129"/>
      <c r="J93" s="124"/>
      <c r="K93" s="124"/>
      <c r="L93" s="129"/>
      <c r="M93" s="129"/>
      <c r="N93" s="132">
        <v>0.34861111111111109</v>
      </c>
      <c r="O93" s="126"/>
      <c r="P93" s="132">
        <v>0.35694444444444445</v>
      </c>
      <c r="Q93" s="126"/>
      <c r="R93" s="132">
        <v>0.35069444444444442</v>
      </c>
      <c r="S93" s="126"/>
      <c r="T93" s="132">
        <v>0.35694444444444445</v>
      </c>
      <c r="U93" s="132">
        <v>0.14166666666666666</v>
      </c>
      <c r="V93" s="132">
        <v>0.35208333333333336</v>
      </c>
      <c r="W93" s="132">
        <v>0.13472222222222222</v>
      </c>
      <c r="X93" s="124"/>
      <c r="Y93" s="124"/>
      <c r="Z93" s="129"/>
      <c r="AA93" s="129"/>
      <c r="AB93" s="132">
        <v>0.34583333333333333</v>
      </c>
      <c r="AC93" s="126"/>
      <c r="AD93" s="132">
        <v>0.35902777777777778</v>
      </c>
      <c r="AE93" s="132">
        <v>0.13750000000000001</v>
      </c>
      <c r="AF93" s="132">
        <v>0</v>
      </c>
      <c r="AG93" s="132">
        <v>0.13333333333333333</v>
      </c>
      <c r="AH93" s="132">
        <v>0.35486111111111113</v>
      </c>
      <c r="AI93" s="132">
        <v>0</v>
      </c>
      <c r="AJ93" s="132">
        <v>0.37222222222222223</v>
      </c>
      <c r="AK93" s="132">
        <v>0</v>
      </c>
      <c r="AL93" s="124"/>
      <c r="AM93" s="124"/>
      <c r="AN93" s="129"/>
      <c r="AO93" s="129"/>
      <c r="AP93" s="132">
        <v>0.36041666666666666</v>
      </c>
      <c r="AQ93" s="126"/>
      <c r="AR93" s="132">
        <v>0.38472222222222224</v>
      </c>
      <c r="AS93" s="126"/>
      <c r="AT93" s="132">
        <v>0.37638888888888888</v>
      </c>
      <c r="AU93" s="126"/>
      <c r="AV93" s="132">
        <v>0.3659722222222222</v>
      </c>
      <c r="AW93" s="126"/>
      <c r="AX93" s="132">
        <v>0.37777777777777777</v>
      </c>
      <c r="AY93" s="126"/>
      <c r="AZ93" s="124"/>
      <c r="BA93" s="124"/>
      <c r="BB93" s="129"/>
      <c r="BC93" s="129"/>
      <c r="BD93" s="132">
        <v>0.37777777777777777</v>
      </c>
      <c r="BE93" s="126"/>
      <c r="BF93" s="132">
        <v>0.42916666666666664</v>
      </c>
      <c r="BG93" s="132">
        <v>0.17083333333333334</v>
      </c>
      <c r="BH93" s="132">
        <v>0.36527777777777776</v>
      </c>
      <c r="BI93" s="126"/>
      <c r="BJ93" s="132">
        <v>0.35972222222222222</v>
      </c>
      <c r="BK93" s="126"/>
      <c r="BL93" s="126">
        <f t="shared" si="4"/>
        <v>20</v>
      </c>
      <c r="BM93" s="126">
        <f t="shared" si="4"/>
        <v>7</v>
      </c>
      <c r="BN93" s="126">
        <f t="shared" si="3"/>
        <v>0</v>
      </c>
      <c r="BO93" s="126"/>
    </row>
    <row r="94" spans="1:67" ht="18.95" customHeight="1">
      <c r="A94" s="134" t="s">
        <v>150</v>
      </c>
      <c r="B94" s="135" t="s">
        <v>151</v>
      </c>
      <c r="C94" s="136" t="s">
        <v>152</v>
      </c>
      <c r="D94" s="126"/>
      <c r="E94" s="126"/>
      <c r="F94" s="129"/>
      <c r="G94" s="129"/>
      <c r="H94" s="129"/>
      <c r="I94" s="129"/>
      <c r="J94" s="124"/>
      <c r="K94" s="124"/>
      <c r="L94" s="129"/>
      <c r="M94" s="129"/>
      <c r="N94" s="126"/>
      <c r="O94" s="126"/>
      <c r="P94" s="132">
        <v>0.41805555555555557</v>
      </c>
      <c r="Q94" s="132">
        <v>0.21527777777777779</v>
      </c>
      <c r="R94" s="132">
        <v>0.40347222222222223</v>
      </c>
      <c r="S94" s="132">
        <v>0.15138888888888888</v>
      </c>
      <c r="T94" s="144">
        <v>0.40486111111111112</v>
      </c>
      <c r="U94" s="132">
        <v>0.11388888888888889</v>
      </c>
      <c r="V94" s="132">
        <v>0.39444444444444443</v>
      </c>
      <c r="W94" s="132">
        <v>0.15069444444444444</v>
      </c>
      <c r="X94" s="124"/>
      <c r="Y94" s="124"/>
      <c r="Z94" s="129"/>
      <c r="AA94" s="129"/>
      <c r="AB94" s="132">
        <v>0.38750000000000001</v>
      </c>
      <c r="AC94" s="132">
        <v>0.17152777777777778</v>
      </c>
      <c r="AD94" s="132">
        <v>0.37847222222222221</v>
      </c>
      <c r="AE94" s="132">
        <v>0.19583333333333333</v>
      </c>
      <c r="AF94" s="132">
        <v>0.38958333333333334</v>
      </c>
      <c r="AG94" s="132">
        <v>0.13958333333333334</v>
      </c>
      <c r="AH94" s="132">
        <v>0.37777777777777777</v>
      </c>
      <c r="AI94" s="132">
        <v>0.15138888888888888</v>
      </c>
      <c r="AJ94" s="132">
        <v>0.38611111111111113</v>
      </c>
      <c r="AK94" s="126"/>
      <c r="AL94" s="124"/>
      <c r="AM94" s="124"/>
      <c r="AN94" s="129"/>
      <c r="AO94" s="129"/>
      <c r="AP94" s="132">
        <v>0.45416666666666666</v>
      </c>
      <c r="AQ94" s="132">
        <v>0.21111111111111111</v>
      </c>
      <c r="AR94" s="132">
        <v>0.3888888888888889</v>
      </c>
      <c r="AS94" s="132">
        <v>0.16875000000000001</v>
      </c>
      <c r="AT94" s="132">
        <v>0.40555555555555556</v>
      </c>
      <c r="AU94" s="132">
        <v>0.16041666666666668</v>
      </c>
      <c r="AV94" s="132">
        <v>0.40902777777777777</v>
      </c>
      <c r="AW94" s="132">
        <v>0.22847222222222222</v>
      </c>
      <c r="AX94" s="132">
        <v>0.40763888888888888</v>
      </c>
      <c r="AY94" s="132">
        <v>0.2298611111111111</v>
      </c>
      <c r="AZ94" s="124"/>
      <c r="BA94" s="124"/>
      <c r="BB94" s="129"/>
      <c r="BC94" s="129"/>
      <c r="BD94" s="132">
        <v>0.36875000000000002</v>
      </c>
      <c r="BE94" s="132">
        <v>0.22152777777777777</v>
      </c>
      <c r="BF94" s="132">
        <v>0.38750000000000001</v>
      </c>
      <c r="BG94" s="132">
        <v>0.19097222222222221</v>
      </c>
      <c r="BH94" s="132">
        <v>0.37430555555555556</v>
      </c>
      <c r="BI94" s="132">
        <v>0.21041666666666667</v>
      </c>
      <c r="BJ94" s="132">
        <v>0.39930555555555558</v>
      </c>
      <c r="BK94" s="132">
        <v>0.15555555555555556</v>
      </c>
      <c r="BL94" s="126">
        <f t="shared" si="4"/>
        <v>18</v>
      </c>
      <c r="BM94" s="126">
        <f t="shared" si="4"/>
        <v>17</v>
      </c>
      <c r="BN94" s="126">
        <f t="shared" si="3"/>
        <v>0</v>
      </c>
      <c r="BO94" s="126"/>
    </row>
    <row r="95" spans="1:67" ht="16.5">
      <c r="A95" s="137" t="s">
        <v>150</v>
      </c>
      <c r="B95" s="138" t="s">
        <v>198</v>
      </c>
      <c r="C95" s="139" t="s">
        <v>153</v>
      </c>
      <c r="D95" s="126"/>
      <c r="E95" s="126"/>
      <c r="F95" s="129"/>
      <c r="G95" s="129"/>
      <c r="H95" s="129"/>
      <c r="I95" s="129"/>
      <c r="J95" s="124"/>
      <c r="K95" s="124"/>
      <c r="L95" s="129"/>
      <c r="M95" s="129"/>
      <c r="N95" s="126"/>
      <c r="O95" s="126"/>
      <c r="P95" s="132">
        <v>0.42638888888888887</v>
      </c>
      <c r="Q95" s="126"/>
      <c r="R95" s="132">
        <v>0.41180555555555554</v>
      </c>
      <c r="S95" s="126"/>
      <c r="T95" s="126"/>
      <c r="U95" s="126"/>
      <c r="V95" s="126"/>
      <c r="W95" s="126"/>
      <c r="X95" s="124"/>
      <c r="Y95" s="124"/>
      <c r="Z95" s="129"/>
      <c r="AA95" s="129"/>
      <c r="AB95" s="126"/>
      <c r="AC95" s="126"/>
      <c r="AD95" s="132">
        <v>0.40208333333333335</v>
      </c>
      <c r="AE95" s="126"/>
      <c r="AF95" s="126"/>
      <c r="AG95" s="126"/>
      <c r="AH95" s="126"/>
      <c r="AI95" s="132">
        <v>0.15486111111111112</v>
      </c>
      <c r="AJ95" s="132">
        <v>0.38819444444444445</v>
      </c>
      <c r="AK95" s="126"/>
      <c r="AL95" s="124"/>
      <c r="AM95" s="124"/>
      <c r="AN95" s="129"/>
      <c r="AO95" s="129"/>
      <c r="AP95" s="126"/>
      <c r="AQ95" s="126"/>
      <c r="AR95" s="126"/>
      <c r="AS95" s="126"/>
      <c r="AT95" s="126"/>
      <c r="AU95" s="126"/>
      <c r="AV95" s="126"/>
      <c r="AW95" s="132">
        <v>0.16805555555555557</v>
      </c>
      <c r="AX95" s="132">
        <v>0.41111111111111109</v>
      </c>
      <c r="AY95" s="126"/>
      <c r="AZ95" s="124"/>
      <c r="BA95" s="124"/>
      <c r="BB95" s="129"/>
      <c r="BC95" s="129"/>
      <c r="BD95" s="126"/>
      <c r="BE95" s="132">
        <v>0.18958333333333333</v>
      </c>
      <c r="BF95" s="126"/>
      <c r="BG95" s="132">
        <v>0.16875000000000001</v>
      </c>
      <c r="BH95" s="126"/>
      <c r="BI95" s="126"/>
      <c r="BJ95" s="132">
        <v>0.40347222222222223</v>
      </c>
      <c r="BK95" s="126"/>
      <c r="BL95" s="126">
        <f t="shared" si="4"/>
        <v>6</v>
      </c>
      <c r="BM95" s="126">
        <f t="shared" si="4"/>
        <v>4</v>
      </c>
      <c r="BN95" s="126">
        <f t="shared" si="3"/>
        <v>0</v>
      </c>
      <c r="BO95" s="126"/>
    </row>
    <row r="96" spans="1:67" ht="16.5">
      <c r="A96" s="137" t="s">
        <v>150</v>
      </c>
      <c r="B96" s="138" t="s">
        <v>198</v>
      </c>
      <c r="C96" s="139" t="s">
        <v>154</v>
      </c>
      <c r="D96" s="132">
        <v>0.41736111111111113</v>
      </c>
      <c r="E96" s="132">
        <v>0.18819444444444444</v>
      </c>
      <c r="F96" s="129"/>
      <c r="G96" s="129"/>
      <c r="H96" s="129"/>
      <c r="I96" s="129"/>
      <c r="J96" s="124"/>
      <c r="K96" s="124"/>
      <c r="L96" s="129"/>
      <c r="M96" s="129"/>
      <c r="N96" s="132">
        <v>0.4152777777777778</v>
      </c>
      <c r="O96" s="126"/>
      <c r="P96" s="126"/>
      <c r="Q96" s="132">
        <v>0.12708333333333333</v>
      </c>
      <c r="R96" s="126"/>
      <c r="S96" s="132">
        <v>0.15138888888888888</v>
      </c>
      <c r="T96" s="132">
        <v>0.40416666666666667</v>
      </c>
      <c r="U96" s="132">
        <v>0.14861111111111111</v>
      </c>
      <c r="V96" s="132">
        <v>0.42569444444444443</v>
      </c>
      <c r="W96" s="132">
        <v>0.15069444444444444</v>
      </c>
      <c r="X96" s="124"/>
      <c r="Y96" s="124"/>
      <c r="Z96" s="129"/>
      <c r="AA96" s="129"/>
      <c r="AB96" s="132">
        <v>0.3972222222222222</v>
      </c>
      <c r="AC96" s="132">
        <v>0.16458333333333333</v>
      </c>
      <c r="AD96" s="126"/>
      <c r="AE96" s="132">
        <v>0.15972222222222221</v>
      </c>
      <c r="AF96" s="132">
        <v>0.39374999999999999</v>
      </c>
      <c r="AG96" s="132">
        <v>0.12847222222222221</v>
      </c>
      <c r="AH96" s="132">
        <v>0.40416666666666667</v>
      </c>
      <c r="AI96" s="126"/>
      <c r="AJ96" s="126"/>
      <c r="AK96" s="126"/>
      <c r="AL96" s="124"/>
      <c r="AM96" s="124"/>
      <c r="AN96" s="129"/>
      <c r="AO96" s="129"/>
      <c r="AP96" s="132">
        <v>0.39791666666666664</v>
      </c>
      <c r="AQ96" s="132">
        <v>0.16666666666666666</v>
      </c>
      <c r="AR96" s="132">
        <v>0.40416666666666667</v>
      </c>
      <c r="AS96" s="132">
        <v>0.17152777777777778</v>
      </c>
      <c r="AT96" s="132">
        <v>0.41388888888888886</v>
      </c>
      <c r="AU96" s="132">
        <v>0.16111111111111112</v>
      </c>
      <c r="AV96" s="132">
        <v>0.40763888888888888</v>
      </c>
      <c r="AW96" s="126"/>
      <c r="AX96" s="126"/>
      <c r="AY96" s="132">
        <v>0.16527777777777777</v>
      </c>
      <c r="AZ96" s="124"/>
      <c r="BA96" s="124"/>
      <c r="BB96" s="129"/>
      <c r="BC96" s="129"/>
      <c r="BD96" s="132">
        <v>0.39097222222222222</v>
      </c>
      <c r="BE96" s="126"/>
      <c r="BF96" s="132">
        <v>0.40347222222222223</v>
      </c>
      <c r="BG96" s="126"/>
      <c r="BH96" s="132">
        <v>0.40416666666666667</v>
      </c>
      <c r="BI96" s="132">
        <v>0.16319444444444445</v>
      </c>
      <c r="BJ96" s="126"/>
      <c r="BK96" s="132">
        <v>0.18541666666666667</v>
      </c>
      <c r="BL96" s="126">
        <f t="shared" si="4"/>
        <v>14</v>
      </c>
      <c r="BM96" s="126">
        <f t="shared" si="4"/>
        <v>14</v>
      </c>
      <c r="BN96" s="126">
        <f t="shared" si="3"/>
        <v>0</v>
      </c>
      <c r="BO96" s="126"/>
    </row>
    <row r="97" spans="1:67" ht="16.5">
      <c r="A97" s="137" t="s">
        <v>150</v>
      </c>
      <c r="B97" s="140" t="s">
        <v>155</v>
      </c>
      <c r="C97" s="139" t="s">
        <v>156</v>
      </c>
      <c r="D97" s="126"/>
      <c r="E97" s="132">
        <v>0.14583333333333334</v>
      </c>
      <c r="F97" s="131">
        <v>0.41319444444444442</v>
      </c>
      <c r="G97" s="131"/>
      <c r="H97" s="129"/>
      <c r="I97" s="129"/>
      <c r="J97" s="124"/>
      <c r="K97" s="124"/>
      <c r="L97" s="129"/>
      <c r="M97" s="129"/>
      <c r="N97" s="132">
        <v>0.4</v>
      </c>
      <c r="O97" s="132">
        <v>0.14722222222222223</v>
      </c>
      <c r="P97" s="132">
        <v>0.3972222222222222</v>
      </c>
      <c r="Q97" s="132">
        <v>0.13750000000000001</v>
      </c>
      <c r="R97" s="132">
        <v>0.39583333333333331</v>
      </c>
      <c r="S97" s="132">
        <v>0.14930555555555555</v>
      </c>
      <c r="T97" s="132">
        <v>0.39652777777777776</v>
      </c>
      <c r="U97" s="132">
        <v>0.13750000000000001</v>
      </c>
      <c r="V97" s="132">
        <v>0.39791666666666664</v>
      </c>
      <c r="W97" s="132">
        <v>0.14861111111111111</v>
      </c>
      <c r="X97" s="124"/>
      <c r="Y97" s="124"/>
      <c r="Z97" s="129"/>
      <c r="AA97" s="129"/>
      <c r="AB97" s="132">
        <v>0.40138888888888891</v>
      </c>
      <c r="AC97" s="132">
        <v>0.14374999999999999</v>
      </c>
      <c r="AD97" s="132">
        <v>0.39930555555555558</v>
      </c>
      <c r="AE97" s="132">
        <v>0.13750000000000001</v>
      </c>
      <c r="AF97" s="132">
        <v>0.3972222222222222</v>
      </c>
      <c r="AG97" s="132">
        <v>0.15277777777777779</v>
      </c>
      <c r="AH97" s="132">
        <v>0.40138888888888891</v>
      </c>
      <c r="AI97" s="132">
        <v>0.1451388888888889</v>
      </c>
      <c r="AJ97" s="132">
        <v>0.39027777777777778</v>
      </c>
      <c r="AK97" s="132">
        <v>0.16597222222222222</v>
      </c>
      <c r="AL97" s="124"/>
      <c r="AM97" s="124"/>
      <c r="AN97" s="129"/>
      <c r="AO97" s="129"/>
      <c r="AP97" s="132">
        <v>0.39861111111111114</v>
      </c>
      <c r="AQ97" s="132">
        <v>0.13958333333333334</v>
      </c>
      <c r="AR97" s="132">
        <v>0.3972222222222222</v>
      </c>
      <c r="AS97" s="132">
        <v>0.1451388888888889</v>
      </c>
      <c r="AT97" s="132">
        <v>0.39791666666666664</v>
      </c>
      <c r="AU97" s="132">
        <v>0.13958333333333334</v>
      </c>
      <c r="AV97" s="132">
        <v>0.39583333333333331</v>
      </c>
      <c r="AW97" s="132">
        <v>0.14305555555555555</v>
      </c>
      <c r="AX97" s="132">
        <v>0.39513888888888887</v>
      </c>
      <c r="AY97" s="132">
        <v>0.14374999999999999</v>
      </c>
      <c r="AZ97" s="124"/>
      <c r="BA97" s="124"/>
      <c r="BB97" s="129"/>
      <c r="BC97" s="129"/>
      <c r="BD97" s="132">
        <v>0.39166666666666666</v>
      </c>
      <c r="BE97" s="132">
        <v>0.1423611111111111</v>
      </c>
      <c r="BF97" s="132">
        <v>0.3972222222222222</v>
      </c>
      <c r="BG97" s="132">
        <v>0.13750000000000001</v>
      </c>
      <c r="BH97" s="132">
        <v>0.39652777777777776</v>
      </c>
      <c r="BI97" s="132">
        <v>0.14305555555555555</v>
      </c>
      <c r="BJ97" s="132">
        <v>0.40138888888888891</v>
      </c>
      <c r="BK97" s="132">
        <v>0.16111111111111112</v>
      </c>
      <c r="BL97" s="126">
        <f t="shared" si="4"/>
        <v>20</v>
      </c>
      <c r="BM97" s="126">
        <f t="shared" si="4"/>
        <v>20</v>
      </c>
      <c r="BN97" s="126">
        <f t="shared" si="3"/>
        <v>0</v>
      </c>
      <c r="BO97" s="126"/>
    </row>
    <row r="98" spans="1:67" ht="16.5">
      <c r="A98" s="137" t="s">
        <v>150</v>
      </c>
      <c r="B98" s="140" t="s">
        <v>157</v>
      </c>
      <c r="C98" s="139" t="s">
        <v>158</v>
      </c>
      <c r="D98" s="132">
        <v>0.41805555555555557</v>
      </c>
      <c r="E98" s="126"/>
      <c r="F98" s="129"/>
      <c r="G98" s="129"/>
      <c r="H98" s="129"/>
      <c r="I98" s="129"/>
      <c r="J98" s="124"/>
      <c r="K98" s="124"/>
      <c r="L98" s="129"/>
      <c r="M98" s="129"/>
      <c r="N98" s="126"/>
      <c r="O98" s="126"/>
      <c r="P98" s="126"/>
      <c r="Q98" s="126"/>
      <c r="R98" s="132">
        <v>0.38333333333333336</v>
      </c>
      <c r="S98" s="126"/>
      <c r="T98" s="132">
        <v>0.39861111111111114</v>
      </c>
      <c r="U98" s="132">
        <v>0.21527777777777779</v>
      </c>
      <c r="V98" s="132">
        <v>0.44513888888888886</v>
      </c>
      <c r="W98" s="132">
        <v>0.16805555555555557</v>
      </c>
      <c r="X98" s="124"/>
      <c r="Y98" s="124"/>
      <c r="Z98" s="129"/>
      <c r="AA98" s="129"/>
      <c r="AB98" s="132">
        <v>0.38750000000000001</v>
      </c>
      <c r="AC98" s="132">
        <v>0.17083333333333334</v>
      </c>
      <c r="AD98" s="126"/>
      <c r="AE98" s="132">
        <v>0.15486111111111112</v>
      </c>
      <c r="AF98" s="126"/>
      <c r="AG98" s="126"/>
      <c r="AH98" s="126"/>
      <c r="AI98" s="126"/>
      <c r="AJ98" s="132">
        <v>0.38750000000000001</v>
      </c>
      <c r="AK98" s="126"/>
      <c r="AL98" s="124"/>
      <c r="AM98" s="124"/>
      <c r="AN98" s="129"/>
      <c r="AO98" s="129"/>
      <c r="AP98" s="126"/>
      <c r="AQ98" s="132">
        <v>0.17083333333333334</v>
      </c>
      <c r="AR98" s="132">
        <v>0.41388888888888886</v>
      </c>
      <c r="AS98" s="126"/>
      <c r="AT98" s="132">
        <v>0.42777777777777776</v>
      </c>
      <c r="AU98" s="126"/>
      <c r="AV98" s="126"/>
      <c r="AW98" s="132">
        <v>0.2</v>
      </c>
      <c r="AX98" s="126"/>
      <c r="AY98" s="132">
        <v>0.3125</v>
      </c>
      <c r="AZ98" s="124"/>
      <c r="BA98" s="124"/>
      <c r="BB98" s="129"/>
      <c r="BC98" s="129"/>
      <c r="BD98" s="126"/>
      <c r="BE98" s="132">
        <v>0.26874999999999999</v>
      </c>
      <c r="BF98" s="132">
        <v>5.8333333333333334E-2</v>
      </c>
      <c r="BG98" s="126"/>
      <c r="BH98" s="126"/>
      <c r="BI98" s="132">
        <v>0.21458333333333332</v>
      </c>
      <c r="BJ98" s="126"/>
      <c r="BK98" s="126"/>
      <c r="BL98" s="126">
        <f t="shared" si="4"/>
        <v>9</v>
      </c>
      <c r="BM98" s="126">
        <f t="shared" si="4"/>
        <v>9</v>
      </c>
      <c r="BN98" s="126">
        <f t="shared" si="3"/>
        <v>0</v>
      </c>
      <c r="BO98" s="126"/>
    </row>
    <row r="99" spans="1:67" ht="16.5">
      <c r="A99" s="137" t="s">
        <v>150</v>
      </c>
      <c r="B99" s="140" t="s">
        <v>157</v>
      </c>
      <c r="C99" s="139" t="s">
        <v>159</v>
      </c>
      <c r="D99" s="126"/>
      <c r="E99" s="126"/>
      <c r="F99" s="129"/>
      <c r="G99" s="129"/>
      <c r="H99" s="129"/>
      <c r="I99" s="129"/>
      <c r="J99" s="124"/>
      <c r="K99" s="124"/>
      <c r="L99" s="129"/>
      <c r="M99" s="129"/>
      <c r="N99" s="132">
        <v>0.50416666666666665</v>
      </c>
      <c r="O99" s="126"/>
      <c r="P99" s="132">
        <v>0.4597222222222222</v>
      </c>
      <c r="Q99" s="132">
        <v>0.17222222222222222</v>
      </c>
      <c r="R99" s="126"/>
      <c r="S99" s="132">
        <v>0.15833333333333333</v>
      </c>
      <c r="T99" s="126"/>
      <c r="U99" s="126"/>
      <c r="V99" s="126"/>
      <c r="W99" s="126"/>
      <c r="X99" s="124"/>
      <c r="Y99" s="124"/>
      <c r="Z99" s="129"/>
      <c r="AA99" s="129"/>
      <c r="AB99" s="126"/>
      <c r="AC99" s="126"/>
      <c r="AD99" s="132">
        <v>0.40138888888888891</v>
      </c>
      <c r="AE99" s="126"/>
      <c r="AF99" s="126"/>
      <c r="AG99" s="126"/>
      <c r="AH99" s="132">
        <v>0.38472222222222224</v>
      </c>
      <c r="AI99" s="132">
        <v>0.15833333333333333</v>
      </c>
      <c r="AJ99" s="126"/>
      <c r="AK99" s="126"/>
      <c r="AL99" s="124"/>
      <c r="AM99" s="124"/>
      <c r="AN99" s="129"/>
      <c r="AO99" s="129"/>
      <c r="AP99" s="132">
        <v>0.39652777777777776</v>
      </c>
      <c r="AQ99" s="126"/>
      <c r="AR99" s="126"/>
      <c r="AS99" s="126"/>
      <c r="AT99" s="126"/>
      <c r="AU99" s="126"/>
      <c r="AV99" s="132">
        <v>0.35902777777777778</v>
      </c>
      <c r="AW99" s="126"/>
      <c r="AX99" s="126"/>
      <c r="AY99" s="126"/>
      <c r="AZ99" s="124"/>
      <c r="BA99" s="124"/>
      <c r="BB99" s="129"/>
      <c r="BC99" s="129"/>
      <c r="BD99" s="132">
        <v>0.37083333333333335</v>
      </c>
      <c r="BE99" s="126"/>
      <c r="BF99" s="126"/>
      <c r="BG99" s="126"/>
      <c r="BH99" s="132">
        <v>0.51111111111111107</v>
      </c>
      <c r="BI99" s="126"/>
      <c r="BJ99" s="126"/>
      <c r="BK99" s="126"/>
      <c r="BL99" s="126">
        <f t="shared" si="4"/>
        <v>8</v>
      </c>
      <c r="BM99" s="126">
        <f t="shared" si="4"/>
        <v>3</v>
      </c>
      <c r="BN99" s="126">
        <f t="shared" si="3"/>
        <v>0</v>
      </c>
      <c r="BO99" s="126"/>
    </row>
    <row r="100" spans="1:67" ht="16.5">
      <c r="A100" s="137" t="s">
        <v>150</v>
      </c>
      <c r="B100" s="140" t="s">
        <v>160</v>
      </c>
      <c r="C100" s="139" t="s">
        <v>161</v>
      </c>
      <c r="D100" s="132">
        <v>0.41875000000000001</v>
      </c>
      <c r="E100" s="132">
        <v>0.24236111111111111</v>
      </c>
      <c r="F100" s="129"/>
      <c r="G100" s="129"/>
      <c r="H100" s="129"/>
      <c r="I100" s="129"/>
      <c r="J100" s="124"/>
      <c r="K100" s="124"/>
      <c r="L100" s="129"/>
      <c r="M100" s="129"/>
      <c r="N100" s="126"/>
      <c r="O100" s="132">
        <v>0.21666666666666667</v>
      </c>
      <c r="P100" s="132">
        <v>0.41736111111111113</v>
      </c>
      <c r="Q100" s="132">
        <v>0.24444444444444444</v>
      </c>
      <c r="R100" s="126"/>
      <c r="S100" s="132">
        <v>0.25277777777777777</v>
      </c>
      <c r="T100" s="132">
        <v>0.43055555555555558</v>
      </c>
      <c r="U100" s="132">
        <v>0.20833333333333334</v>
      </c>
      <c r="V100" s="132">
        <v>0.42916666666666664</v>
      </c>
      <c r="W100" s="126"/>
      <c r="X100" s="124"/>
      <c r="Y100" s="124"/>
      <c r="Z100" s="129"/>
      <c r="AA100" s="129"/>
      <c r="AB100" s="126"/>
      <c r="AC100" s="126"/>
      <c r="AD100" s="126"/>
      <c r="AE100" s="132">
        <v>0.20208333333333334</v>
      </c>
      <c r="AF100" s="126"/>
      <c r="AG100" s="126"/>
      <c r="AH100" s="126"/>
      <c r="AI100" s="132">
        <v>0.24861111111111112</v>
      </c>
      <c r="AJ100" s="132">
        <v>0.45</v>
      </c>
      <c r="AK100" s="132">
        <v>0.23749999999999999</v>
      </c>
      <c r="AL100" s="124"/>
      <c r="AM100" s="124"/>
      <c r="AN100" s="129"/>
      <c r="AO100" s="129"/>
      <c r="AP100" s="126"/>
      <c r="AQ100" s="126"/>
      <c r="AR100" s="132">
        <v>0.45069444444444445</v>
      </c>
      <c r="AS100" s="132">
        <v>0.20624999999999999</v>
      </c>
      <c r="AT100" s="126"/>
      <c r="AU100" s="126"/>
      <c r="AV100" s="126"/>
      <c r="AW100" s="132">
        <v>0.25208333333333333</v>
      </c>
      <c r="AX100" s="126"/>
      <c r="AY100" s="126"/>
      <c r="AZ100" s="124"/>
      <c r="BA100" s="124"/>
      <c r="BB100" s="129"/>
      <c r="BC100" s="129"/>
      <c r="BD100" s="126"/>
      <c r="BE100" s="126"/>
      <c r="BF100" s="126"/>
      <c r="BG100" s="126"/>
      <c r="BH100" s="132">
        <v>0.44097222222222221</v>
      </c>
      <c r="BI100" s="132">
        <v>0.21527777777777779</v>
      </c>
      <c r="BJ100" s="126"/>
      <c r="BK100" s="126"/>
      <c r="BL100" s="126">
        <f t="shared" si="4"/>
        <v>7</v>
      </c>
      <c r="BM100" s="126">
        <f t="shared" si="4"/>
        <v>11</v>
      </c>
      <c r="BN100" s="126">
        <f t="shared" si="3"/>
        <v>0</v>
      </c>
      <c r="BO100" s="126"/>
    </row>
    <row r="101" spans="1:67" ht="16.5">
      <c r="A101" s="137" t="s">
        <v>150</v>
      </c>
      <c r="B101" s="140" t="s">
        <v>162</v>
      </c>
      <c r="C101" s="139" t="s">
        <v>163</v>
      </c>
      <c r="D101" s="126"/>
      <c r="E101" s="126"/>
      <c r="F101" s="129"/>
      <c r="G101" s="129"/>
      <c r="H101" s="129"/>
      <c r="I101" s="129"/>
      <c r="J101" s="124"/>
      <c r="K101" s="124"/>
      <c r="L101" s="129"/>
      <c r="M101" s="129"/>
      <c r="N101" s="132">
        <v>0.43888888888888888</v>
      </c>
      <c r="O101" s="126"/>
      <c r="P101" s="126"/>
      <c r="Q101" s="126"/>
      <c r="R101" s="132">
        <v>0.39861111111111114</v>
      </c>
      <c r="S101" s="126"/>
      <c r="T101" s="126"/>
      <c r="U101" s="126"/>
      <c r="V101" s="126"/>
      <c r="W101" s="132">
        <v>0.23333333333333334</v>
      </c>
      <c r="X101" s="124"/>
      <c r="Y101" s="124"/>
      <c r="Z101" s="129"/>
      <c r="AA101" s="129"/>
      <c r="AB101" s="132">
        <v>0.4152777777777778</v>
      </c>
      <c r="AC101" s="132">
        <v>0.21249999999999999</v>
      </c>
      <c r="AD101" s="132">
        <v>0.39930555555555558</v>
      </c>
      <c r="AE101" s="126"/>
      <c r="AF101" s="132">
        <v>0.41249999999999998</v>
      </c>
      <c r="AG101" s="132">
        <v>0.20624999999999999</v>
      </c>
      <c r="AH101" s="132">
        <v>0.3888888888888889</v>
      </c>
      <c r="AI101" s="126"/>
      <c r="AJ101" s="126"/>
      <c r="AK101" s="126"/>
      <c r="AL101" s="124"/>
      <c r="AM101" s="124"/>
      <c r="AN101" s="129"/>
      <c r="AO101" s="129"/>
      <c r="AP101" s="132">
        <v>0.43263888888888891</v>
      </c>
      <c r="AQ101" s="132">
        <v>0.23472222222222222</v>
      </c>
      <c r="AR101" s="126"/>
      <c r="AS101" s="126"/>
      <c r="AT101" s="132">
        <v>0.41458333333333336</v>
      </c>
      <c r="AU101" s="132">
        <v>0.2013888888888889</v>
      </c>
      <c r="AV101" s="132">
        <v>0.46111111111111114</v>
      </c>
      <c r="AW101" s="126"/>
      <c r="AX101" s="132">
        <v>0.44791666666666669</v>
      </c>
      <c r="AY101" s="132">
        <v>0.25138888888888888</v>
      </c>
      <c r="AZ101" s="124"/>
      <c r="BA101" s="124"/>
      <c r="BB101" s="129"/>
      <c r="BC101" s="129"/>
      <c r="BD101" s="132">
        <v>0.43611111111111112</v>
      </c>
      <c r="BE101" s="132">
        <v>0.22222222222222221</v>
      </c>
      <c r="BF101" s="132">
        <v>0.40486111111111112</v>
      </c>
      <c r="BG101" s="132">
        <v>0.24930555555555556</v>
      </c>
      <c r="BH101" s="126"/>
      <c r="BI101" s="126"/>
      <c r="BJ101" s="126"/>
      <c r="BK101" s="132">
        <v>0.18958333333333333</v>
      </c>
      <c r="BL101" s="126">
        <f t="shared" si="4"/>
        <v>12</v>
      </c>
      <c r="BM101" s="126">
        <f t="shared" si="4"/>
        <v>9</v>
      </c>
      <c r="BN101" s="126">
        <f t="shared" si="3"/>
        <v>0</v>
      </c>
      <c r="BO101" s="126"/>
    </row>
  </sheetData>
  <autoFilter ref="A1:BN101" xr:uid="{3B67217D-FB09-4B27-BAC3-6D24F6792948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</autoFilter>
  <mergeCells count="33">
    <mergeCell ref="BF1:BG1"/>
    <mergeCell ref="BH1:BI1"/>
    <mergeCell ref="BJ1:BK1"/>
    <mergeCell ref="AT1:AU1"/>
    <mergeCell ref="AV1:AW1"/>
    <mergeCell ref="AX1:AY1"/>
    <mergeCell ref="AZ1:BA1"/>
    <mergeCell ref="BB1:BC1"/>
    <mergeCell ref="BD1:BE1"/>
    <mergeCell ref="AR1:AS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T1:U1"/>
    <mergeCell ref="A1:A2"/>
    <mergeCell ref="B1:B2"/>
    <mergeCell ref="C1:C2"/>
    <mergeCell ref="D1:E1"/>
    <mergeCell ref="F1:G1"/>
    <mergeCell ref="H1:I1"/>
    <mergeCell ref="J1:K1"/>
    <mergeCell ref="L1:M1"/>
    <mergeCell ref="N1:O1"/>
    <mergeCell ref="P1:Q1"/>
    <mergeCell ref="R1:S1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D5DF-FD49-4D29-A426-FB6465A96CAD}">
  <dimension ref="A1:BP202"/>
  <sheetViews>
    <sheetView workbookViewId="0">
      <pane xSplit="3" topLeftCell="D67" activePane="topRight" state="frozen"/>
      <selection pane="topRight" activeCell="BO126" sqref="A123:BO126"/>
    </sheetView>
  </sheetViews>
  <sheetFormatPr defaultColWidth="9.140625" defaultRowHeight="15"/>
  <cols>
    <col min="1" max="1" width="17.85546875" customWidth="1"/>
    <col min="2" max="2" width="33" customWidth="1"/>
    <col min="3" max="3" width="48.5703125" customWidth="1"/>
    <col min="4" max="65" width="8" customWidth="1"/>
    <col min="66" max="66" width="21" customWidth="1"/>
    <col min="67" max="67" width="23.140625" customWidth="1"/>
    <col min="68" max="68" width="13.140625" customWidth="1"/>
  </cols>
  <sheetData>
    <row r="1" spans="1:68" ht="16.5">
      <c r="A1" s="405" t="s">
        <v>589</v>
      </c>
      <c r="B1" s="405" t="s">
        <v>590</v>
      </c>
      <c r="C1" s="405" t="s">
        <v>591</v>
      </c>
      <c r="D1" s="402">
        <v>46082</v>
      </c>
      <c r="E1" s="402"/>
      <c r="F1" s="401">
        <v>46083</v>
      </c>
      <c r="G1" s="401"/>
      <c r="H1" s="401">
        <v>46084</v>
      </c>
      <c r="I1" s="401"/>
      <c r="J1" s="401">
        <v>46085</v>
      </c>
      <c r="K1" s="401"/>
      <c r="L1" s="401">
        <v>46086</v>
      </c>
      <c r="M1" s="401"/>
      <c r="N1" s="401">
        <v>46087</v>
      </c>
      <c r="O1" s="401"/>
      <c r="P1" s="403">
        <v>46088</v>
      </c>
      <c r="Q1" s="403"/>
      <c r="R1" s="402">
        <v>46089</v>
      </c>
      <c r="S1" s="402"/>
      <c r="T1" s="401">
        <v>46090</v>
      </c>
      <c r="U1" s="401"/>
      <c r="V1" s="401">
        <v>46091</v>
      </c>
      <c r="W1" s="401"/>
      <c r="X1" s="401">
        <v>46092</v>
      </c>
      <c r="Y1" s="401"/>
      <c r="Z1" s="401">
        <v>46093</v>
      </c>
      <c r="AA1" s="401"/>
      <c r="AB1" s="401">
        <v>46094</v>
      </c>
      <c r="AC1" s="401"/>
      <c r="AD1" s="403">
        <v>46095</v>
      </c>
      <c r="AE1" s="403"/>
      <c r="AF1" s="402">
        <v>46096</v>
      </c>
      <c r="AG1" s="402"/>
      <c r="AH1" s="404">
        <v>46097</v>
      </c>
      <c r="AI1" s="404"/>
      <c r="AJ1" s="401">
        <v>46098</v>
      </c>
      <c r="AK1" s="401"/>
      <c r="AL1" s="401">
        <v>46099</v>
      </c>
      <c r="AM1" s="401"/>
      <c r="AN1" s="401">
        <v>46100</v>
      </c>
      <c r="AO1" s="401"/>
      <c r="AP1" s="401">
        <v>46101</v>
      </c>
      <c r="AQ1" s="401"/>
      <c r="AR1" s="403">
        <v>46102</v>
      </c>
      <c r="AS1" s="403"/>
      <c r="AT1" s="402">
        <v>46103</v>
      </c>
      <c r="AU1" s="402"/>
      <c r="AV1" s="401">
        <v>46104</v>
      </c>
      <c r="AW1" s="401"/>
      <c r="AX1" s="401">
        <v>46105</v>
      </c>
      <c r="AY1" s="401"/>
      <c r="AZ1" s="401">
        <v>46106</v>
      </c>
      <c r="BA1" s="401"/>
      <c r="BB1" s="401">
        <v>46107</v>
      </c>
      <c r="BC1" s="401"/>
      <c r="BD1" s="401">
        <v>46108</v>
      </c>
      <c r="BE1" s="401"/>
      <c r="BF1" s="403">
        <v>46109</v>
      </c>
      <c r="BG1" s="403"/>
      <c r="BH1" s="402">
        <v>46110</v>
      </c>
      <c r="BI1" s="402"/>
      <c r="BJ1" s="401">
        <v>46111</v>
      </c>
      <c r="BK1" s="401"/>
      <c r="BL1" s="401">
        <v>46112</v>
      </c>
      <c r="BM1" s="401"/>
      <c r="BN1" s="377" t="s">
        <v>597</v>
      </c>
      <c r="BO1" s="377" t="s">
        <v>598</v>
      </c>
      <c r="BP1" s="377" t="s">
        <v>599</v>
      </c>
    </row>
    <row r="2" spans="1:68" ht="16.5">
      <c r="A2" s="406"/>
      <c r="B2" s="406"/>
      <c r="C2" s="406"/>
      <c r="D2" s="91" t="s">
        <v>595</v>
      </c>
      <c r="E2" s="91" t="s">
        <v>596</v>
      </c>
      <c r="F2" s="85" t="s">
        <v>595</v>
      </c>
      <c r="G2" s="85" t="s">
        <v>596</v>
      </c>
      <c r="H2" s="85" t="s">
        <v>595</v>
      </c>
      <c r="I2" s="85" t="s">
        <v>596</v>
      </c>
      <c r="J2" s="85" t="s">
        <v>595</v>
      </c>
      <c r="K2" s="85" t="s">
        <v>596</v>
      </c>
      <c r="L2" s="85" t="s">
        <v>595</v>
      </c>
      <c r="M2" s="85" t="s">
        <v>596</v>
      </c>
      <c r="N2" s="85" t="s">
        <v>595</v>
      </c>
      <c r="O2" s="85" t="s">
        <v>596</v>
      </c>
      <c r="P2" s="95" t="s">
        <v>595</v>
      </c>
      <c r="Q2" s="95" t="s">
        <v>596</v>
      </c>
      <c r="R2" s="91" t="s">
        <v>595</v>
      </c>
      <c r="S2" s="91" t="s">
        <v>596</v>
      </c>
      <c r="T2" s="85" t="s">
        <v>595</v>
      </c>
      <c r="U2" s="85" t="s">
        <v>596</v>
      </c>
      <c r="V2" s="85" t="s">
        <v>595</v>
      </c>
      <c r="W2" s="85" t="s">
        <v>596</v>
      </c>
      <c r="X2" s="85" t="s">
        <v>595</v>
      </c>
      <c r="Y2" s="85" t="s">
        <v>596</v>
      </c>
      <c r="Z2" s="85" t="s">
        <v>595</v>
      </c>
      <c r="AA2" s="85" t="s">
        <v>596</v>
      </c>
      <c r="AB2" s="85" t="s">
        <v>595</v>
      </c>
      <c r="AC2" s="85" t="s">
        <v>596</v>
      </c>
      <c r="AD2" s="95" t="s">
        <v>595</v>
      </c>
      <c r="AE2" s="95" t="s">
        <v>596</v>
      </c>
      <c r="AF2" s="91" t="s">
        <v>595</v>
      </c>
      <c r="AG2" s="91" t="s">
        <v>596</v>
      </c>
      <c r="AH2" s="96" t="s">
        <v>595</v>
      </c>
      <c r="AI2" s="96" t="s">
        <v>596</v>
      </c>
      <c r="AJ2" s="85" t="s">
        <v>595</v>
      </c>
      <c r="AK2" s="85" t="s">
        <v>596</v>
      </c>
      <c r="AL2" s="85" t="s">
        <v>595</v>
      </c>
      <c r="AM2" s="85" t="s">
        <v>596</v>
      </c>
      <c r="AN2" s="85" t="s">
        <v>595</v>
      </c>
      <c r="AO2" s="85" t="s">
        <v>596</v>
      </c>
      <c r="AP2" s="85" t="s">
        <v>595</v>
      </c>
      <c r="AQ2" s="85" t="s">
        <v>596</v>
      </c>
      <c r="AR2" s="95" t="s">
        <v>595</v>
      </c>
      <c r="AS2" s="95" t="s">
        <v>596</v>
      </c>
      <c r="AT2" s="91" t="s">
        <v>595</v>
      </c>
      <c r="AU2" s="91" t="s">
        <v>596</v>
      </c>
      <c r="AV2" s="85" t="s">
        <v>595</v>
      </c>
      <c r="AW2" s="85" t="s">
        <v>596</v>
      </c>
      <c r="AX2" s="85" t="s">
        <v>595</v>
      </c>
      <c r="AY2" s="85" t="s">
        <v>596</v>
      </c>
      <c r="AZ2" s="85" t="s">
        <v>595</v>
      </c>
      <c r="BA2" s="85" t="s">
        <v>596</v>
      </c>
      <c r="BB2" s="85" t="s">
        <v>595</v>
      </c>
      <c r="BC2" s="85" t="s">
        <v>596</v>
      </c>
      <c r="BD2" s="85" t="s">
        <v>595</v>
      </c>
      <c r="BE2" s="85" t="s">
        <v>596</v>
      </c>
      <c r="BF2" s="95" t="s">
        <v>595</v>
      </c>
      <c r="BG2" s="95" t="s">
        <v>596</v>
      </c>
      <c r="BH2" s="91" t="s">
        <v>595</v>
      </c>
      <c r="BI2" s="91" t="s">
        <v>596</v>
      </c>
      <c r="BJ2" s="85" t="s">
        <v>595</v>
      </c>
      <c r="BK2" s="85" t="s">
        <v>596</v>
      </c>
      <c r="BL2" s="85" t="s">
        <v>595</v>
      </c>
      <c r="BM2" s="85" t="s">
        <v>596</v>
      </c>
      <c r="BN2" s="377"/>
      <c r="BO2" s="377"/>
      <c r="BP2" s="377"/>
    </row>
    <row r="3" spans="1:68" ht="16.5">
      <c r="A3" s="86" t="s">
        <v>5</v>
      </c>
      <c r="B3" s="86" t="s">
        <v>6</v>
      </c>
      <c r="C3" s="92" t="s">
        <v>7</v>
      </c>
      <c r="D3" s="91"/>
      <c r="E3" s="91"/>
      <c r="F3" s="88">
        <v>0.35625000000000001</v>
      </c>
      <c r="G3" s="88">
        <v>0.16666666666666666</v>
      </c>
      <c r="H3" s="88">
        <v>0.35694444444444445</v>
      </c>
      <c r="I3" s="99">
        <v>0.1673611111111111</v>
      </c>
      <c r="J3" s="99">
        <v>0.3576388888888889</v>
      </c>
      <c r="K3" s="99">
        <v>0.17569444444444443</v>
      </c>
      <c r="L3" s="99">
        <v>0.3576388888888889</v>
      </c>
      <c r="M3" s="99">
        <v>0.17430555555555555</v>
      </c>
      <c r="N3" s="88">
        <v>0.35694444444444445</v>
      </c>
      <c r="O3" s="88">
        <v>0</v>
      </c>
      <c r="P3" s="95"/>
      <c r="Q3" s="95"/>
      <c r="R3" s="91"/>
      <c r="S3" s="91"/>
      <c r="T3" s="88">
        <v>0.35416666666666669</v>
      </c>
      <c r="U3" s="88">
        <v>0.20972222222222223</v>
      </c>
      <c r="V3" s="88">
        <v>0.35416666666666669</v>
      </c>
      <c r="W3" s="88">
        <v>0.17222222222222222</v>
      </c>
      <c r="X3" s="85"/>
      <c r="Y3" s="88">
        <v>0.16944444444444445</v>
      </c>
      <c r="Z3" s="88">
        <v>0.35486111111111113</v>
      </c>
      <c r="AA3" s="88">
        <v>0.16944444444444445</v>
      </c>
      <c r="AB3" s="88">
        <v>0.35555555555555557</v>
      </c>
      <c r="AC3" s="88">
        <v>0.19305555555555556</v>
      </c>
      <c r="AD3" s="95"/>
      <c r="AE3" s="95"/>
      <c r="AF3" s="91"/>
      <c r="AG3" s="91"/>
      <c r="AH3" s="96"/>
      <c r="AI3" s="96"/>
      <c r="AJ3" s="88">
        <v>0.35555555555555557</v>
      </c>
      <c r="AK3" s="88">
        <v>0</v>
      </c>
      <c r="AL3" s="88">
        <v>0.35486111111111113</v>
      </c>
      <c r="AM3" s="88">
        <v>0.17499999999999999</v>
      </c>
      <c r="AN3" s="88">
        <v>0.34930555555555554</v>
      </c>
      <c r="AO3" s="88">
        <v>0.1701388888888889</v>
      </c>
      <c r="AP3" s="88">
        <v>0.35486111111111113</v>
      </c>
      <c r="AQ3" s="88">
        <v>0.16388888888888889</v>
      </c>
      <c r="AR3" s="102"/>
      <c r="AS3" s="95"/>
      <c r="AT3" s="91"/>
      <c r="AU3" s="91"/>
      <c r="AV3" s="88">
        <v>0.35694444444444445</v>
      </c>
      <c r="AW3" s="88">
        <v>0.16875000000000001</v>
      </c>
      <c r="AX3" s="88">
        <v>0.3576388888888889</v>
      </c>
      <c r="AY3" s="88">
        <v>0.17291666666666666</v>
      </c>
      <c r="AZ3" s="88">
        <v>0</v>
      </c>
      <c r="BA3" s="88">
        <v>0.16527777777777777</v>
      </c>
      <c r="BB3" s="88">
        <v>0.35486111111111113</v>
      </c>
      <c r="BC3" s="88">
        <v>0</v>
      </c>
      <c r="BD3" s="88">
        <v>0.35833333333333334</v>
      </c>
      <c r="BE3" s="85"/>
      <c r="BF3" s="95"/>
      <c r="BG3" s="95"/>
      <c r="BH3" s="91"/>
      <c r="BI3" s="91"/>
      <c r="BJ3" s="88">
        <v>0.35</v>
      </c>
      <c r="BK3" s="88">
        <v>0.18541666666666667</v>
      </c>
      <c r="BL3" s="99">
        <v>0.35208333333333336</v>
      </c>
      <c r="BM3" s="99">
        <v>0</v>
      </c>
      <c r="BN3" s="85">
        <f>SUM(IF(AND(D3&lt;&gt;"",WEEKDAY(D$1,2)&lt;6),1,0),IF(AND(F3&lt;&gt;"",WEEKDAY(F$1,2)&lt;6),1,0),IF(AND(H3&lt;&gt;"",WEEKDAY(H$1,2)&lt;6),1,0),IF(AND(J3&lt;&gt;"",WEEKDAY(J$1,2)&lt;6),1,0),IF(AND(L3&lt;&gt;"",WEEKDAY(L$1,2)&lt;6),1,0),IF(AND(N3&lt;&gt;"",WEEKDAY(N$1,2)&lt;6),1,0),IF(AND(P3&lt;&gt;"",WEEKDAY(P$1,2)&lt;6),1,0),IF(AND(R3&lt;&gt;"",WEEKDAY(R$1,2)&lt;6),1,0),IF(AND(T3&lt;&gt;"",WEEKDAY(T$1,2)&lt;6),1,0),IF(AND(V3&lt;&gt;"",WEEKDAY(V$1,2)&lt;6),1,0),IF(AND(X3&lt;&gt;"",WEEKDAY(X$1,2)&lt;6),1,0),IF(AND(Z3&lt;&gt;"",WEEKDAY(Z$1,2)&lt;6),1,0),IF(AND(AB3&lt;&gt;"",WEEKDAY(AB$1,2)&lt;6),1,0),IF(AND(AD3&lt;&gt;"",WEEKDAY(AD$1,2)&lt;6),1,0),IF(AND(AF3&lt;&gt;"",WEEKDAY(AF$1,2)&lt;6),1,0),IF(AND(AH3&lt;&gt;"",WEEKDAY(AH$1,2)&lt;6),1,0),IF(AND(AJ3&lt;&gt;"",WEEKDAY(AJ$1,2)&lt;6),1,0),IF(AND(AL3&lt;&gt;"",WEEKDAY(AL$1,2)&lt;6),1,0),IF(AND(AN3&lt;&gt;"",WEEKDAY(AN$1,2)&lt;6),1,0),IF(AND(AP3&lt;&gt;"",WEEKDAY(AP$1,2)&lt;6),1,0),IF(AND(AR3&lt;&gt;"",WEEKDAY(AR$1,2)&lt;6),1,0),IF(AND(AT3&lt;&gt;"",WEEKDAY(AT$1,2)&lt;6),1,0),IF(AND(AV3&lt;&gt;"",WEEKDAY(AV$1,2)&lt;6),1,0),IF(AND(AX3&lt;&gt;"",WEEKDAY(AX$1,2)&lt;6),1,0),IF(AND(AZ3&lt;&gt;"",WEEKDAY(AZ$1,2)&lt;6),1,0),IF(AND(BB3&lt;&gt;"",WEEKDAY(BB$1,2)&lt;6),1,0),IF(AND(BD3&lt;&gt;"",WEEKDAY(BD$1,2)&lt;6),1,0),IF(AND(BF3&lt;&gt;"",WEEKDAY(BF$1,2)&lt;6),1,0),IF(AND(BH3&lt;&gt;"",WEEKDAY(BH$1,2)&lt;6),1,0),IF(AND(BJ3&lt;&gt;"",WEEKDAY(BJ$1,2)&lt;6),1,0),IF(AND(BL3&lt;&gt;"",WEEKDAY(BL$1,2)&lt;6),1,0))</f>
        <v>20</v>
      </c>
      <c r="BO3" s="85">
        <f>SUM(IF(AND(E3&lt;&gt;"",WEEKDAY(D$1,2)&lt;6),1,0),IF(AND(G3&lt;&gt;"",WEEKDAY(F$1,2)&lt;6),1,0),IF(AND(I3&lt;&gt;"",WEEKDAY(H$1,2)&lt;6),1,0),IF(AND(K3&lt;&gt;"",WEEKDAY(J$1,2)&lt;6),1,0),IF(AND(M3&lt;&gt;"",WEEKDAY(L$1,2)&lt;6),1,0),IF(AND(O3&lt;&gt;"",WEEKDAY(N$1,2)&lt;6),1,0),IF(AND(Q3&lt;&gt;"",WEEKDAY(P$1,2)&lt;6),1,0),IF(AND(S3&lt;&gt;"",WEEKDAY(R$1,2)&lt;6),1,0),IF(AND(U3&lt;&gt;"",WEEKDAY(T$1,2)&lt;6),1,0),IF(AND(W3&lt;&gt;"",WEEKDAY(V$1,2)&lt;6),1,0),IF(AND(Y3&lt;&gt;"",WEEKDAY(X$1,2)&lt;6),1,0),IF(AND(AA3&lt;&gt;"",WEEKDAY(Z$1,2)&lt;6),1,0),IF(AND(AC3&lt;&gt;"",WEEKDAY(AB$1,2)&lt;6),1,0),IF(AND(AE3&lt;&gt;"",WEEKDAY(AD$1,2)&lt;6),1,0),IF(AND(AG3&lt;&gt;"",WEEKDAY(AF$1,2)&lt;6),1,0),IF(AND(AI3&lt;&gt;"",WEEKDAY(AH$1,2)&lt;6),1,0),IF(AND(AK3&lt;&gt;"",WEEKDAY(AJ$1,2)&lt;6),1,0),IF(AND(AM3&lt;&gt;"",WEEKDAY(AL$1,2)&lt;6),1,0),IF(AND(AO3&lt;&gt;"",WEEKDAY(AN$1,2)&lt;6),1,0),IF(AND(AQ3&lt;&gt;"",WEEKDAY(AP$1,2)&lt;6),1,0),IF(AND(AS3&lt;&gt;"",WEEKDAY(AR$1,2)&lt;6),1,0),IF(AND(AU3&lt;&gt;"",WEEKDAY(AT$1,2)&lt;6),1,0),IF(AND(AW3&lt;&gt;"",WEEKDAY(AV$1,2)&lt;6),1,0),IF(AND(AY3&lt;&gt;"",WEEKDAY(AX$1,2)&lt;6),1,0),IF(AND(BA3&lt;&gt;"",WEEKDAY(AZ$1,2)&lt;6),1,0),IF(AND(BC3&lt;&gt;"",WEEKDAY(BB$1,2)&lt;6),1,0),IF(AND(BE3&lt;&gt;"",WEEKDAY(BD$1,2)&lt;6),1,0),IF(AND(BG3&lt;&gt;"",WEEKDAY(BF$1,2)&lt;6),1,0),IF(AND(BI3&lt;&gt;"",WEEKDAY(BH$1,2)&lt;6),1,0),IF(AND(BK3&lt;&gt;"",WEEKDAY(BJ$1,2)&lt;6),1,0),IF(AND(BM3&lt;&gt;"",WEEKDAY(BL$1,2)&lt;6),1,0))</f>
        <v>20</v>
      </c>
      <c r="BP3" s="85">
        <f>SUM(IF(AND((D3&lt;&gt;"")+(E3&lt;&gt;""),WEEKDAY(D$1,2)=6),1,0),IF(AND((F3&lt;&gt;"")+(G3&lt;&gt;""),WEEKDAY(F$1,2)=6),1,0),IF(AND((H3&lt;&gt;"")+(I3&lt;&gt;""),WEEKDAY(H$1,2)=6),1,0),IF(AND((J3&lt;&gt;"")+(K3&lt;&gt;""),WEEKDAY(J$1,2)=6),1,0),IF(AND((L3&lt;&gt;"")+(M3&lt;&gt;""),WEEKDAY(L$1,2)=6),1,0),IF(AND((N3&lt;&gt;"")+(O3&lt;&gt;""),WEEKDAY(N$1,2)=6),1,0),IF(AND((P3&lt;&gt;"")+(Q3&lt;&gt;""),WEEKDAY(P$1,2)=6),1,0),IF(AND((R3&lt;&gt;"")+(S3&lt;&gt;""),WEEKDAY(R$1,2)=6),1,0),IF(AND((T3&lt;&gt;"")+(U3&lt;&gt;""),WEEKDAY(T$1,2)=6),1,0),IF(AND((V3&lt;&gt;"")+(W3&lt;&gt;""),WEEKDAY(V$1,2)=6),1,0),IF(AND((X3&lt;&gt;"")+(Y3&lt;&gt;""),WEEKDAY(X$1,2)=6),1,0),IF(AND((Z3&lt;&gt;"")+(AA3&lt;&gt;""),WEEKDAY(Z$1,2)=6),1,0),IF(AND((AB3&lt;&gt;"")+(AC3&lt;&gt;""),WEEKDAY(AB$1,2)=6),1,0),IF(AND((AD3&lt;&gt;"")+(AE3&lt;&gt;""),WEEKDAY(AD$1,2)=6),1,0),IF(AND((AF3&lt;&gt;"")+(AG3&lt;&gt;""),WEEKDAY(AF$1,2)=6),1,0),IF(AND((AH3&lt;&gt;"")+(AI3&lt;&gt;""),WEEKDAY(AH$1,2)=6),1,0),IF(AND((AJ3&lt;&gt;"")+(AK3&lt;&gt;""),WEEKDAY(AJ$1,2)=6),1,0),IF(AND((AL3&lt;&gt;"")+(AM3&lt;&gt;""),WEEKDAY(AL$1,2)=6),1,0),IF(AND((AN3&lt;&gt;"")+(AO3&lt;&gt;""),WEEKDAY(AN$1,2)=6),1,0),IF(AND((AP3&lt;&gt;"")+(AQ3&lt;&gt;""),WEEKDAY(AP$1,2)=6),1,0),IF(AND((AR3&lt;&gt;"")+(AS3&lt;&gt;""),WEEKDAY(AR$1,2)=6),1,0),IF(AND((AT3&lt;&gt;"")+(AU3&lt;&gt;""),WEEKDAY(AT$1,2)=6),1,0),IF(AND((AV3&lt;&gt;"")+(AW3&lt;&gt;""),WEEKDAY(AV$1,2)=6),1,0),IF(AND((AX3&lt;&gt;"")+(AY3&lt;&gt;""),WEEKDAY(AX$1,2)=6),1,0),IF(AND((AZ3&lt;&gt;"")+(BA3&lt;&gt;""),WEEKDAY(AZ$1,2)=6),1,0),IF(AND((BB3&lt;&gt;"")+(BC3&lt;&gt;""),WEEKDAY(BB$1,2)=6),1,0),IF(AND((BD3&lt;&gt;"")+(BE3&lt;&gt;""),WEEKDAY(BD$1,2)=6),1,0),IF(AND((BF3&lt;&gt;"")+(BG3&lt;&gt;""),WEEKDAY(BF$1,2)=6),1,0),IF(AND((BH3&lt;&gt;"")+(BI3&lt;&gt;""),WEEKDAY(BH$1,2)=6),1,0),IF(AND((BJ3&lt;&gt;"")+(BK3&lt;&gt;""),WEEKDAY(BJ$1,2)=6),1,0),IF(AND((BL3&lt;&gt;"")+(BM3&lt;&gt;""),WEEKDAY(BL$1,2)=6),1,0))</f>
        <v>0</v>
      </c>
    </row>
    <row r="4" spans="1:68" ht="16.5">
      <c r="A4" s="86" t="s">
        <v>5</v>
      </c>
      <c r="B4" s="86" t="s">
        <v>6</v>
      </c>
      <c r="C4" s="92" t="s">
        <v>8</v>
      </c>
      <c r="D4" s="91"/>
      <c r="E4" s="91"/>
      <c r="F4" s="85"/>
      <c r="G4" s="85"/>
      <c r="H4" s="85"/>
      <c r="I4" s="85"/>
      <c r="J4" s="98"/>
      <c r="K4" s="98"/>
      <c r="L4" s="98"/>
      <c r="M4" s="98"/>
      <c r="N4" s="85"/>
      <c r="O4" s="88">
        <v>0.15555555555555556</v>
      </c>
      <c r="P4" s="102">
        <v>0.35347222222222224</v>
      </c>
      <c r="Q4" s="95"/>
      <c r="R4" s="91"/>
      <c r="S4" s="91"/>
      <c r="T4" s="85"/>
      <c r="U4" s="85"/>
      <c r="V4" s="85"/>
      <c r="W4" s="85"/>
      <c r="X4" s="88">
        <v>0.35208333333333336</v>
      </c>
      <c r="Y4" s="85"/>
      <c r="Z4" s="85"/>
      <c r="AA4" s="85"/>
      <c r="AB4" s="85"/>
      <c r="AC4" s="85"/>
      <c r="AD4" s="95"/>
      <c r="AE4" s="95"/>
      <c r="AF4" s="91"/>
      <c r="AG4" s="91"/>
      <c r="AH4" s="96"/>
      <c r="AI4" s="96"/>
      <c r="AJ4" s="85"/>
      <c r="AK4" s="85"/>
      <c r="AL4" s="85"/>
      <c r="AM4" s="85"/>
      <c r="AN4" s="85"/>
      <c r="AO4" s="85"/>
      <c r="AP4" s="85"/>
      <c r="AQ4" s="85"/>
      <c r="AR4" s="102">
        <v>0.3527777777777778</v>
      </c>
      <c r="AS4" s="102">
        <v>0.52638888888888891</v>
      </c>
      <c r="AT4" s="91"/>
      <c r="AU4" s="91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95"/>
      <c r="BG4" s="95"/>
      <c r="BH4" s="91"/>
      <c r="BI4" s="91"/>
      <c r="BJ4" s="85"/>
      <c r="BK4" s="85"/>
      <c r="BL4" s="98"/>
      <c r="BM4" s="98"/>
      <c r="BN4" s="85">
        <f>SUM(IF(AND(D4&lt;&gt;"",WEEKDAY(D$1,2)&lt;6),1,0),IF(AND(F4&lt;&gt;"",WEEKDAY(F$1,2)&lt;6),1,0),IF(AND(H4&lt;&gt;"",WEEKDAY(H$1,2)&lt;6),1,0),IF(AND(J4&lt;&gt;"",WEEKDAY(J$1,2)&lt;6),1,0),IF(AND(L4&lt;&gt;"",WEEKDAY(L$1,2)&lt;6),1,0),IF(AND(N4&lt;&gt;"",WEEKDAY(N$1,2)&lt;6),1,0),IF(AND(P4&lt;&gt;"",WEEKDAY(P$1,2)&lt;6),1,0),IF(AND(R4&lt;&gt;"",WEEKDAY(R$1,2)&lt;6),1,0),IF(AND(T4&lt;&gt;"",WEEKDAY(T$1,2)&lt;6),1,0),IF(AND(V4&lt;&gt;"",WEEKDAY(V$1,2)&lt;6),1,0),IF(AND(X4&lt;&gt;"",WEEKDAY(X$1,2)&lt;6),1,0),IF(AND(Z4&lt;&gt;"",WEEKDAY(Z$1,2)&lt;6),1,0),IF(AND(AB4&lt;&gt;"",WEEKDAY(AB$1,2)&lt;6),1,0),IF(AND(AD4&lt;&gt;"",WEEKDAY(AD$1,2)&lt;6),1,0),IF(AND(AF4&lt;&gt;"",WEEKDAY(AF$1,2)&lt;6),1,0),IF(AND(AH4&lt;&gt;"",WEEKDAY(AH$1,2)&lt;6),1,0),IF(AND(AJ4&lt;&gt;"",WEEKDAY(AJ$1,2)&lt;6),1,0),IF(AND(AL4&lt;&gt;"",WEEKDAY(AL$1,2)&lt;6),1,0),IF(AND(AN4&lt;&gt;"",WEEKDAY(AN$1,2)&lt;6),1,0),IF(AND(AP4&lt;&gt;"",WEEKDAY(AP$1,2)&lt;6),1,0),IF(AND(AR4&lt;&gt;"",WEEKDAY(AR$1,2)&lt;6),1,0),IF(AND(AT4&lt;&gt;"",WEEKDAY(AT$1,2)&lt;6),1,0),IF(AND(AV4&lt;&gt;"",WEEKDAY(AV$1,2)&lt;6),1,0),IF(AND(AX4&lt;&gt;"",WEEKDAY(AX$1,2)&lt;6),1,0),IF(AND(AZ4&lt;&gt;"",WEEKDAY(AZ$1,2)&lt;6),1,0),IF(AND(BB4&lt;&gt;"",WEEKDAY(BB$1,2)&lt;6),1,0),IF(AND(BD4&lt;&gt;"",WEEKDAY(BD$1,2)&lt;6),1,0),IF(AND(BF4&lt;&gt;"",WEEKDAY(BF$1,2)&lt;6),1,0),IF(AND(BH4&lt;&gt;"",WEEKDAY(BH$1,2)&lt;6),1,0),IF(AND(BJ4&lt;&gt;"",WEEKDAY(BJ$1,2)&lt;6),1,0),IF(AND(BL4&lt;&gt;"",WEEKDAY(BL$1,2)&lt;6),1,0))</f>
        <v>1</v>
      </c>
      <c r="BO4" s="85">
        <f>SUM(IF(AND(E4&lt;&gt;"",WEEKDAY(D$1,2)&lt;6),1,0),IF(AND(G4&lt;&gt;"",WEEKDAY(F$1,2)&lt;6),1,0),IF(AND(I4&lt;&gt;"",WEEKDAY(H$1,2)&lt;6),1,0),IF(AND(K4&lt;&gt;"",WEEKDAY(J$1,2)&lt;6),1,0),IF(AND(M4&lt;&gt;"",WEEKDAY(L$1,2)&lt;6),1,0),IF(AND(O4&lt;&gt;"",WEEKDAY(N$1,2)&lt;6),1,0),IF(AND(Q4&lt;&gt;"",WEEKDAY(P$1,2)&lt;6),1,0),IF(AND(S4&lt;&gt;"",WEEKDAY(R$1,2)&lt;6),1,0),IF(AND(U4&lt;&gt;"",WEEKDAY(T$1,2)&lt;6),1,0),IF(AND(W4&lt;&gt;"",WEEKDAY(V$1,2)&lt;6),1,0),IF(AND(Y4&lt;&gt;"",WEEKDAY(X$1,2)&lt;6),1,0),IF(AND(AA4&lt;&gt;"",WEEKDAY(Z$1,2)&lt;6),1,0),IF(AND(AC4&lt;&gt;"",WEEKDAY(AB$1,2)&lt;6),1,0),IF(AND(AE4&lt;&gt;"",WEEKDAY(AD$1,2)&lt;6),1,0),IF(AND(AG4&lt;&gt;"",WEEKDAY(AF$1,2)&lt;6),1,0),IF(AND(AI4&lt;&gt;"",WEEKDAY(AH$1,2)&lt;6),1,0),IF(AND(AK4&lt;&gt;"",WEEKDAY(AJ$1,2)&lt;6),1,0),IF(AND(AM4&lt;&gt;"",WEEKDAY(AL$1,2)&lt;6),1,0),IF(AND(AO4&lt;&gt;"",WEEKDAY(AN$1,2)&lt;6),1,0),IF(AND(AQ4&lt;&gt;"",WEEKDAY(AP$1,2)&lt;6),1,0),IF(AND(AS4&lt;&gt;"",WEEKDAY(AR$1,2)&lt;6),1,0),IF(AND(AU4&lt;&gt;"",WEEKDAY(AT$1,2)&lt;6),1,0),IF(AND(AW4&lt;&gt;"",WEEKDAY(AV$1,2)&lt;6),1,0),IF(AND(AY4&lt;&gt;"",WEEKDAY(AX$1,2)&lt;6),1,0),IF(AND(BA4&lt;&gt;"",WEEKDAY(AZ$1,2)&lt;6),1,0),IF(AND(BC4&lt;&gt;"",WEEKDAY(BB$1,2)&lt;6),1,0),IF(AND(BE4&lt;&gt;"",WEEKDAY(BD$1,2)&lt;6),1,0),IF(AND(BG4&lt;&gt;"",WEEKDAY(BF$1,2)&lt;6),1,0),IF(AND(BI4&lt;&gt;"",WEEKDAY(BH$1,2)&lt;6),1,0),IF(AND(BK4&lt;&gt;"",WEEKDAY(BJ$1,2)&lt;6),1,0),IF(AND(BM4&lt;&gt;"",WEEKDAY(BL$1,2)&lt;6),1,0))</f>
        <v>1</v>
      </c>
      <c r="BP4" s="85">
        <f>SUM(IF(AND((D4&lt;&gt;"")+(E4&lt;&gt;""),WEEKDAY(D$1,2)=6),1,0),IF(AND((F4&lt;&gt;"")+(G4&lt;&gt;""),WEEKDAY(F$1,2)=6),1,0),IF(AND((H4&lt;&gt;"")+(I4&lt;&gt;""),WEEKDAY(H$1,2)=6),1,0),IF(AND((J4&lt;&gt;"")+(K4&lt;&gt;""),WEEKDAY(J$1,2)=6),1,0),IF(AND((L4&lt;&gt;"")+(M4&lt;&gt;""),WEEKDAY(L$1,2)=6),1,0),IF(AND((N4&lt;&gt;"")+(O4&lt;&gt;""),WEEKDAY(N$1,2)=6),1,0),IF(AND((P4&lt;&gt;"")+(Q4&lt;&gt;""),WEEKDAY(P$1,2)=6),1,0),IF(AND((R4&lt;&gt;"")+(S4&lt;&gt;""),WEEKDAY(R$1,2)=6),1,0),IF(AND((T4&lt;&gt;"")+(U4&lt;&gt;""),WEEKDAY(T$1,2)=6),1,0),IF(AND((V4&lt;&gt;"")+(W4&lt;&gt;""),WEEKDAY(V$1,2)=6),1,0),IF(AND((X4&lt;&gt;"")+(Y4&lt;&gt;""),WEEKDAY(X$1,2)=6),1,0),IF(AND((Z4&lt;&gt;"")+(AA4&lt;&gt;""),WEEKDAY(Z$1,2)=6),1,0),IF(AND((AB4&lt;&gt;"")+(AC4&lt;&gt;""),WEEKDAY(AB$1,2)=6),1,0),IF(AND((AD4&lt;&gt;"")+(AE4&lt;&gt;""),WEEKDAY(AD$1,2)=6),1,0),IF(AND((AF4&lt;&gt;"")+(AG4&lt;&gt;""),WEEKDAY(AF$1,2)=6),1,0),IF(AND((AH4&lt;&gt;"")+(AI4&lt;&gt;""),WEEKDAY(AH$1,2)=6),1,0),IF(AND((AJ4&lt;&gt;"")+(AK4&lt;&gt;""),WEEKDAY(AJ$1,2)=6),1,0),IF(AND((AL4&lt;&gt;"")+(AM4&lt;&gt;""),WEEKDAY(AL$1,2)=6),1,0),IF(AND((AN4&lt;&gt;"")+(AO4&lt;&gt;""),WEEKDAY(AN$1,2)=6),1,0),IF(AND((AP4&lt;&gt;"")+(AQ4&lt;&gt;""),WEEKDAY(AP$1,2)=6),1,0),IF(AND((AR4&lt;&gt;"")+(AS4&lt;&gt;""),WEEKDAY(AR$1,2)=6),1,0),IF(AND((AT4&lt;&gt;"")+(AU4&lt;&gt;""),WEEKDAY(AT$1,2)=6),1,0),IF(AND((AV4&lt;&gt;"")+(AW4&lt;&gt;""),WEEKDAY(AV$1,2)=6),1,0),IF(AND((AX4&lt;&gt;"")+(AY4&lt;&gt;""),WEEKDAY(AX$1,2)=6),1,0),IF(AND((AZ4&lt;&gt;"")+(BA4&lt;&gt;""),WEEKDAY(AZ$1,2)=6),1,0),IF(AND((BB4&lt;&gt;"")+(BC4&lt;&gt;""),WEEKDAY(BB$1,2)=6),1,0),IF(AND((BD4&lt;&gt;"")+(BE4&lt;&gt;""),WEEKDAY(BD$1,2)=6),1,0),IF(AND((BF4&lt;&gt;"")+(BG4&lt;&gt;""),WEEKDAY(BF$1,2)=6),1,0),IF(AND((BH4&lt;&gt;"")+(BI4&lt;&gt;""),WEEKDAY(BH$1,2)=6),1,0),IF(AND((BJ4&lt;&gt;"")+(BK4&lt;&gt;""),WEEKDAY(BJ$1,2)=6),1,0),IF(AND((BL4&lt;&gt;"")+(BM4&lt;&gt;""),WEEKDAY(BL$1,2)=6),1,0))</f>
        <v>2</v>
      </c>
    </row>
    <row r="5" spans="1:68" ht="16.5">
      <c r="A5" s="86" t="s">
        <v>5</v>
      </c>
      <c r="B5" s="86" t="s">
        <v>9</v>
      </c>
      <c r="C5" s="92" t="s">
        <v>10</v>
      </c>
      <c r="D5" s="91"/>
      <c r="E5" s="91"/>
      <c r="F5" s="88">
        <v>0.37430555555555556</v>
      </c>
      <c r="G5" s="88">
        <v>0.15625</v>
      </c>
      <c r="H5" s="88">
        <v>0.35069444444444442</v>
      </c>
      <c r="I5" s="88">
        <v>0.14166666666666666</v>
      </c>
      <c r="J5" s="99">
        <v>0.35625000000000001</v>
      </c>
      <c r="K5" s="99">
        <v>0.17291666666666666</v>
      </c>
      <c r="L5" s="99">
        <v>0.35486111111111113</v>
      </c>
      <c r="M5" s="99">
        <v>0.16875000000000001</v>
      </c>
      <c r="N5" s="85"/>
      <c r="O5" s="85"/>
      <c r="P5" s="95"/>
      <c r="Q5" s="95"/>
      <c r="R5" s="91"/>
      <c r="S5" s="91"/>
      <c r="T5" s="85"/>
      <c r="U5" s="85"/>
      <c r="V5" s="85"/>
      <c r="W5" s="85"/>
      <c r="X5" s="88">
        <v>0.35833333333333334</v>
      </c>
      <c r="Y5" s="88">
        <v>0.15208333333333332</v>
      </c>
      <c r="Z5" s="88">
        <v>0.35208333333333336</v>
      </c>
      <c r="AA5" s="88"/>
      <c r="AB5" s="88">
        <v>0.35347222222222224</v>
      </c>
      <c r="AC5" s="88">
        <v>0.18611111111111112</v>
      </c>
      <c r="AD5" s="95"/>
      <c r="AE5" s="95"/>
      <c r="AF5" s="91"/>
      <c r="AG5" s="91"/>
      <c r="AH5" s="96"/>
      <c r="AI5" s="96"/>
      <c r="AJ5" s="88">
        <v>0.36319444444444443</v>
      </c>
      <c r="AK5" s="88">
        <v>0.1451388888888889</v>
      </c>
      <c r="AL5" s="88">
        <v>0.35694444444444445</v>
      </c>
      <c r="AM5" s="88">
        <v>0.19375000000000001</v>
      </c>
      <c r="AN5" s="88">
        <v>0.4</v>
      </c>
      <c r="AO5" s="88">
        <v>0.19097222222222221</v>
      </c>
      <c r="AP5" s="88">
        <v>0.36249999999999999</v>
      </c>
      <c r="AQ5" s="88">
        <v>0.19513888888888889</v>
      </c>
      <c r="AR5" s="102">
        <v>0.37222222222222223</v>
      </c>
      <c r="AS5" s="95"/>
      <c r="AT5" s="91"/>
      <c r="AU5" s="91"/>
      <c r="AV5" s="88">
        <v>0.3576388888888889</v>
      </c>
      <c r="AW5" s="88">
        <v>0.16180555555555556</v>
      </c>
      <c r="AX5" s="88">
        <v>0.33611111111111114</v>
      </c>
      <c r="AY5" s="88">
        <v>0.16388888888888889</v>
      </c>
      <c r="AZ5" s="88">
        <v>0.3611111111111111</v>
      </c>
      <c r="BA5" s="88">
        <v>0.18958333333333333</v>
      </c>
      <c r="BB5" s="88">
        <v>0.34930555555555554</v>
      </c>
      <c r="BC5" s="88">
        <v>0.16944444444444445</v>
      </c>
      <c r="BD5" s="88">
        <v>0.3527777777777778</v>
      </c>
      <c r="BE5" s="85"/>
      <c r="BF5" s="95"/>
      <c r="BG5" s="95"/>
      <c r="BH5" s="91"/>
      <c r="BI5" s="91"/>
      <c r="BJ5" s="88">
        <v>0.35</v>
      </c>
      <c r="BK5" s="88">
        <v>0.15486111111111112</v>
      </c>
      <c r="BL5" s="99">
        <v>0.34652777777777777</v>
      </c>
      <c r="BM5" s="99">
        <v>0</v>
      </c>
      <c r="BN5" s="85">
        <f>SUM(IF(AND(D5&lt;&gt;"",WEEKDAY(D$1,2)&lt;6),1,0),IF(AND(F5&lt;&gt;"",WEEKDAY(F$1,2)&lt;6),1,0),IF(AND(H5&lt;&gt;"",WEEKDAY(H$1,2)&lt;6),1,0),IF(AND(J5&lt;&gt;"",WEEKDAY(J$1,2)&lt;6),1,0),IF(AND(L5&lt;&gt;"",WEEKDAY(L$1,2)&lt;6),1,0),IF(AND(N5&lt;&gt;"",WEEKDAY(N$1,2)&lt;6),1,0),IF(AND(P5&lt;&gt;"",WEEKDAY(P$1,2)&lt;6),1,0),IF(AND(R5&lt;&gt;"",WEEKDAY(R$1,2)&lt;6),1,0),IF(AND(T5&lt;&gt;"",WEEKDAY(T$1,2)&lt;6),1,0),IF(AND(V5&lt;&gt;"",WEEKDAY(V$1,2)&lt;6),1,0),IF(AND(X5&lt;&gt;"",WEEKDAY(X$1,2)&lt;6),1,0),IF(AND(Z5&lt;&gt;"",WEEKDAY(Z$1,2)&lt;6),1,0),IF(AND(AB5&lt;&gt;"",WEEKDAY(AB$1,2)&lt;6),1,0),IF(AND(AD5&lt;&gt;"",WEEKDAY(AD$1,2)&lt;6),1,0),IF(AND(AF5&lt;&gt;"",WEEKDAY(AF$1,2)&lt;6),1,0),IF(AND(AH5&lt;&gt;"",WEEKDAY(AH$1,2)&lt;6),1,0),IF(AND(AJ5&lt;&gt;"",WEEKDAY(AJ$1,2)&lt;6),1,0),IF(AND(AL5&lt;&gt;"",WEEKDAY(AL$1,2)&lt;6),1,0),IF(AND(AN5&lt;&gt;"",WEEKDAY(AN$1,2)&lt;6),1,0),IF(AND(AP5&lt;&gt;"",WEEKDAY(AP$1,2)&lt;6),1,0),IF(AND(AR5&lt;&gt;"",WEEKDAY(AR$1,2)&lt;6),1,0),IF(AND(AT5&lt;&gt;"",WEEKDAY(AT$1,2)&lt;6),1,0),IF(AND(AV5&lt;&gt;"",WEEKDAY(AV$1,2)&lt;6),1,0),IF(AND(AX5&lt;&gt;"",WEEKDAY(AX$1,2)&lt;6),1,0),IF(AND(AZ5&lt;&gt;"",WEEKDAY(AZ$1,2)&lt;6),1,0),IF(AND(BB5&lt;&gt;"",WEEKDAY(BB$1,2)&lt;6),1,0),IF(AND(BD5&lt;&gt;"",WEEKDAY(BD$1,2)&lt;6),1,0),IF(AND(BF5&lt;&gt;"",WEEKDAY(BF$1,2)&lt;6),1,0),IF(AND(BH5&lt;&gt;"",WEEKDAY(BH$1,2)&lt;6),1,0),IF(AND(BJ5&lt;&gt;"",WEEKDAY(BJ$1,2)&lt;6),1,0),IF(AND(BL5&lt;&gt;"",WEEKDAY(BL$1,2)&lt;6),1,0))</f>
        <v>18</v>
      </c>
      <c r="BO5" s="85">
        <f>SUM(IF(AND(E5&lt;&gt;"",WEEKDAY(D$1,2)&lt;6),1,0),IF(AND(G5&lt;&gt;"",WEEKDAY(F$1,2)&lt;6),1,0),IF(AND(I5&lt;&gt;"",WEEKDAY(H$1,2)&lt;6),1,0),IF(AND(K5&lt;&gt;"",WEEKDAY(J$1,2)&lt;6),1,0),IF(AND(M5&lt;&gt;"",WEEKDAY(L$1,2)&lt;6),1,0),IF(AND(O5&lt;&gt;"",WEEKDAY(N$1,2)&lt;6),1,0),IF(AND(Q5&lt;&gt;"",WEEKDAY(P$1,2)&lt;6),1,0),IF(AND(S5&lt;&gt;"",WEEKDAY(R$1,2)&lt;6),1,0),IF(AND(U5&lt;&gt;"",WEEKDAY(T$1,2)&lt;6),1,0),IF(AND(W5&lt;&gt;"",WEEKDAY(V$1,2)&lt;6),1,0),IF(AND(Y5&lt;&gt;"",WEEKDAY(X$1,2)&lt;6),1,0),IF(AND(AA5&lt;&gt;"",WEEKDAY(Z$1,2)&lt;6),1,0),IF(AND(AC5&lt;&gt;"",WEEKDAY(AB$1,2)&lt;6),1,0),IF(AND(AE5&lt;&gt;"",WEEKDAY(AD$1,2)&lt;6),1,0),IF(AND(AG5&lt;&gt;"",WEEKDAY(AF$1,2)&lt;6),1,0),IF(AND(AI5&lt;&gt;"",WEEKDAY(AH$1,2)&lt;6),1,0),IF(AND(AK5&lt;&gt;"",WEEKDAY(AJ$1,2)&lt;6),1,0),IF(AND(AM5&lt;&gt;"",WEEKDAY(AL$1,2)&lt;6),1,0),IF(AND(AO5&lt;&gt;"",WEEKDAY(AN$1,2)&lt;6),1,0),IF(AND(AQ5&lt;&gt;"",WEEKDAY(AP$1,2)&lt;6),1,0),IF(AND(AS5&lt;&gt;"",WEEKDAY(AR$1,2)&lt;6),1,0),IF(AND(AU5&lt;&gt;"",WEEKDAY(AT$1,2)&lt;6),1,0),IF(AND(AW5&lt;&gt;"",WEEKDAY(AV$1,2)&lt;6),1,0),IF(AND(AY5&lt;&gt;"",WEEKDAY(AX$1,2)&lt;6),1,0),IF(AND(BA5&lt;&gt;"",WEEKDAY(AZ$1,2)&lt;6),1,0),IF(AND(BC5&lt;&gt;"",WEEKDAY(BB$1,2)&lt;6),1,0),IF(AND(BE5&lt;&gt;"",WEEKDAY(BD$1,2)&lt;6),1,0),IF(AND(BG5&lt;&gt;"",WEEKDAY(BF$1,2)&lt;6),1,0),IF(AND(BI5&lt;&gt;"",WEEKDAY(BH$1,2)&lt;6),1,0),IF(AND(BK5&lt;&gt;"",WEEKDAY(BJ$1,2)&lt;6),1,0),IF(AND(BM5&lt;&gt;"",WEEKDAY(BL$1,2)&lt;6),1,0))</f>
        <v>16</v>
      </c>
      <c r="BP5" s="85">
        <f>SUM(IF(AND((D5&lt;&gt;"")+(E5&lt;&gt;""),WEEKDAY(D$1,2)=6),1,0),IF(AND((F5&lt;&gt;"")+(G5&lt;&gt;""),WEEKDAY(F$1,2)=6),1,0),IF(AND((H5&lt;&gt;"")+(I5&lt;&gt;""),WEEKDAY(H$1,2)=6),1,0),IF(AND((J5&lt;&gt;"")+(K5&lt;&gt;""),WEEKDAY(J$1,2)=6),1,0),IF(AND((L5&lt;&gt;"")+(M5&lt;&gt;""),WEEKDAY(L$1,2)=6),1,0),IF(AND((N5&lt;&gt;"")+(O5&lt;&gt;""),WEEKDAY(N$1,2)=6),1,0),IF(AND((P5&lt;&gt;"")+(Q5&lt;&gt;""),WEEKDAY(P$1,2)=6),1,0),IF(AND((R5&lt;&gt;"")+(S5&lt;&gt;""),WEEKDAY(R$1,2)=6),1,0),IF(AND((T5&lt;&gt;"")+(U5&lt;&gt;""),WEEKDAY(T$1,2)=6),1,0),IF(AND((V5&lt;&gt;"")+(W5&lt;&gt;""),WEEKDAY(V$1,2)=6),1,0),IF(AND((X5&lt;&gt;"")+(Y5&lt;&gt;""),WEEKDAY(X$1,2)=6),1,0),IF(AND((Z5&lt;&gt;"")+(AA5&lt;&gt;""),WEEKDAY(Z$1,2)=6),1,0),IF(AND((AB5&lt;&gt;"")+(AC5&lt;&gt;""),WEEKDAY(AB$1,2)=6),1,0),IF(AND((AD5&lt;&gt;"")+(AE5&lt;&gt;""),WEEKDAY(AD$1,2)=6),1,0),IF(AND((AF5&lt;&gt;"")+(AG5&lt;&gt;""),WEEKDAY(AF$1,2)=6),1,0),IF(AND((AH5&lt;&gt;"")+(AI5&lt;&gt;""),WEEKDAY(AH$1,2)=6),1,0),IF(AND((AJ5&lt;&gt;"")+(AK5&lt;&gt;""),WEEKDAY(AJ$1,2)=6),1,0),IF(AND((AL5&lt;&gt;"")+(AM5&lt;&gt;""),WEEKDAY(AL$1,2)=6),1,0),IF(AND((AN5&lt;&gt;"")+(AO5&lt;&gt;""),WEEKDAY(AN$1,2)=6),1,0),IF(AND((AP5&lt;&gt;"")+(AQ5&lt;&gt;""),WEEKDAY(AP$1,2)=6),1,0),IF(AND((AR5&lt;&gt;"")+(AS5&lt;&gt;""),WEEKDAY(AR$1,2)=6),1,0),IF(AND((AT5&lt;&gt;"")+(AU5&lt;&gt;""),WEEKDAY(AT$1,2)=6),1,0),IF(AND((AV5&lt;&gt;"")+(AW5&lt;&gt;""),WEEKDAY(AV$1,2)=6),1,0),IF(AND((AX5&lt;&gt;"")+(AY5&lt;&gt;""),WEEKDAY(AX$1,2)=6),1,0),IF(AND((AZ5&lt;&gt;"")+(BA5&lt;&gt;""),WEEKDAY(AZ$1,2)=6),1,0),IF(AND((BB5&lt;&gt;"")+(BC5&lt;&gt;""),WEEKDAY(BB$1,2)=6),1,0),IF(AND((BD5&lt;&gt;"")+(BE5&lt;&gt;""),WEEKDAY(BD$1,2)=6),1,0),IF(AND((BF5&lt;&gt;"")+(BG5&lt;&gt;""),WEEKDAY(BF$1,2)=6),1,0),IF(AND((BH5&lt;&gt;"")+(BI5&lt;&gt;""),WEEKDAY(BH$1,2)=6),1,0),IF(AND((BJ5&lt;&gt;"")+(BK5&lt;&gt;""),WEEKDAY(BJ$1,2)=6),1,0),IF(AND((BL5&lt;&gt;"")+(BM5&lt;&gt;""),WEEKDAY(BL$1,2)=6),1,0))</f>
        <v>1</v>
      </c>
    </row>
    <row r="6" spans="1:68" ht="16.5">
      <c r="A6" s="86" t="s">
        <v>5</v>
      </c>
      <c r="B6" s="86" t="s">
        <v>9</v>
      </c>
      <c r="C6" s="92" t="s">
        <v>11</v>
      </c>
      <c r="D6" s="91"/>
      <c r="E6" s="91"/>
      <c r="F6" s="85"/>
      <c r="G6" s="85"/>
      <c r="H6" s="85"/>
      <c r="I6" s="85"/>
      <c r="J6" s="98"/>
      <c r="K6" s="98"/>
      <c r="L6" s="98"/>
      <c r="M6" s="98"/>
      <c r="N6" s="85"/>
      <c r="O6" s="85"/>
      <c r="P6" s="95"/>
      <c r="Q6" s="95"/>
      <c r="R6" s="91"/>
      <c r="S6" s="91"/>
      <c r="T6" s="85"/>
      <c r="U6" s="85"/>
      <c r="V6" s="85"/>
      <c r="W6" s="85"/>
      <c r="X6" s="85"/>
      <c r="Y6" s="85"/>
      <c r="Z6" s="85"/>
      <c r="AA6" s="88">
        <v>0.24930555555555556</v>
      </c>
      <c r="AB6" s="85"/>
      <c r="AC6" s="85"/>
      <c r="AD6" s="95"/>
      <c r="AE6" s="95"/>
      <c r="AF6" s="91"/>
      <c r="AG6" s="91"/>
      <c r="AH6" s="96"/>
      <c r="AI6" s="96"/>
      <c r="AJ6" s="85"/>
      <c r="AK6" s="85"/>
      <c r="AL6" s="85"/>
      <c r="AM6" s="85"/>
      <c r="AN6" s="85"/>
      <c r="AO6" s="85"/>
      <c r="AP6" s="85"/>
      <c r="AQ6" s="85"/>
      <c r="AR6" s="95"/>
      <c r="AS6" s="95"/>
      <c r="AT6" s="91"/>
      <c r="AU6" s="91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95"/>
      <c r="BG6" s="95"/>
      <c r="BH6" s="91"/>
      <c r="BI6" s="91"/>
      <c r="BJ6" s="85"/>
      <c r="BK6" s="85"/>
      <c r="BL6" s="98"/>
      <c r="BM6" s="98"/>
      <c r="BN6" s="85">
        <f>SUM(IF(AND(D6&lt;&gt;"",WEEKDAY(D$1,2)&lt;6),1,0),IF(AND(F6&lt;&gt;"",WEEKDAY(F$1,2)&lt;6),1,0),IF(AND(H6&lt;&gt;"",WEEKDAY(H$1,2)&lt;6),1,0),IF(AND(J6&lt;&gt;"",WEEKDAY(J$1,2)&lt;6),1,0),IF(AND(L6&lt;&gt;"",WEEKDAY(L$1,2)&lt;6),1,0),IF(AND(N6&lt;&gt;"",WEEKDAY(N$1,2)&lt;6),1,0),IF(AND(P6&lt;&gt;"",WEEKDAY(P$1,2)&lt;6),1,0),IF(AND(R6&lt;&gt;"",WEEKDAY(R$1,2)&lt;6),1,0),IF(AND(T6&lt;&gt;"",WEEKDAY(T$1,2)&lt;6),1,0),IF(AND(V6&lt;&gt;"",WEEKDAY(V$1,2)&lt;6),1,0),IF(AND(X6&lt;&gt;"",WEEKDAY(X$1,2)&lt;6),1,0),IF(AND(Z6&lt;&gt;"",WEEKDAY(Z$1,2)&lt;6),1,0),IF(AND(AB6&lt;&gt;"",WEEKDAY(AB$1,2)&lt;6),1,0),IF(AND(AD6&lt;&gt;"",WEEKDAY(AD$1,2)&lt;6),1,0),IF(AND(AF6&lt;&gt;"",WEEKDAY(AF$1,2)&lt;6),1,0),IF(AND(AH6&lt;&gt;"",WEEKDAY(AH$1,2)&lt;6),1,0),IF(AND(AJ6&lt;&gt;"",WEEKDAY(AJ$1,2)&lt;6),1,0),IF(AND(AL6&lt;&gt;"",WEEKDAY(AL$1,2)&lt;6),1,0),IF(AND(AN6&lt;&gt;"",WEEKDAY(AN$1,2)&lt;6),1,0),IF(AND(AP6&lt;&gt;"",WEEKDAY(AP$1,2)&lt;6),1,0),IF(AND(AR6&lt;&gt;"",WEEKDAY(AR$1,2)&lt;6),1,0),IF(AND(AT6&lt;&gt;"",WEEKDAY(AT$1,2)&lt;6),1,0),IF(AND(AV6&lt;&gt;"",WEEKDAY(AV$1,2)&lt;6),1,0),IF(AND(AX6&lt;&gt;"",WEEKDAY(AX$1,2)&lt;6),1,0),IF(AND(AZ6&lt;&gt;"",WEEKDAY(AZ$1,2)&lt;6),1,0),IF(AND(BB6&lt;&gt;"",WEEKDAY(BB$1,2)&lt;6),1,0),IF(AND(BD6&lt;&gt;"",WEEKDAY(BD$1,2)&lt;6),1,0),IF(AND(BF6&lt;&gt;"",WEEKDAY(BF$1,2)&lt;6),1,0),IF(AND(BH6&lt;&gt;"",WEEKDAY(BH$1,2)&lt;6),1,0),IF(AND(BJ6&lt;&gt;"",WEEKDAY(BJ$1,2)&lt;6),1,0),IF(AND(BL6&lt;&gt;"",WEEKDAY(BL$1,2)&lt;6),1,0))</f>
        <v>0</v>
      </c>
      <c r="BO6" s="85">
        <f>SUM(IF(AND(E6&lt;&gt;"",WEEKDAY(D$1,2)&lt;6),1,0),IF(AND(G6&lt;&gt;"",WEEKDAY(F$1,2)&lt;6),1,0),IF(AND(I6&lt;&gt;"",WEEKDAY(H$1,2)&lt;6),1,0),IF(AND(K6&lt;&gt;"",WEEKDAY(J$1,2)&lt;6),1,0),IF(AND(M6&lt;&gt;"",WEEKDAY(L$1,2)&lt;6),1,0),IF(AND(O6&lt;&gt;"",WEEKDAY(N$1,2)&lt;6),1,0),IF(AND(Q6&lt;&gt;"",WEEKDAY(P$1,2)&lt;6),1,0),IF(AND(S6&lt;&gt;"",WEEKDAY(R$1,2)&lt;6),1,0),IF(AND(U6&lt;&gt;"",WEEKDAY(T$1,2)&lt;6),1,0),IF(AND(W6&lt;&gt;"",WEEKDAY(V$1,2)&lt;6),1,0),IF(AND(Y6&lt;&gt;"",WEEKDAY(X$1,2)&lt;6),1,0),IF(AND(AA6&lt;&gt;"",WEEKDAY(Z$1,2)&lt;6),1,0),IF(AND(AC6&lt;&gt;"",WEEKDAY(AB$1,2)&lt;6),1,0),IF(AND(AE6&lt;&gt;"",WEEKDAY(AD$1,2)&lt;6),1,0),IF(AND(AG6&lt;&gt;"",WEEKDAY(AF$1,2)&lt;6),1,0),IF(AND(AI6&lt;&gt;"",WEEKDAY(AH$1,2)&lt;6),1,0),IF(AND(AK6&lt;&gt;"",WEEKDAY(AJ$1,2)&lt;6),1,0),IF(AND(AM6&lt;&gt;"",WEEKDAY(AL$1,2)&lt;6),1,0),IF(AND(AO6&lt;&gt;"",WEEKDAY(AN$1,2)&lt;6),1,0),IF(AND(AQ6&lt;&gt;"",WEEKDAY(AP$1,2)&lt;6),1,0),IF(AND(AS6&lt;&gt;"",WEEKDAY(AR$1,2)&lt;6),1,0),IF(AND(AU6&lt;&gt;"",WEEKDAY(AT$1,2)&lt;6),1,0),IF(AND(AW6&lt;&gt;"",WEEKDAY(AV$1,2)&lt;6),1,0),IF(AND(AY6&lt;&gt;"",WEEKDAY(AX$1,2)&lt;6),1,0),IF(AND(BA6&lt;&gt;"",WEEKDAY(AZ$1,2)&lt;6),1,0),IF(AND(BC6&lt;&gt;"",WEEKDAY(BB$1,2)&lt;6),1,0),IF(AND(BE6&lt;&gt;"",WEEKDAY(BD$1,2)&lt;6),1,0),IF(AND(BG6&lt;&gt;"",WEEKDAY(BF$1,2)&lt;6),1,0),IF(AND(BI6&lt;&gt;"",WEEKDAY(BH$1,2)&lt;6),1,0),IF(AND(BK6&lt;&gt;"",WEEKDAY(BJ$1,2)&lt;6),1,0),IF(AND(BM6&lt;&gt;"",WEEKDAY(BL$1,2)&lt;6),1,0))</f>
        <v>1</v>
      </c>
      <c r="BP6" s="85">
        <f>SUM(IF(AND((D6&lt;&gt;"")+(E6&lt;&gt;""),WEEKDAY(D$1,2)=6),1,0),IF(AND((F6&lt;&gt;"")+(G6&lt;&gt;""),WEEKDAY(F$1,2)=6),1,0),IF(AND((H6&lt;&gt;"")+(I6&lt;&gt;""),WEEKDAY(H$1,2)=6),1,0),IF(AND((J6&lt;&gt;"")+(K6&lt;&gt;""),WEEKDAY(J$1,2)=6),1,0),IF(AND((L6&lt;&gt;"")+(M6&lt;&gt;""),WEEKDAY(L$1,2)=6),1,0),IF(AND((N6&lt;&gt;"")+(O6&lt;&gt;""),WEEKDAY(N$1,2)=6),1,0),IF(AND((P6&lt;&gt;"")+(Q6&lt;&gt;""),WEEKDAY(P$1,2)=6),1,0),IF(AND((R6&lt;&gt;"")+(S6&lt;&gt;""),WEEKDAY(R$1,2)=6),1,0),IF(AND((T6&lt;&gt;"")+(U6&lt;&gt;""),WEEKDAY(T$1,2)=6),1,0),IF(AND((V6&lt;&gt;"")+(W6&lt;&gt;""),WEEKDAY(V$1,2)=6),1,0),IF(AND((X6&lt;&gt;"")+(Y6&lt;&gt;""),WEEKDAY(X$1,2)=6),1,0),IF(AND((Z6&lt;&gt;"")+(AA6&lt;&gt;""),WEEKDAY(Z$1,2)=6),1,0),IF(AND((AB6&lt;&gt;"")+(AC6&lt;&gt;""),WEEKDAY(AB$1,2)=6),1,0),IF(AND((AD6&lt;&gt;"")+(AE6&lt;&gt;""),WEEKDAY(AD$1,2)=6),1,0),IF(AND((AF6&lt;&gt;"")+(AG6&lt;&gt;""),WEEKDAY(AF$1,2)=6),1,0),IF(AND((AH6&lt;&gt;"")+(AI6&lt;&gt;""),WEEKDAY(AH$1,2)=6),1,0),IF(AND((AJ6&lt;&gt;"")+(AK6&lt;&gt;""),WEEKDAY(AJ$1,2)=6),1,0),IF(AND((AL6&lt;&gt;"")+(AM6&lt;&gt;""),WEEKDAY(AL$1,2)=6),1,0),IF(AND((AN6&lt;&gt;"")+(AO6&lt;&gt;""),WEEKDAY(AN$1,2)=6),1,0),IF(AND((AP6&lt;&gt;"")+(AQ6&lt;&gt;""),WEEKDAY(AP$1,2)=6),1,0),IF(AND((AR6&lt;&gt;"")+(AS6&lt;&gt;""),WEEKDAY(AR$1,2)=6),1,0),IF(AND((AT6&lt;&gt;"")+(AU6&lt;&gt;""),WEEKDAY(AT$1,2)=6),1,0),IF(AND((AV6&lt;&gt;"")+(AW6&lt;&gt;""),WEEKDAY(AV$1,2)=6),1,0),IF(AND((AX6&lt;&gt;"")+(AY6&lt;&gt;""),WEEKDAY(AX$1,2)=6),1,0),IF(AND((AZ6&lt;&gt;"")+(BA6&lt;&gt;""),WEEKDAY(AZ$1,2)=6),1,0),IF(AND((BB6&lt;&gt;"")+(BC6&lt;&gt;""),WEEKDAY(BB$1,2)=6),1,0),IF(AND((BD6&lt;&gt;"")+(BE6&lt;&gt;""),WEEKDAY(BD$1,2)=6),1,0),IF(AND((BF6&lt;&gt;"")+(BG6&lt;&gt;""),WEEKDAY(BF$1,2)=6),1,0),IF(AND((BH6&lt;&gt;"")+(BI6&lt;&gt;""),WEEKDAY(BH$1,2)=6),1,0),IF(AND((BJ6&lt;&gt;"")+(BK6&lt;&gt;""),WEEKDAY(BJ$1,2)=6),1,0),IF(AND((BL6&lt;&gt;"")+(BM6&lt;&gt;""),WEEKDAY(BL$1,2)=6),1,0))</f>
        <v>0</v>
      </c>
    </row>
    <row r="7" spans="1:68" ht="16.5">
      <c r="A7" s="86" t="s">
        <v>5</v>
      </c>
      <c r="B7" s="86" t="s">
        <v>9</v>
      </c>
      <c r="C7" s="92" t="s">
        <v>12</v>
      </c>
      <c r="D7" s="91"/>
      <c r="E7" s="91"/>
      <c r="F7" s="85"/>
      <c r="G7" s="85"/>
      <c r="H7" s="85"/>
      <c r="I7" s="85"/>
      <c r="J7" s="98"/>
      <c r="K7" s="98"/>
      <c r="L7" s="98"/>
      <c r="M7" s="98"/>
      <c r="N7" s="85"/>
      <c r="O7" s="85"/>
      <c r="P7" s="95"/>
      <c r="Q7" s="95"/>
      <c r="R7" s="91"/>
      <c r="S7" s="91"/>
      <c r="T7" s="85"/>
      <c r="U7" s="85"/>
      <c r="V7" s="85"/>
      <c r="W7" s="85"/>
      <c r="X7" s="85"/>
      <c r="Y7" s="85"/>
      <c r="Z7" s="85"/>
      <c r="AA7" s="85"/>
      <c r="AB7" s="85"/>
      <c r="AC7" s="85"/>
      <c r="AD7" s="95"/>
      <c r="AE7" s="95"/>
      <c r="AF7" s="91"/>
      <c r="AG7" s="91"/>
      <c r="AH7" s="96"/>
      <c r="AI7" s="96"/>
      <c r="AJ7" s="85"/>
      <c r="AK7" s="85"/>
      <c r="AL7" s="85"/>
      <c r="AM7" s="85"/>
      <c r="AN7" s="85"/>
      <c r="AO7" s="85"/>
      <c r="AP7" s="85"/>
      <c r="AQ7" s="85"/>
      <c r="AR7" s="95"/>
      <c r="AS7" s="95"/>
      <c r="AT7" s="91"/>
      <c r="AU7" s="91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95"/>
      <c r="BG7" s="95"/>
      <c r="BH7" s="91"/>
      <c r="BI7" s="91"/>
      <c r="BJ7" s="85"/>
      <c r="BK7" s="85"/>
      <c r="BL7" s="98"/>
      <c r="BM7" s="98"/>
      <c r="BN7" s="85">
        <f>SUM(IF(AND(D7&lt;&gt;"",WEEKDAY(D$1,2)&lt;6),1,0),IF(AND(F7&lt;&gt;"",WEEKDAY(F$1,2)&lt;6),1,0),IF(AND(H7&lt;&gt;"",WEEKDAY(H$1,2)&lt;6),1,0),IF(AND(J7&lt;&gt;"",WEEKDAY(J$1,2)&lt;6),1,0),IF(AND(L7&lt;&gt;"",WEEKDAY(L$1,2)&lt;6),1,0),IF(AND(N7&lt;&gt;"",WEEKDAY(N$1,2)&lt;6),1,0),IF(AND(P7&lt;&gt;"",WEEKDAY(P$1,2)&lt;6),1,0),IF(AND(R7&lt;&gt;"",WEEKDAY(R$1,2)&lt;6),1,0),IF(AND(T7&lt;&gt;"",WEEKDAY(T$1,2)&lt;6),1,0),IF(AND(V7&lt;&gt;"",WEEKDAY(V$1,2)&lt;6),1,0),IF(AND(X7&lt;&gt;"",WEEKDAY(X$1,2)&lt;6),1,0),IF(AND(Z7&lt;&gt;"",WEEKDAY(Z$1,2)&lt;6),1,0),IF(AND(AB7&lt;&gt;"",WEEKDAY(AB$1,2)&lt;6),1,0),IF(AND(AD7&lt;&gt;"",WEEKDAY(AD$1,2)&lt;6),1,0),IF(AND(AF7&lt;&gt;"",WEEKDAY(AF$1,2)&lt;6),1,0),IF(AND(AH7&lt;&gt;"",WEEKDAY(AH$1,2)&lt;6),1,0),IF(AND(AJ7&lt;&gt;"",WEEKDAY(AJ$1,2)&lt;6),1,0),IF(AND(AL7&lt;&gt;"",WEEKDAY(AL$1,2)&lt;6),1,0),IF(AND(AN7&lt;&gt;"",WEEKDAY(AN$1,2)&lt;6),1,0),IF(AND(AP7&lt;&gt;"",WEEKDAY(AP$1,2)&lt;6),1,0),IF(AND(AR7&lt;&gt;"",WEEKDAY(AR$1,2)&lt;6),1,0),IF(AND(AT7&lt;&gt;"",WEEKDAY(AT$1,2)&lt;6),1,0),IF(AND(AV7&lt;&gt;"",WEEKDAY(AV$1,2)&lt;6),1,0),IF(AND(AX7&lt;&gt;"",WEEKDAY(AX$1,2)&lt;6),1,0),IF(AND(AZ7&lt;&gt;"",WEEKDAY(AZ$1,2)&lt;6),1,0),IF(AND(BB7&lt;&gt;"",WEEKDAY(BB$1,2)&lt;6),1,0),IF(AND(BD7&lt;&gt;"",WEEKDAY(BD$1,2)&lt;6),1,0),IF(AND(BF7&lt;&gt;"",WEEKDAY(BF$1,2)&lt;6),1,0),IF(AND(BH7&lt;&gt;"",WEEKDAY(BH$1,2)&lt;6),1,0),IF(AND(BJ7&lt;&gt;"",WEEKDAY(BJ$1,2)&lt;6),1,0),IF(AND(BL7&lt;&gt;"",WEEKDAY(BL$1,2)&lt;6),1,0))</f>
        <v>0</v>
      </c>
      <c r="BO7" s="85">
        <f>SUM(IF(AND(E7&lt;&gt;"",WEEKDAY(D$1,2)&lt;6),1,0),IF(AND(G7&lt;&gt;"",WEEKDAY(F$1,2)&lt;6),1,0),IF(AND(I7&lt;&gt;"",WEEKDAY(H$1,2)&lt;6),1,0),IF(AND(K7&lt;&gt;"",WEEKDAY(J$1,2)&lt;6),1,0),IF(AND(M7&lt;&gt;"",WEEKDAY(L$1,2)&lt;6),1,0),IF(AND(O7&lt;&gt;"",WEEKDAY(N$1,2)&lt;6),1,0),IF(AND(Q7&lt;&gt;"",WEEKDAY(P$1,2)&lt;6),1,0),IF(AND(S7&lt;&gt;"",WEEKDAY(R$1,2)&lt;6),1,0),IF(AND(U7&lt;&gt;"",WEEKDAY(T$1,2)&lt;6),1,0),IF(AND(W7&lt;&gt;"",WEEKDAY(V$1,2)&lt;6),1,0),IF(AND(Y7&lt;&gt;"",WEEKDAY(X$1,2)&lt;6),1,0),IF(AND(AA7&lt;&gt;"",WEEKDAY(Z$1,2)&lt;6),1,0),IF(AND(AC7&lt;&gt;"",WEEKDAY(AB$1,2)&lt;6),1,0),IF(AND(AE7&lt;&gt;"",WEEKDAY(AD$1,2)&lt;6),1,0),IF(AND(AG7&lt;&gt;"",WEEKDAY(AF$1,2)&lt;6),1,0),IF(AND(AI7&lt;&gt;"",WEEKDAY(AH$1,2)&lt;6),1,0),IF(AND(AK7&lt;&gt;"",WEEKDAY(AJ$1,2)&lt;6),1,0),IF(AND(AM7&lt;&gt;"",WEEKDAY(AL$1,2)&lt;6),1,0),IF(AND(AO7&lt;&gt;"",WEEKDAY(AN$1,2)&lt;6),1,0),IF(AND(AQ7&lt;&gt;"",WEEKDAY(AP$1,2)&lt;6),1,0),IF(AND(AS7&lt;&gt;"",WEEKDAY(AR$1,2)&lt;6),1,0),IF(AND(AU7&lt;&gt;"",WEEKDAY(AT$1,2)&lt;6),1,0),IF(AND(AW7&lt;&gt;"",WEEKDAY(AV$1,2)&lt;6),1,0),IF(AND(AY7&lt;&gt;"",WEEKDAY(AX$1,2)&lt;6),1,0),IF(AND(BA7&lt;&gt;"",WEEKDAY(AZ$1,2)&lt;6),1,0),IF(AND(BC7&lt;&gt;"",WEEKDAY(BB$1,2)&lt;6),1,0),IF(AND(BE7&lt;&gt;"",WEEKDAY(BD$1,2)&lt;6),1,0),IF(AND(BG7&lt;&gt;"",WEEKDAY(BF$1,2)&lt;6),1,0),IF(AND(BI7&lt;&gt;"",WEEKDAY(BH$1,2)&lt;6),1,0),IF(AND(BK7&lt;&gt;"",WEEKDAY(BJ$1,2)&lt;6),1,0),IF(AND(BM7&lt;&gt;"",WEEKDAY(BL$1,2)&lt;6),1,0))</f>
        <v>0</v>
      </c>
      <c r="BP7" s="85">
        <f>SUM(IF(AND((D7&lt;&gt;"")+(E7&lt;&gt;""),WEEKDAY(D$1,2)=6),1,0),IF(AND((F7&lt;&gt;"")+(G7&lt;&gt;""),WEEKDAY(F$1,2)=6),1,0),IF(AND((H7&lt;&gt;"")+(I7&lt;&gt;""),WEEKDAY(H$1,2)=6),1,0),IF(AND((J7&lt;&gt;"")+(K7&lt;&gt;""),WEEKDAY(J$1,2)=6),1,0),IF(AND((L7&lt;&gt;"")+(M7&lt;&gt;""),WEEKDAY(L$1,2)=6),1,0),IF(AND((N7&lt;&gt;"")+(O7&lt;&gt;""),WEEKDAY(N$1,2)=6),1,0),IF(AND((P7&lt;&gt;"")+(Q7&lt;&gt;""),WEEKDAY(P$1,2)=6),1,0),IF(AND((R7&lt;&gt;"")+(S7&lt;&gt;""),WEEKDAY(R$1,2)=6),1,0),IF(AND((T7&lt;&gt;"")+(U7&lt;&gt;""),WEEKDAY(T$1,2)=6),1,0),IF(AND((V7&lt;&gt;"")+(W7&lt;&gt;""),WEEKDAY(V$1,2)=6),1,0),IF(AND((X7&lt;&gt;"")+(Y7&lt;&gt;""),WEEKDAY(X$1,2)=6),1,0),IF(AND((Z7&lt;&gt;"")+(AA7&lt;&gt;""),WEEKDAY(Z$1,2)=6),1,0),IF(AND((AB7&lt;&gt;"")+(AC7&lt;&gt;""),WEEKDAY(AB$1,2)=6),1,0),IF(AND((AD7&lt;&gt;"")+(AE7&lt;&gt;""),WEEKDAY(AD$1,2)=6),1,0),IF(AND((AF7&lt;&gt;"")+(AG7&lt;&gt;""),WEEKDAY(AF$1,2)=6),1,0),IF(AND((AH7&lt;&gt;"")+(AI7&lt;&gt;""),WEEKDAY(AH$1,2)=6),1,0),IF(AND((AJ7&lt;&gt;"")+(AK7&lt;&gt;""),WEEKDAY(AJ$1,2)=6),1,0),IF(AND((AL7&lt;&gt;"")+(AM7&lt;&gt;""),WEEKDAY(AL$1,2)=6),1,0),IF(AND((AN7&lt;&gt;"")+(AO7&lt;&gt;""),WEEKDAY(AN$1,2)=6),1,0),IF(AND((AP7&lt;&gt;"")+(AQ7&lt;&gt;""),WEEKDAY(AP$1,2)=6),1,0),IF(AND((AR7&lt;&gt;"")+(AS7&lt;&gt;""),WEEKDAY(AR$1,2)=6),1,0),IF(AND((AT7&lt;&gt;"")+(AU7&lt;&gt;""),WEEKDAY(AT$1,2)=6),1,0),IF(AND((AV7&lt;&gt;"")+(AW7&lt;&gt;""),WEEKDAY(AV$1,2)=6),1,0),IF(AND((AX7&lt;&gt;"")+(AY7&lt;&gt;""),WEEKDAY(AX$1,2)=6),1,0),IF(AND((AZ7&lt;&gt;"")+(BA7&lt;&gt;""),WEEKDAY(AZ$1,2)=6),1,0),IF(AND((BB7&lt;&gt;"")+(BC7&lt;&gt;""),WEEKDAY(BB$1,2)=6),1,0),IF(AND((BD7&lt;&gt;"")+(BE7&lt;&gt;""),WEEKDAY(BD$1,2)=6),1,0),IF(AND((BF7&lt;&gt;"")+(BG7&lt;&gt;""),WEEKDAY(BF$1,2)=6),1,0),IF(AND((BH7&lt;&gt;"")+(BI7&lt;&gt;""),WEEKDAY(BH$1,2)=6),1,0),IF(AND((BJ7&lt;&gt;"")+(BK7&lt;&gt;""),WEEKDAY(BJ$1,2)=6),1,0),IF(AND((BL7&lt;&gt;"")+(BM7&lt;&gt;""),WEEKDAY(BL$1,2)=6),1,0))</f>
        <v>0</v>
      </c>
    </row>
    <row r="8" spans="1:68" ht="16.5">
      <c r="A8" s="86" t="s">
        <v>5</v>
      </c>
      <c r="B8" s="86" t="s">
        <v>9</v>
      </c>
      <c r="C8" s="92" t="s">
        <v>13</v>
      </c>
      <c r="D8" s="91"/>
      <c r="E8" s="91"/>
      <c r="F8" s="85"/>
      <c r="G8" s="85"/>
      <c r="H8" s="85"/>
      <c r="I8" s="85"/>
      <c r="J8" s="98"/>
      <c r="K8" s="98"/>
      <c r="L8" s="98"/>
      <c r="M8" s="98"/>
      <c r="N8" s="85"/>
      <c r="O8" s="85"/>
      <c r="P8" s="95"/>
      <c r="Q8" s="95"/>
      <c r="R8" s="91"/>
      <c r="S8" s="91"/>
      <c r="T8" s="85"/>
      <c r="U8" s="85"/>
      <c r="V8" s="85"/>
      <c r="W8" s="85"/>
      <c r="X8" s="85"/>
      <c r="Y8" s="85"/>
      <c r="Z8" s="85"/>
      <c r="AA8" s="85"/>
      <c r="AB8" s="85"/>
      <c r="AC8" s="85"/>
      <c r="AD8" s="95"/>
      <c r="AE8" s="95"/>
      <c r="AF8" s="91"/>
      <c r="AG8" s="91"/>
      <c r="AH8" s="96"/>
      <c r="AI8" s="96"/>
      <c r="AJ8" s="85"/>
      <c r="AK8" s="85"/>
      <c r="AL8" s="85"/>
      <c r="AM8" s="85"/>
      <c r="AN8" s="85"/>
      <c r="AO8" s="85"/>
      <c r="AP8" s="85"/>
      <c r="AQ8" s="85"/>
      <c r="AR8" s="95"/>
      <c r="AS8" s="95"/>
      <c r="AT8" s="91"/>
      <c r="AU8" s="91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95"/>
      <c r="BG8" s="95"/>
      <c r="BH8" s="91"/>
      <c r="BI8" s="91"/>
      <c r="BJ8" s="85"/>
      <c r="BK8" s="85"/>
      <c r="BL8" s="98"/>
      <c r="BM8" s="98"/>
      <c r="BN8" s="85">
        <f>SUM(IF(AND(D8&lt;&gt;"",WEEKDAY(D$1,2)&lt;6),1,0),IF(AND(F8&lt;&gt;"",WEEKDAY(F$1,2)&lt;6),1,0),IF(AND(H8&lt;&gt;"",WEEKDAY(H$1,2)&lt;6),1,0),IF(AND(J8&lt;&gt;"",WEEKDAY(J$1,2)&lt;6),1,0),IF(AND(L8&lt;&gt;"",WEEKDAY(L$1,2)&lt;6),1,0),IF(AND(N8&lt;&gt;"",WEEKDAY(N$1,2)&lt;6),1,0),IF(AND(P8&lt;&gt;"",WEEKDAY(P$1,2)&lt;6),1,0),IF(AND(R8&lt;&gt;"",WEEKDAY(R$1,2)&lt;6),1,0),IF(AND(T8&lt;&gt;"",WEEKDAY(T$1,2)&lt;6),1,0),IF(AND(V8&lt;&gt;"",WEEKDAY(V$1,2)&lt;6),1,0),IF(AND(X8&lt;&gt;"",WEEKDAY(X$1,2)&lt;6),1,0),IF(AND(Z8&lt;&gt;"",WEEKDAY(Z$1,2)&lt;6),1,0),IF(AND(AB8&lt;&gt;"",WEEKDAY(AB$1,2)&lt;6),1,0),IF(AND(AD8&lt;&gt;"",WEEKDAY(AD$1,2)&lt;6),1,0),IF(AND(AF8&lt;&gt;"",WEEKDAY(AF$1,2)&lt;6),1,0),IF(AND(AH8&lt;&gt;"",WEEKDAY(AH$1,2)&lt;6),1,0),IF(AND(AJ8&lt;&gt;"",WEEKDAY(AJ$1,2)&lt;6),1,0),IF(AND(AL8&lt;&gt;"",WEEKDAY(AL$1,2)&lt;6),1,0),IF(AND(AN8&lt;&gt;"",WEEKDAY(AN$1,2)&lt;6),1,0),IF(AND(AP8&lt;&gt;"",WEEKDAY(AP$1,2)&lt;6),1,0),IF(AND(AR8&lt;&gt;"",WEEKDAY(AR$1,2)&lt;6),1,0),IF(AND(AT8&lt;&gt;"",WEEKDAY(AT$1,2)&lt;6),1,0),IF(AND(AV8&lt;&gt;"",WEEKDAY(AV$1,2)&lt;6),1,0),IF(AND(AX8&lt;&gt;"",WEEKDAY(AX$1,2)&lt;6),1,0),IF(AND(AZ8&lt;&gt;"",WEEKDAY(AZ$1,2)&lt;6),1,0),IF(AND(BB8&lt;&gt;"",WEEKDAY(BB$1,2)&lt;6),1,0),IF(AND(BD8&lt;&gt;"",WEEKDAY(BD$1,2)&lt;6),1,0),IF(AND(BF8&lt;&gt;"",WEEKDAY(BF$1,2)&lt;6),1,0),IF(AND(BH8&lt;&gt;"",WEEKDAY(BH$1,2)&lt;6),1,0),IF(AND(BJ8&lt;&gt;"",WEEKDAY(BJ$1,2)&lt;6),1,0),IF(AND(BL8&lt;&gt;"",WEEKDAY(BL$1,2)&lt;6),1,0))</f>
        <v>0</v>
      </c>
      <c r="BO8" s="85">
        <f>SUM(IF(AND(E8&lt;&gt;"",WEEKDAY(D$1,2)&lt;6),1,0),IF(AND(G8&lt;&gt;"",WEEKDAY(F$1,2)&lt;6),1,0),IF(AND(I8&lt;&gt;"",WEEKDAY(H$1,2)&lt;6),1,0),IF(AND(K8&lt;&gt;"",WEEKDAY(J$1,2)&lt;6),1,0),IF(AND(M8&lt;&gt;"",WEEKDAY(L$1,2)&lt;6),1,0),IF(AND(O8&lt;&gt;"",WEEKDAY(N$1,2)&lt;6),1,0),IF(AND(Q8&lt;&gt;"",WEEKDAY(P$1,2)&lt;6),1,0),IF(AND(S8&lt;&gt;"",WEEKDAY(R$1,2)&lt;6),1,0),IF(AND(U8&lt;&gt;"",WEEKDAY(T$1,2)&lt;6),1,0),IF(AND(W8&lt;&gt;"",WEEKDAY(V$1,2)&lt;6),1,0),IF(AND(Y8&lt;&gt;"",WEEKDAY(X$1,2)&lt;6),1,0),IF(AND(AA8&lt;&gt;"",WEEKDAY(Z$1,2)&lt;6),1,0),IF(AND(AC8&lt;&gt;"",WEEKDAY(AB$1,2)&lt;6),1,0),IF(AND(AE8&lt;&gt;"",WEEKDAY(AD$1,2)&lt;6),1,0),IF(AND(AG8&lt;&gt;"",WEEKDAY(AF$1,2)&lt;6),1,0),IF(AND(AI8&lt;&gt;"",WEEKDAY(AH$1,2)&lt;6),1,0),IF(AND(AK8&lt;&gt;"",WEEKDAY(AJ$1,2)&lt;6),1,0),IF(AND(AM8&lt;&gt;"",WEEKDAY(AL$1,2)&lt;6),1,0),IF(AND(AO8&lt;&gt;"",WEEKDAY(AN$1,2)&lt;6),1,0),IF(AND(AQ8&lt;&gt;"",WEEKDAY(AP$1,2)&lt;6),1,0),IF(AND(AS8&lt;&gt;"",WEEKDAY(AR$1,2)&lt;6),1,0),IF(AND(AU8&lt;&gt;"",WEEKDAY(AT$1,2)&lt;6),1,0),IF(AND(AW8&lt;&gt;"",WEEKDAY(AV$1,2)&lt;6),1,0),IF(AND(AY8&lt;&gt;"",WEEKDAY(AX$1,2)&lt;6),1,0),IF(AND(BA8&lt;&gt;"",WEEKDAY(AZ$1,2)&lt;6),1,0),IF(AND(BC8&lt;&gt;"",WEEKDAY(BB$1,2)&lt;6),1,0),IF(AND(BE8&lt;&gt;"",WEEKDAY(BD$1,2)&lt;6),1,0),IF(AND(BG8&lt;&gt;"",WEEKDAY(BF$1,2)&lt;6),1,0),IF(AND(BI8&lt;&gt;"",WEEKDAY(BH$1,2)&lt;6),1,0),IF(AND(BK8&lt;&gt;"",WEEKDAY(BJ$1,2)&lt;6),1,0),IF(AND(BM8&lt;&gt;"",WEEKDAY(BL$1,2)&lt;6),1,0))</f>
        <v>0</v>
      </c>
      <c r="BP8" s="85">
        <f>SUM(IF(AND((D8&lt;&gt;"")+(E8&lt;&gt;""),WEEKDAY(D$1,2)=6),1,0),IF(AND((F8&lt;&gt;"")+(G8&lt;&gt;""),WEEKDAY(F$1,2)=6),1,0),IF(AND((H8&lt;&gt;"")+(I8&lt;&gt;""),WEEKDAY(H$1,2)=6),1,0),IF(AND((J8&lt;&gt;"")+(K8&lt;&gt;""),WEEKDAY(J$1,2)=6),1,0),IF(AND((L8&lt;&gt;"")+(M8&lt;&gt;""),WEEKDAY(L$1,2)=6),1,0),IF(AND((N8&lt;&gt;"")+(O8&lt;&gt;""),WEEKDAY(N$1,2)=6),1,0),IF(AND((P8&lt;&gt;"")+(Q8&lt;&gt;""),WEEKDAY(P$1,2)=6),1,0),IF(AND((R8&lt;&gt;"")+(S8&lt;&gt;""),WEEKDAY(R$1,2)=6),1,0),IF(AND((T8&lt;&gt;"")+(U8&lt;&gt;""),WEEKDAY(T$1,2)=6),1,0),IF(AND((V8&lt;&gt;"")+(W8&lt;&gt;""),WEEKDAY(V$1,2)=6),1,0),IF(AND((X8&lt;&gt;"")+(Y8&lt;&gt;""),WEEKDAY(X$1,2)=6),1,0),IF(AND((Z8&lt;&gt;"")+(AA8&lt;&gt;""),WEEKDAY(Z$1,2)=6),1,0),IF(AND((AB8&lt;&gt;"")+(AC8&lt;&gt;""),WEEKDAY(AB$1,2)=6),1,0),IF(AND((AD8&lt;&gt;"")+(AE8&lt;&gt;""),WEEKDAY(AD$1,2)=6),1,0),IF(AND((AF8&lt;&gt;"")+(AG8&lt;&gt;""),WEEKDAY(AF$1,2)=6),1,0),IF(AND((AH8&lt;&gt;"")+(AI8&lt;&gt;""),WEEKDAY(AH$1,2)=6),1,0),IF(AND((AJ8&lt;&gt;"")+(AK8&lt;&gt;""),WEEKDAY(AJ$1,2)=6),1,0),IF(AND((AL8&lt;&gt;"")+(AM8&lt;&gt;""),WEEKDAY(AL$1,2)=6),1,0),IF(AND((AN8&lt;&gt;"")+(AO8&lt;&gt;""),WEEKDAY(AN$1,2)=6),1,0),IF(AND((AP8&lt;&gt;"")+(AQ8&lt;&gt;""),WEEKDAY(AP$1,2)=6),1,0),IF(AND((AR8&lt;&gt;"")+(AS8&lt;&gt;""),WEEKDAY(AR$1,2)=6),1,0),IF(AND((AT8&lt;&gt;"")+(AU8&lt;&gt;""),WEEKDAY(AT$1,2)=6),1,0),IF(AND((AV8&lt;&gt;"")+(AW8&lt;&gt;""),WEEKDAY(AV$1,2)=6),1,0),IF(AND((AX8&lt;&gt;"")+(AY8&lt;&gt;""),WEEKDAY(AX$1,2)=6),1,0),IF(AND((AZ8&lt;&gt;"")+(BA8&lt;&gt;""),WEEKDAY(AZ$1,2)=6),1,0),IF(AND((BB8&lt;&gt;"")+(BC8&lt;&gt;""),WEEKDAY(BB$1,2)=6),1,0),IF(AND((BD8&lt;&gt;"")+(BE8&lt;&gt;""),WEEKDAY(BD$1,2)=6),1,0),IF(AND((BF8&lt;&gt;"")+(BG8&lt;&gt;""),WEEKDAY(BF$1,2)=6),1,0),IF(AND((BH8&lt;&gt;"")+(BI8&lt;&gt;""),WEEKDAY(BH$1,2)=6),1,0),IF(AND((BJ8&lt;&gt;"")+(BK8&lt;&gt;""),WEEKDAY(BJ$1,2)=6),1,0),IF(AND((BL8&lt;&gt;"")+(BM8&lt;&gt;""),WEEKDAY(BL$1,2)=6),1,0))</f>
        <v>0</v>
      </c>
    </row>
    <row r="9" spans="1:68" ht="16.5">
      <c r="A9" s="86" t="s">
        <v>5</v>
      </c>
      <c r="B9" s="86" t="s">
        <v>9</v>
      </c>
      <c r="C9" s="92" t="s">
        <v>14</v>
      </c>
      <c r="D9" s="91"/>
      <c r="E9" s="91"/>
      <c r="F9" s="85"/>
      <c r="G9" s="85"/>
      <c r="H9" s="85"/>
      <c r="I9" s="85"/>
      <c r="J9" s="98"/>
      <c r="K9" s="98"/>
      <c r="L9" s="98"/>
      <c r="M9" s="98"/>
      <c r="N9" s="85"/>
      <c r="O9" s="85"/>
      <c r="P9" s="95"/>
      <c r="Q9" s="95"/>
      <c r="R9" s="91"/>
      <c r="S9" s="91"/>
      <c r="T9" s="85"/>
      <c r="U9" s="85"/>
      <c r="V9" s="85"/>
      <c r="W9" s="85"/>
      <c r="X9" s="85"/>
      <c r="Y9" s="85"/>
      <c r="Z9" s="85"/>
      <c r="AA9" s="85"/>
      <c r="AB9" s="85"/>
      <c r="AC9" s="85"/>
      <c r="AD9" s="95"/>
      <c r="AE9" s="95"/>
      <c r="AF9" s="91"/>
      <c r="AG9" s="91"/>
      <c r="AH9" s="96"/>
      <c r="AI9" s="96"/>
      <c r="AJ9" s="85"/>
      <c r="AK9" s="85"/>
      <c r="AL9" s="85"/>
      <c r="AM9" s="85"/>
      <c r="AN9" s="85"/>
      <c r="AO9" s="85"/>
      <c r="AP9" s="85"/>
      <c r="AQ9" s="85"/>
      <c r="AR9" s="95"/>
      <c r="AS9" s="95"/>
      <c r="AT9" s="91"/>
      <c r="AU9" s="91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95"/>
      <c r="BG9" s="95"/>
      <c r="BH9" s="91"/>
      <c r="BI9" s="91"/>
      <c r="BJ9" s="85"/>
      <c r="BK9" s="85"/>
      <c r="BL9" s="98"/>
      <c r="BM9" s="98"/>
      <c r="BN9" s="85">
        <f>SUM(IF(AND(D9&lt;&gt;"",WEEKDAY(D$1,2)&lt;6),1,0),IF(AND(F9&lt;&gt;"",WEEKDAY(F$1,2)&lt;6),1,0),IF(AND(H9&lt;&gt;"",WEEKDAY(H$1,2)&lt;6),1,0),IF(AND(J9&lt;&gt;"",WEEKDAY(J$1,2)&lt;6),1,0),IF(AND(L9&lt;&gt;"",WEEKDAY(L$1,2)&lt;6),1,0),IF(AND(N9&lt;&gt;"",WEEKDAY(N$1,2)&lt;6),1,0),IF(AND(P9&lt;&gt;"",WEEKDAY(P$1,2)&lt;6),1,0),IF(AND(R9&lt;&gt;"",WEEKDAY(R$1,2)&lt;6),1,0),IF(AND(T9&lt;&gt;"",WEEKDAY(T$1,2)&lt;6),1,0),IF(AND(V9&lt;&gt;"",WEEKDAY(V$1,2)&lt;6),1,0),IF(AND(X9&lt;&gt;"",WEEKDAY(X$1,2)&lt;6),1,0),IF(AND(Z9&lt;&gt;"",WEEKDAY(Z$1,2)&lt;6),1,0),IF(AND(AB9&lt;&gt;"",WEEKDAY(AB$1,2)&lt;6),1,0),IF(AND(AD9&lt;&gt;"",WEEKDAY(AD$1,2)&lt;6),1,0),IF(AND(AF9&lt;&gt;"",WEEKDAY(AF$1,2)&lt;6),1,0),IF(AND(AH9&lt;&gt;"",WEEKDAY(AH$1,2)&lt;6),1,0),IF(AND(AJ9&lt;&gt;"",WEEKDAY(AJ$1,2)&lt;6),1,0),IF(AND(AL9&lt;&gt;"",WEEKDAY(AL$1,2)&lt;6),1,0),IF(AND(AN9&lt;&gt;"",WEEKDAY(AN$1,2)&lt;6),1,0),IF(AND(AP9&lt;&gt;"",WEEKDAY(AP$1,2)&lt;6),1,0),IF(AND(AR9&lt;&gt;"",WEEKDAY(AR$1,2)&lt;6),1,0),IF(AND(AT9&lt;&gt;"",WEEKDAY(AT$1,2)&lt;6),1,0),IF(AND(AV9&lt;&gt;"",WEEKDAY(AV$1,2)&lt;6),1,0),IF(AND(AX9&lt;&gt;"",WEEKDAY(AX$1,2)&lt;6),1,0),IF(AND(AZ9&lt;&gt;"",WEEKDAY(AZ$1,2)&lt;6),1,0),IF(AND(BB9&lt;&gt;"",WEEKDAY(BB$1,2)&lt;6),1,0),IF(AND(BD9&lt;&gt;"",WEEKDAY(BD$1,2)&lt;6),1,0),IF(AND(BF9&lt;&gt;"",WEEKDAY(BF$1,2)&lt;6),1,0),IF(AND(BH9&lt;&gt;"",WEEKDAY(BH$1,2)&lt;6),1,0),IF(AND(BJ9&lt;&gt;"",WEEKDAY(BJ$1,2)&lt;6),1,0),IF(AND(BL9&lt;&gt;"",WEEKDAY(BL$1,2)&lt;6),1,0))</f>
        <v>0</v>
      </c>
      <c r="BO9" s="85">
        <f>SUM(IF(AND(E9&lt;&gt;"",WEEKDAY(D$1,2)&lt;6),1,0),IF(AND(G9&lt;&gt;"",WEEKDAY(F$1,2)&lt;6),1,0),IF(AND(I9&lt;&gt;"",WEEKDAY(H$1,2)&lt;6),1,0),IF(AND(K9&lt;&gt;"",WEEKDAY(J$1,2)&lt;6),1,0),IF(AND(M9&lt;&gt;"",WEEKDAY(L$1,2)&lt;6),1,0),IF(AND(O9&lt;&gt;"",WEEKDAY(N$1,2)&lt;6),1,0),IF(AND(Q9&lt;&gt;"",WEEKDAY(P$1,2)&lt;6),1,0),IF(AND(S9&lt;&gt;"",WEEKDAY(R$1,2)&lt;6),1,0),IF(AND(U9&lt;&gt;"",WEEKDAY(T$1,2)&lt;6),1,0),IF(AND(W9&lt;&gt;"",WEEKDAY(V$1,2)&lt;6),1,0),IF(AND(Y9&lt;&gt;"",WEEKDAY(X$1,2)&lt;6),1,0),IF(AND(AA9&lt;&gt;"",WEEKDAY(Z$1,2)&lt;6),1,0),IF(AND(AC9&lt;&gt;"",WEEKDAY(AB$1,2)&lt;6),1,0),IF(AND(AE9&lt;&gt;"",WEEKDAY(AD$1,2)&lt;6),1,0),IF(AND(AG9&lt;&gt;"",WEEKDAY(AF$1,2)&lt;6),1,0),IF(AND(AI9&lt;&gt;"",WEEKDAY(AH$1,2)&lt;6),1,0),IF(AND(AK9&lt;&gt;"",WEEKDAY(AJ$1,2)&lt;6),1,0),IF(AND(AM9&lt;&gt;"",WEEKDAY(AL$1,2)&lt;6),1,0),IF(AND(AO9&lt;&gt;"",WEEKDAY(AN$1,2)&lt;6),1,0),IF(AND(AQ9&lt;&gt;"",WEEKDAY(AP$1,2)&lt;6),1,0),IF(AND(AS9&lt;&gt;"",WEEKDAY(AR$1,2)&lt;6),1,0),IF(AND(AU9&lt;&gt;"",WEEKDAY(AT$1,2)&lt;6),1,0),IF(AND(AW9&lt;&gt;"",WEEKDAY(AV$1,2)&lt;6),1,0),IF(AND(AY9&lt;&gt;"",WEEKDAY(AX$1,2)&lt;6),1,0),IF(AND(BA9&lt;&gt;"",WEEKDAY(AZ$1,2)&lt;6),1,0),IF(AND(BC9&lt;&gt;"",WEEKDAY(BB$1,2)&lt;6),1,0),IF(AND(BE9&lt;&gt;"",WEEKDAY(BD$1,2)&lt;6),1,0),IF(AND(BG9&lt;&gt;"",WEEKDAY(BF$1,2)&lt;6),1,0),IF(AND(BI9&lt;&gt;"",WEEKDAY(BH$1,2)&lt;6),1,0),IF(AND(BK9&lt;&gt;"",WEEKDAY(BJ$1,2)&lt;6),1,0),IF(AND(BM9&lt;&gt;"",WEEKDAY(BL$1,2)&lt;6),1,0))</f>
        <v>0</v>
      </c>
      <c r="BP9" s="85">
        <f>SUM(IF(AND((D9&lt;&gt;"")+(E9&lt;&gt;""),WEEKDAY(D$1,2)=6),1,0),IF(AND((F9&lt;&gt;"")+(G9&lt;&gt;""),WEEKDAY(F$1,2)=6),1,0),IF(AND((H9&lt;&gt;"")+(I9&lt;&gt;""),WEEKDAY(H$1,2)=6),1,0),IF(AND((J9&lt;&gt;"")+(K9&lt;&gt;""),WEEKDAY(J$1,2)=6),1,0),IF(AND((L9&lt;&gt;"")+(M9&lt;&gt;""),WEEKDAY(L$1,2)=6),1,0),IF(AND((N9&lt;&gt;"")+(O9&lt;&gt;""),WEEKDAY(N$1,2)=6),1,0),IF(AND((P9&lt;&gt;"")+(Q9&lt;&gt;""),WEEKDAY(P$1,2)=6),1,0),IF(AND((R9&lt;&gt;"")+(S9&lt;&gt;""),WEEKDAY(R$1,2)=6),1,0),IF(AND((T9&lt;&gt;"")+(U9&lt;&gt;""),WEEKDAY(T$1,2)=6),1,0),IF(AND((V9&lt;&gt;"")+(W9&lt;&gt;""),WEEKDAY(V$1,2)=6),1,0),IF(AND((X9&lt;&gt;"")+(Y9&lt;&gt;""),WEEKDAY(X$1,2)=6),1,0),IF(AND((Z9&lt;&gt;"")+(AA9&lt;&gt;""),WEEKDAY(Z$1,2)=6),1,0),IF(AND((AB9&lt;&gt;"")+(AC9&lt;&gt;""),WEEKDAY(AB$1,2)=6),1,0),IF(AND((AD9&lt;&gt;"")+(AE9&lt;&gt;""),WEEKDAY(AD$1,2)=6),1,0),IF(AND((AF9&lt;&gt;"")+(AG9&lt;&gt;""),WEEKDAY(AF$1,2)=6),1,0),IF(AND((AH9&lt;&gt;"")+(AI9&lt;&gt;""),WEEKDAY(AH$1,2)=6),1,0),IF(AND((AJ9&lt;&gt;"")+(AK9&lt;&gt;""),WEEKDAY(AJ$1,2)=6),1,0),IF(AND((AL9&lt;&gt;"")+(AM9&lt;&gt;""),WEEKDAY(AL$1,2)=6),1,0),IF(AND((AN9&lt;&gt;"")+(AO9&lt;&gt;""),WEEKDAY(AN$1,2)=6),1,0),IF(AND((AP9&lt;&gt;"")+(AQ9&lt;&gt;""),WEEKDAY(AP$1,2)=6),1,0),IF(AND((AR9&lt;&gt;"")+(AS9&lt;&gt;""),WEEKDAY(AR$1,2)=6),1,0),IF(AND((AT9&lt;&gt;"")+(AU9&lt;&gt;""),WEEKDAY(AT$1,2)=6),1,0),IF(AND((AV9&lt;&gt;"")+(AW9&lt;&gt;""),WEEKDAY(AV$1,2)=6),1,0),IF(AND((AX9&lt;&gt;"")+(AY9&lt;&gt;""),WEEKDAY(AX$1,2)=6),1,0),IF(AND((AZ9&lt;&gt;"")+(BA9&lt;&gt;""),WEEKDAY(AZ$1,2)=6),1,0),IF(AND((BB9&lt;&gt;"")+(BC9&lt;&gt;""),WEEKDAY(BB$1,2)=6),1,0),IF(AND((BD9&lt;&gt;"")+(BE9&lt;&gt;""),WEEKDAY(BD$1,2)=6),1,0),IF(AND((BF9&lt;&gt;"")+(BG9&lt;&gt;""),WEEKDAY(BF$1,2)=6),1,0),IF(AND((BH9&lt;&gt;"")+(BI9&lt;&gt;""),WEEKDAY(BH$1,2)=6),1,0),IF(AND((BJ9&lt;&gt;"")+(BK9&lt;&gt;""),WEEKDAY(BJ$1,2)=6),1,0),IF(AND((BL9&lt;&gt;"")+(BM9&lt;&gt;""),WEEKDAY(BL$1,2)=6),1,0))</f>
        <v>0</v>
      </c>
    </row>
    <row r="10" spans="1:68" ht="16.5">
      <c r="A10" s="86" t="s">
        <v>5</v>
      </c>
      <c r="B10" s="86" t="s">
        <v>15</v>
      </c>
      <c r="C10" s="92" t="s">
        <v>16</v>
      </c>
      <c r="D10" s="91"/>
      <c r="E10" s="91"/>
      <c r="F10" s="88">
        <v>0.34861111111111109</v>
      </c>
      <c r="G10" s="88">
        <v>0.17152777777777778</v>
      </c>
      <c r="H10" s="88">
        <v>0.34652777777777777</v>
      </c>
      <c r="I10" s="88">
        <v>0.1388888888888889</v>
      </c>
      <c r="J10" s="98"/>
      <c r="K10" s="98"/>
      <c r="L10" s="99">
        <v>0.36041666666666666</v>
      </c>
      <c r="M10" s="99">
        <v>0.16597222222222222</v>
      </c>
      <c r="N10" s="88">
        <v>0.34861111111111109</v>
      </c>
      <c r="O10" s="88">
        <v>0.17986111111111111</v>
      </c>
      <c r="P10" s="95"/>
      <c r="Q10" s="95"/>
      <c r="R10" s="91"/>
      <c r="S10" s="91"/>
      <c r="T10" s="88">
        <v>0.34375</v>
      </c>
      <c r="U10" s="88">
        <v>0.15208333333333332</v>
      </c>
      <c r="V10" s="88">
        <v>0.33680555555555558</v>
      </c>
      <c r="W10" s="88">
        <v>0.21319444444444444</v>
      </c>
      <c r="X10" s="88">
        <v>0.33750000000000002</v>
      </c>
      <c r="Y10" s="88">
        <v>0.17986111111111111</v>
      </c>
      <c r="Z10" s="88">
        <v>0.3347222222222222</v>
      </c>
      <c r="AA10" s="88">
        <v>0.17986111111111111</v>
      </c>
      <c r="AB10" s="88">
        <v>0.33958333333333335</v>
      </c>
      <c r="AC10" s="85"/>
      <c r="AD10" s="95"/>
      <c r="AE10" s="95"/>
      <c r="AF10" s="91"/>
      <c r="AG10" s="91"/>
      <c r="AH10" s="96"/>
      <c r="AI10" s="96"/>
      <c r="AJ10" s="88">
        <v>0.34444444444444444</v>
      </c>
      <c r="AK10" s="88">
        <v>0</v>
      </c>
      <c r="AL10" s="85"/>
      <c r="AM10" s="88">
        <v>0.1673611111111111</v>
      </c>
      <c r="AN10" s="88">
        <v>0.35694444444444445</v>
      </c>
      <c r="AO10" s="85"/>
      <c r="AP10" s="88">
        <v>0.34236111111111112</v>
      </c>
      <c r="AQ10" s="88">
        <v>0.14444444444444443</v>
      </c>
      <c r="AR10" s="95"/>
      <c r="AS10" s="95"/>
      <c r="AT10" s="91"/>
      <c r="AU10" s="91"/>
      <c r="AV10" s="85"/>
      <c r="AW10" s="85"/>
      <c r="AX10" s="88">
        <v>0.33750000000000002</v>
      </c>
      <c r="AY10" s="88">
        <v>0.1986111111111111</v>
      </c>
      <c r="AZ10" s="88">
        <v>0.33750000000000002</v>
      </c>
      <c r="BA10" s="88">
        <v>0.19652777777777777</v>
      </c>
      <c r="BB10" s="88">
        <v>0.33819444444444446</v>
      </c>
      <c r="BC10" s="88">
        <v>0</v>
      </c>
      <c r="BD10" s="88">
        <v>0.34305555555555556</v>
      </c>
      <c r="BE10" s="85"/>
      <c r="BF10" s="95"/>
      <c r="BG10" s="95"/>
      <c r="BH10" s="91"/>
      <c r="BI10" s="91"/>
      <c r="BJ10" s="88">
        <v>0.33750000000000002</v>
      </c>
      <c r="BK10" s="88">
        <v>0.18333333333333332</v>
      </c>
      <c r="BL10" s="99">
        <v>0.34791666666666665</v>
      </c>
      <c r="BM10" s="99">
        <v>0.19444444444444445</v>
      </c>
      <c r="BN10" s="85">
        <f>SUM(IF(AND(D10&lt;&gt;"",WEEKDAY(D$1,2)&lt;6),1,0),IF(AND(F10&lt;&gt;"",WEEKDAY(F$1,2)&lt;6),1,0),IF(AND(H10&lt;&gt;"",WEEKDAY(H$1,2)&lt;6),1,0),IF(AND(J10&lt;&gt;"",WEEKDAY(J$1,2)&lt;6),1,0),IF(AND(L10&lt;&gt;"",WEEKDAY(L$1,2)&lt;6),1,0),IF(AND(N10&lt;&gt;"",WEEKDAY(N$1,2)&lt;6),1,0),IF(AND(P10&lt;&gt;"",WEEKDAY(P$1,2)&lt;6),1,0),IF(AND(R10&lt;&gt;"",WEEKDAY(R$1,2)&lt;6),1,0),IF(AND(T10&lt;&gt;"",WEEKDAY(T$1,2)&lt;6),1,0),IF(AND(V10&lt;&gt;"",WEEKDAY(V$1,2)&lt;6),1,0),IF(AND(X10&lt;&gt;"",WEEKDAY(X$1,2)&lt;6),1,0),IF(AND(Z10&lt;&gt;"",WEEKDAY(Z$1,2)&lt;6),1,0),IF(AND(AB10&lt;&gt;"",WEEKDAY(AB$1,2)&lt;6),1,0),IF(AND(AD10&lt;&gt;"",WEEKDAY(AD$1,2)&lt;6),1,0),IF(AND(AF10&lt;&gt;"",WEEKDAY(AF$1,2)&lt;6),1,0),IF(AND(AH10&lt;&gt;"",WEEKDAY(AH$1,2)&lt;6),1,0),IF(AND(AJ10&lt;&gt;"",WEEKDAY(AJ$1,2)&lt;6),1,0),IF(AND(AL10&lt;&gt;"",WEEKDAY(AL$1,2)&lt;6),1,0),IF(AND(AN10&lt;&gt;"",WEEKDAY(AN$1,2)&lt;6),1,0),IF(AND(AP10&lt;&gt;"",WEEKDAY(AP$1,2)&lt;6),1,0),IF(AND(AR10&lt;&gt;"",WEEKDAY(AR$1,2)&lt;6),1,0),IF(AND(AT10&lt;&gt;"",WEEKDAY(AT$1,2)&lt;6),1,0),IF(AND(AV10&lt;&gt;"",WEEKDAY(AV$1,2)&lt;6),1,0),IF(AND(AX10&lt;&gt;"",WEEKDAY(AX$1,2)&lt;6),1,0),IF(AND(AZ10&lt;&gt;"",WEEKDAY(AZ$1,2)&lt;6),1,0),IF(AND(BB10&lt;&gt;"",WEEKDAY(BB$1,2)&lt;6),1,0),IF(AND(BD10&lt;&gt;"",WEEKDAY(BD$1,2)&lt;6),1,0),IF(AND(BF10&lt;&gt;"",WEEKDAY(BF$1,2)&lt;6),1,0),IF(AND(BH10&lt;&gt;"",WEEKDAY(BH$1,2)&lt;6),1,0),IF(AND(BJ10&lt;&gt;"",WEEKDAY(BJ$1,2)&lt;6),1,0),IF(AND(BL10&lt;&gt;"",WEEKDAY(BL$1,2)&lt;6),1,0))</f>
        <v>18</v>
      </c>
      <c r="BO10" s="85">
        <f>SUM(IF(AND(E10&lt;&gt;"",WEEKDAY(D$1,2)&lt;6),1,0),IF(AND(G10&lt;&gt;"",WEEKDAY(F$1,2)&lt;6),1,0),IF(AND(I10&lt;&gt;"",WEEKDAY(H$1,2)&lt;6),1,0),IF(AND(K10&lt;&gt;"",WEEKDAY(J$1,2)&lt;6),1,0),IF(AND(M10&lt;&gt;"",WEEKDAY(L$1,2)&lt;6),1,0),IF(AND(O10&lt;&gt;"",WEEKDAY(N$1,2)&lt;6),1,0),IF(AND(Q10&lt;&gt;"",WEEKDAY(P$1,2)&lt;6),1,0),IF(AND(S10&lt;&gt;"",WEEKDAY(R$1,2)&lt;6),1,0),IF(AND(U10&lt;&gt;"",WEEKDAY(T$1,2)&lt;6),1,0),IF(AND(W10&lt;&gt;"",WEEKDAY(V$1,2)&lt;6),1,0),IF(AND(Y10&lt;&gt;"",WEEKDAY(X$1,2)&lt;6),1,0),IF(AND(AA10&lt;&gt;"",WEEKDAY(Z$1,2)&lt;6),1,0),IF(AND(AC10&lt;&gt;"",WEEKDAY(AB$1,2)&lt;6),1,0),IF(AND(AE10&lt;&gt;"",WEEKDAY(AD$1,2)&lt;6),1,0),IF(AND(AG10&lt;&gt;"",WEEKDAY(AF$1,2)&lt;6),1,0),IF(AND(AI10&lt;&gt;"",WEEKDAY(AH$1,2)&lt;6),1,0),IF(AND(AK10&lt;&gt;"",WEEKDAY(AJ$1,2)&lt;6),1,0),IF(AND(AM10&lt;&gt;"",WEEKDAY(AL$1,2)&lt;6),1,0),IF(AND(AO10&lt;&gt;"",WEEKDAY(AN$1,2)&lt;6),1,0),IF(AND(AQ10&lt;&gt;"",WEEKDAY(AP$1,2)&lt;6),1,0),IF(AND(AS10&lt;&gt;"",WEEKDAY(AR$1,2)&lt;6),1,0),IF(AND(AU10&lt;&gt;"",WEEKDAY(AT$1,2)&lt;6),1,0),IF(AND(AW10&lt;&gt;"",WEEKDAY(AV$1,2)&lt;6),1,0),IF(AND(AY10&lt;&gt;"",WEEKDAY(AX$1,2)&lt;6),1,0),IF(AND(BA10&lt;&gt;"",WEEKDAY(AZ$1,2)&lt;6),1,0),IF(AND(BC10&lt;&gt;"",WEEKDAY(BB$1,2)&lt;6),1,0),IF(AND(BE10&lt;&gt;"",WEEKDAY(BD$1,2)&lt;6),1,0),IF(AND(BG10&lt;&gt;"",WEEKDAY(BF$1,2)&lt;6),1,0),IF(AND(BI10&lt;&gt;"",WEEKDAY(BH$1,2)&lt;6),1,0),IF(AND(BK10&lt;&gt;"",WEEKDAY(BJ$1,2)&lt;6),1,0),IF(AND(BM10&lt;&gt;"",WEEKDAY(BL$1,2)&lt;6),1,0))</f>
        <v>16</v>
      </c>
      <c r="BP10" s="85">
        <f>SUM(IF(AND((D10&lt;&gt;"")+(E10&lt;&gt;""),WEEKDAY(D$1,2)=6),1,0),IF(AND((F10&lt;&gt;"")+(G10&lt;&gt;""),WEEKDAY(F$1,2)=6),1,0),IF(AND((H10&lt;&gt;"")+(I10&lt;&gt;""),WEEKDAY(H$1,2)=6),1,0),IF(AND((J10&lt;&gt;"")+(K10&lt;&gt;""),WEEKDAY(J$1,2)=6),1,0),IF(AND((L10&lt;&gt;"")+(M10&lt;&gt;""),WEEKDAY(L$1,2)=6),1,0),IF(AND((N10&lt;&gt;"")+(O10&lt;&gt;""),WEEKDAY(N$1,2)=6),1,0),IF(AND((P10&lt;&gt;"")+(Q10&lt;&gt;""),WEEKDAY(P$1,2)=6),1,0),IF(AND((R10&lt;&gt;"")+(S10&lt;&gt;""),WEEKDAY(R$1,2)=6),1,0),IF(AND((T10&lt;&gt;"")+(U10&lt;&gt;""),WEEKDAY(T$1,2)=6),1,0),IF(AND((V10&lt;&gt;"")+(W10&lt;&gt;""),WEEKDAY(V$1,2)=6),1,0),IF(AND((X10&lt;&gt;"")+(Y10&lt;&gt;""),WEEKDAY(X$1,2)=6),1,0),IF(AND((Z10&lt;&gt;"")+(AA10&lt;&gt;""),WEEKDAY(Z$1,2)=6),1,0),IF(AND((AB10&lt;&gt;"")+(AC10&lt;&gt;""),WEEKDAY(AB$1,2)=6),1,0),IF(AND((AD10&lt;&gt;"")+(AE10&lt;&gt;""),WEEKDAY(AD$1,2)=6),1,0),IF(AND((AF10&lt;&gt;"")+(AG10&lt;&gt;""),WEEKDAY(AF$1,2)=6),1,0),IF(AND((AH10&lt;&gt;"")+(AI10&lt;&gt;""),WEEKDAY(AH$1,2)=6),1,0),IF(AND((AJ10&lt;&gt;"")+(AK10&lt;&gt;""),WEEKDAY(AJ$1,2)=6),1,0),IF(AND((AL10&lt;&gt;"")+(AM10&lt;&gt;""),WEEKDAY(AL$1,2)=6),1,0),IF(AND((AN10&lt;&gt;"")+(AO10&lt;&gt;""),WEEKDAY(AN$1,2)=6),1,0),IF(AND((AP10&lt;&gt;"")+(AQ10&lt;&gt;""),WEEKDAY(AP$1,2)=6),1,0),IF(AND((AR10&lt;&gt;"")+(AS10&lt;&gt;""),WEEKDAY(AR$1,2)=6),1,0),IF(AND((AT10&lt;&gt;"")+(AU10&lt;&gt;""),WEEKDAY(AT$1,2)=6),1,0),IF(AND((AV10&lt;&gt;"")+(AW10&lt;&gt;""),WEEKDAY(AV$1,2)=6),1,0),IF(AND((AX10&lt;&gt;"")+(AY10&lt;&gt;""),WEEKDAY(AX$1,2)=6),1,0),IF(AND((AZ10&lt;&gt;"")+(BA10&lt;&gt;""),WEEKDAY(AZ$1,2)=6),1,0),IF(AND((BB10&lt;&gt;"")+(BC10&lt;&gt;""),WEEKDAY(BB$1,2)=6),1,0),IF(AND((BD10&lt;&gt;"")+(BE10&lt;&gt;""),WEEKDAY(BD$1,2)=6),1,0),IF(AND((BF10&lt;&gt;"")+(BG10&lt;&gt;""),WEEKDAY(BF$1,2)=6),1,0),IF(AND((BH10&lt;&gt;"")+(BI10&lt;&gt;""),WEEKDAY(BH$1,2)=6),1,0),IF(AND((BJ10&lt;&gt;"")+(BK10&lt;&gt;""),WEEKDAY(BJ$1,2)=6),1,0),IF(AND((BL10&lt;&gt;"")+(BM10&lt;&gt;""),WEEKDAY(BL$1,2)=6),1,0))</f>
        <v>0</v>
      </c>
    </row>
    <row r="11" spans="1:68" ht="16.5">
      <c r="A11" s="86" t="s">
        <v>5</v>
      </c>
      <c r="B11" s="86" t="s">
        <v>15</v>
      </c>
      <c r="C11" s="92" t="s">
        <v>17</v>
      </c>
      <c r="D11" s="91"/>
      <c r="E11" s="91"/>
      <c r="F11" s="85"/>
      <c r="G11" s="85"/>
      <c r="H11" s="85"/>
      <c r="I11" s="85"/>
      <c r="J11" s="99">
        <v>0.36180555555555555</v>
      </c>
      <c r="K11" s="98"/>
      <c r="L11" s="98"/>
      <c r="M11" s="98"/>
      <c r="N11" s="85"/>
      <c r="O11" s="85"/>
      <c r="P11" s="95"/>
      <c r="Q11" s="95"/>
      <c r="R11" s="91"/>
      <c r="S11" s="91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95"/>
      <c r="AE11" s="95"/>
      <c r="AF11" s="91"/>
      <c r="AG11" s="91"/>
      <c r="AH11" s="96"/>
      <c r="AI11" s="96"/>
      <c r="AJ11" s="85"/>
      <c r="AK11" s="85"/>
      <c r="AL11" s="88">
        <v>0.38055555555555554</v>
      </c>
      <c r="AM11" s="85"/>
      <c r="AN11" s="85"/>
      <c r="AO11" s="85"/>
      <c r="AP11" s="85"/>
      <c r="AQ11" s="85"/>
      <c r="AR11" s="95"/>
      <c r="AS11" s="95"/>
      <c r="AT11" s="91"/>
      <c r="AU11" s="91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95"/>
      <c r="BG11" s="95"/>
      <c r="BH11" s="91"/>
      <c r="BI11" s="91"/>
      <c r="BJ11" s="85"/>
      <c r="BK11" s="85"/>
      <c r="BL11" s="98"/>
      <c r="BM11" s="98"/>
      <c r="BN11" s="85">
        <f>SUM(IF(AND(D11&lt;&gt;"",WEEKDAY(D$1,2)&lt;6),1,0),IF(AND(F11&lt;&gt;"",WEEKDAY(F$1,2)&lt;6),1,0),IF(AND(H11&lt;&gt;"",WEEKDAY(H$1,2)&lt;6),1,0),IF(AND(J11&lt;&gt;"",WEEKDAY(J$1,2)&lt;6),1,0),IF(AND(L11&lt;&gt;"",WEEKDAY(L$1,2)&lt;6),1,0),IF(AND(N11&lt;&gt;"",WEEKDAY(N$1,2)&lt;6),1,0),IF(AND(P11&lt;&gt;"",WEEKDAY(P$1,2)&lt;6),1,0),IF(AND(R11&lt;&gt;"",WEEKDAY(R$1,2)&lt;6),1,0),IF(AND(T11&lt;&gt;"",WEEKDAY(T$1,2)&lt;6),1,0),IF(AND(V11&lt;&gt;"",WEEKDAY(V$1,2)&lt;6),1,0),IF(AND(X11&lt;&gt;"",WEEKDAY(X$1,2)&lt;6),1,0),IF(AND(Z11&lt;&gt;"",WEEKDAY(Z$1,2)&lt;6),1,0),IF(AND(AB11&lt;&gt;"",WEEKDAY(AB$1,2)&lt;6),1,0),IF(AND(AD11&lt;&gt;"",WEEKDAY(AD$1,2)&lt;6),1,0),IF(AND(AF11&lt;&gt;"",WEEKDAY(AF$1,2)&lt;6),1,0),IF(AND(AH11&lt;&gt;"",WEEKDAY(AH$1,2)&lt;6),1,0),IF(AND(AJ11&lt;&gt;"",WEEKDAY(AJ$1,2)&lt;6),1,0),IF(AND(AL11&lt;&gt;"",WEEKDAY(AL$1,2)&lt;6),1,0),IF(AND(AN11&lt;&gt;"",WEEKDAY(AN$1,2)&lt;6),1,0),IF(AND(AP11&lt;&gt;"",WEEKDAY(AP$1,2)&lt;6),1,0),IF(AND(AR11&lt;&gt;"",WEEKDAY(AR$1,2)&lt;6),1,0),IF(AND(AT11&lt;&gt;"",WEEKDAY(AT$1,2)&lt;6),1,0),IF(AND(AV11&lt;&gt;"",WEEKDAY(AV$1,2)&lt;6),1,0),IF(AND(AX11&lt;&gt;"",WEEKDAY(AX$1,2)&lt;6),1,0),IF(AND(AZ11&lt;&gt;"",WEEKDAY(AZ$1,2)&lt;6),1,0),IF(AND(BB11&lt;&gt;"",WEEKDAY(BB$1,2)&lt;6),1,0),IF(AND(BD11&lt;&gt;"",WEEKDAY(BD$1,2)&lt;6),1,0),IF(AND(BF11&lt;&gt;"",WEEKDAY(BF$1,2)&lt;6),1,0),IF(AND(BH11&lt;&gt;"",WEEKDAY(BH$1,2)&lt;6),1,0),IF(AND(BJ11&lt;&gt;"",WEEKDAY(BJ$1,2)&lt;6),1,0),IF(AND(BL11&lt;&gt;"",WEEKDAY(BL$1,2)&lt;6),1,0))</f>
        <v>2</v>
      </c>
      <c r="BO11" s="85">
        <f>SUM(IF(AND(E11&lt;&gt;"",WEEKDAY(D$1,2)&lt;6),1,0),IF(AND(G11&lt;&gt;"",WEEKDAY(F$1,2)&lt;6),1,0),IF(AND(I11&lt;&gt;"",WEEKDAY(H$1,2)&lt;6),1,0),IF(AND(K11&lt;&gt;"",WEEKDAY(J$1,2)&lt;6),1,0),IF(AND(M11&lt;&gt;"",WEEKDAY(L$1,2)&lt;6),1,0),IF(AND(O11&lt;&gt;"",WEEKDAY(N$1,2)&lt;6),1,0),IF(AND(Q11&lt;&gt;"",WEEKDAY(P$1,2)&lt;6),1,0),IF(AND(S11&lt;&gt;"",WEEKDAY(R$1,2)&lt;6),1,0),IF(AND(U11&lt;&gt;"",WEEKDAY(T$1,2)&lt;6),1,0),IF(AND(W11&lt;&gt;"",WEEKDAY(V$1,2)&lt;6),1,0),IF(AND(Y11&lt;&gt;"",WEEKDAY(X$1,2)&lt;6),1,0),IF(AND(AA11&lt;&gt;"",WEEKDAY(Z$1,2)&lt;6),1,0),IF(AND(AC11&lt;&gt;"",WEEKDAY(AB$1,2)&lt;6),1,0),IF(AND(AE11&lt;&gt;"",WEEKDAY(AD$1,2)&lt;6),1,0),IF(AND(AG11&lt;&gt;"",WEEKDAY(AF$1,2)&lt;6),1,0),IF(AND(AI11&lt;&gt;"",WEEKDAY(AH$1,2)&lt;6),1,0),IF(AND(AK11&lt;&gt;"",WEEKDAY(AJ$1,2)&lt;6),1,0),IF(AND(AM11&lt;&gt;"",WEEKDAY(AL$1,2)&lt;6),1,0),IF(AND(AO11&lt;&gt;"",WEEKDAY(AN$1,2)&lt;6),1,0),IF(AND(AQ11&lt;&gt;"",WEEKDAY(AP$1,2)&lt;6),1,0),IF(AND(AS11&lt;&gt;"",WEEKDAY(AR$1,2)&lt;6),1,0),IF(AND(AU11&lt;&gt;"",WEEKDAY(AT$1,2)&lt;6),1,0),IF(AND(AW11&lt;&gt;"",WEEKDAY(AV$1,2)&lt;6),1,0),IF(AND(AY11&lt;&gt;"",WEEKDAY(AX$1,2)&lt;6),1,0),IF(AND(BA11&lt;&gt;"",WEEKDAY(AZ$1,2)&lt;6),1,0),IF(AND(BC11&lt;&gt;"",WEEKDAY(BB$1,2)&lt;6),1,0),IF(AND(BE11&lt;&gt;"",WEEKDAY(BD$1,2)&lt;6),1,0),IF(AND(BG11&lt;&gt;"",WEEKDAY(BF$1,2)&lt;6),1,0),IF(AND(BI11&lt;&gt;"",WEEKDAY(BH$1,2)&lt;6),1,0),IF(AND(BK11&lt;&gt;"",WEEKDAY(BJ$1,2)&lt;6),1,0),IF(AND(BM11&lt;&gt;"",WEEKDAY(BL$1,2)&lt;6),1,0))</f>
        <v>0</v>
      </c>
      <c r="BP11" s="85">
        <f>SUM(IF(AND((D11&lt;&gt;"")+(E11&lt;&gt;""),WEEKDAY(D$1,2)=6),1,0),IF(AND((F11&lt;&gt;"")+(G11&lt;&gt;""),WEEKDAY(F$1,2)=6),1,0),IF(AND((H11&lt;&gt;"")+(I11&lt;&gt;""),WEEKDAY(H$1,2)=6),1,0),IF(AND((J11&lt;&gt;"")+(K11&lt;&gt;""),WEEKDAY(J$1,2)=6),1,0),IF(AND((L11&lt;&gt;"")+(M11&lt;&gt;""),WEEKDAY(L$1,2)=6),1,0),IF(AND((N11&lt;&gt;"")+(O11&lt;&gt;""),WEEKDAY(N$1,2)=6),1,0),IF(AND((P11&lt;&gt;"")+(Q11&lt;&gt;""),WEEKDAY(P$1,2)=6),1,0),IF(AND((R11&lt;&gt;"")+(S11&lt;&gt;""),WEEKDAY(R$1,2)=6),1,0),IF(AND((T11&lt;&gt;"")+(U11&lt;&gt;""),WEEKDAY(T$1,2)=6),1,0),IF(AND((V11&lt;&gt;"")+(W11&lt;&gt;""),WEEKDAY(V$1,2)=6),1,0),IF(AND((X11&lt;&gt;"")+(Y11&lt;&gt;""),WEEKDAY(X$1,2)=6),1,0),IF(AND((Z11&lt;&gt;"")+(AA11&lt;&gt;""),WEEKDAY(Z$1,2)=6),1,0),IF(AND((AB11&lt;&gt;"")+(AC11&lt;&gt;""),WEEKDAY(AB$1,2)=6),1,0),IF(AND((AD11&lt;&gt;"")+(AE11&lt;&gt;""),WEEKDAY(AD$1,2)=6),1,0),IF(AND((AF11&lt;&gt;"")+(AG11&lt;&gt;""),WEEKDAY(AF$1,2)=6),1,0),IF(AND((AH11&lt;&gt;"")+(AI11&lt;&gt;""),WEEKDAY(AH$1,2)=6),1,0),IF(AND((AJ11&lt;&gt;"")+(AK11&lt;&gt;""),WEEKDAY(AJ$1,2)=6),1,0),IF(AND((AL11&lt;&gt;"")+(AM11&lt;&gt;""),WEEKDAY(AL$1,2)=6),1,0),IF(AND((AN11&lt;&gt;"")+(AO11&lt;&gt;""),WEEKDAY(AN$1,2)=6),1,0),IF(AND((AP11&lt;&gt;"")+(AQ11&lt;&gt;""),WEEKDAY(AP$1,2)=6),1,0),IF(AND((AR11&lt;&gt;"")+(AS11&lt;&gt;""),WEEKDAY(AR$1,2)=6),1,0),IF(AND((AT11&lt;&gt;"")+(AU11&lt;&gt;""),WEEKDAY(AT$1,2)=6),1,0),IF(AND((AV11&lt;&gt;"")+(AW11&lt;&gt;""),WEEKDAY(AV$1,2)=6),1,0),IF(AND((AX11&lt;&gt;"")+(AY11&lt;&gt;""),WEEKDAY(AX$1,2)=6),1,0),IF(AND((AZ11&lt;&gt;"")+(BA11&lt;&gt;""),WEEKDAY(AZ$1,2)=6),1,0),IF(AND((BB11&lt;&gt;"")+(BC11&lt;&gt;""),WEEKDAY(BB$1,2)=6),1,0),IF(AND((BD11&lt;&gt;"")+(BE11&lt;&gt;""),WEEKDAY(BD$1,2)=6),1,0),IF(AND((BF11&lt;&gt;"")+(BG11&lt;&gt;""),WEEKDAY(BF$1,2)=6),1,0),IF(AND((BH11&lt;&gt;"")+(BI11&lt;&gt;""),WEEKDAY(BH$1,2)=6),1,0),IF(AND((BJ11&lt;&gt;"")+(BK11&lt;&gt;""),WEEKDAY(BJ$1,2)=6),1,0),IF(AND((BL11&lt;&gt;"")+(BM11&lt;&gt;""),WEEKDAY(BL$1,2)=6),1,0))</f>
        <v>0</v>
      </c>
    </row>
    <row r="12" spans="1:68" ht="16.5">
      <c r="A12" s="86" t="s">
        <v>5</v>
      </c>
      <c r="B12" s="86" t="s">
        <v>15</v>
      </c>
      <c r="C12" s="92" t="s">
        <v>18</v>
      </c>
      <c r="D12" s="91"/>
      <c r="E12" s="91"/>
      <c r="F12" s="85"/>
      <c r="G12" s="85"/>
      <c r="H12" s="85"/>
      <c r="I12" s="85"/>
      <c r="J12" s="98"/>
      <c r="K12" s="98"/>
      <c r="L12" s="98"/>
      <c r="M12" s="98"/>
      <c r="N12" s="85"/>
      <c r="O12" s="85"/>
      <c r="P12" s="95"/>
      <c r="Q12" s="95"/>
      <c r="R12" s="91"/>
      <c r="S12" s="91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95"/>
      <c r="AE12" s="95"/>
      <c r="AF12" s="91"/>
      <c r="AG12" s="91"/>
      <c r="AH12" s="96"/>
      <c r="AI12" s="96"/>
      <c r="AJ12" s="85"/>
      <c r="AK12" s="85"/>
      <c r="AL12" s="85"/>
      <c r="AM12" s="85"/>
      <c r="AN12" s="85"/>
      <c r="AO12" s="85"/>
      <c r="AP12" s="85"/>
      <c r="AQ12" s="85"/>
      <c r="AR12" s="95"/>
      <c r="AS12" s="95"/>
      <c r="AT12" s="91"/>
      <c r="AU12" s="91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95"/>
      <c r="BG12" s="95"/>
      <c r="BH12" s="91"/>
      <c r="BI12" s="91"/>
      <c r="BJ12" s="85"/>
      <c r="BK12" s="85"/>
      <c r="BL12" s="98"/>
      <c r="BM12" s="98"/>
      <c r="BN12" s="85">
        <f>SUM(IF(AND(D12&lt;&gt;"",WEEKDAY(D$1,2)&lt;6),1,0),IF(AND(F12&lt;&gt;"",WEEKDAY(F$1,2)&lt;6),1,0),IF(AND(H12&lt;&gt;"",WEEKDAY(H$1,2)&lt;6),1,0),IF(AND(J12&lt;&gt;"",WEEKDAY(J$1,2)&lt;6),1,0),IF(AND(L12&lt;&gt;"",WEEKDAY(L$1,2)&lt;6),1,0),IF(AND(N12&lt;&gt;"",WEEKDAY(N$1,2)&lt;6),1,0),IF(AND(P12&lt;&gt;"",WEEKDAY(P$1,2)&lt;6),1,0),IF(AND(R12&lt;&gt;"",WEEKDAY(R$1,2)&lt;6),1,0),IF(AND(T12&lt;&gt;"",WEEKDAY(T$1,2)&lt;6),1,0),IF(AND(V12&lt;&gt;"",WEEKDAY(V$1,2)&lt;6),1,0),IF(AND(X12&lt;&gt;"",WEEKDAY(X$1,2)&lt;6),1,0),IF(AND(Z12&lt;&gt;"",WEEKDAY(Z$1,2)&lt;6),1,0),IF(AND(AB12&lt;&gt;"",WEEKDAY(AB$1,2)&lt;6),1,0),IF(AND(AD12&lt;&gt;"",WEEKDAY(AD$1,2)&lt;6),1,0),IF(AND(AF12&lt;&gt;"",WEEKDAY(AF$1,2)&lt;6),1,0),IF(AND(AH12&lt;&gt;"",WEEKDAY(AH$1,2)&lt;6),1,0),IF(AND(AJ12&lt;&gt;"",WEEKDAY(AJ$1,2)&lt;6),1,0),IF(AND(AL12&lt;&gt;"",WEEKDAY(AL$1,2)&lt;6),1,0),IF(AND(AN12&lt;&gt;"",WEEKDAY(AN$1,2)&lt;6),1,0),IF(AND(AP12&lt;&gt;"",WEEKDAY(AP$1,2)&lt;6),1,0),IF(AND(AR12&lt;&gt;"",WEEKDAY(AR$1,2)&lt;6),1,0),IF(AND(AT12&lt;&gt;"",WEEKDAY(AT$1,2)&lt;6),1,0),IF(AND(AV12&lt;&gt;"",WEEKDAY(AV$1,2)&lt;6),1,0),IF(AND(AX12&lt;&gt;"",WEEKDAY(AX$1,2)&lt;6),1,0),IF(AND(AZ12&lt;&gt;"",WEEKDAY(AZ$1,2)&lt;6),1,0),IF(AND(BB12&lt;&gt;"",WEEKDAY(BB$1,2)&lt;6),1,0),IF(AND(BD12&lt;&gt;"",WEEKDAY(BD$1,2)&lt;6),1,0),IF(AND(BF12&lt;&gt;"",WEEKDAY(BF$1,2)&lt;6),1,0),IF(AND(BH12&lt;&gt;"",WEEKDAY(BH$1,2)&lt;6),1,0),IF(AND(BJ12&lt;&gt;"",WEEKDAY(BJ$1,2)&lt;6),1,0),IF(AND(BL12&lt;&gt;"",WEEKDAY(BL$1,2)&lt;6),1,0))</f>
        <v>0</v>
      </c>
      <c r="BO12" s="85">
        <f>SUM(IF(AND(E12&lt;&gt;"",WEEKDAY(D$1,2)&lt;6),1,0),IF(AND(G12&lt;&gt;"",WEEKDAY(F$1,2)&lt;6),1,0),IF(AND(I12&lt;&gt;"",WEEKDAY(H$1,2)&lt;6),1,0),IF(AND(K12&lt;&gt;"",WEEKDAY(J$1,2)&lt;6),1,0),IF(AND(M12&lt;&gt;"",WEEKDAY(L$1,2)&lt;6),1,0),IF(AND(O12&lt;&gt;"",WEEKDAY(N$1,2)&lt;6),1,0),IF(AND(Q12&lt;&gt;"",WEEKDAY(P$1,2)&lt;6),1,0),IF(AND(S12&lt;&gt;"",WEEKDAY(R$1,2)&lt;6),1,0),IF(AND(U12&lt;&gt;"",WEEKDAY(T$1,2)&lt;6),1,0),IF(AND(W12&lt;&gt;"",WEEKDAY(V$1,2)&lt;6),1,0),IF(AND(Y12&lt;&gt;"",WEEKDAY(X$1,2)&lt;6),1,0),IF(AND(AA12&lt;&gt;"",WEEKDAY(Z$1,2)&lt;6),1,0),IF(AND(AC12&lt;&gt;"",WEEKDAY(AB$1,2)&lt;6),1,0),IF(AND(AE12&lt;&gt;"",WEEKDAY(AD$1,2)&lt;6),1,0),IF(AND(AG12&lt;&gt;"",WEEKDAY(AF$1,2)&lt;6),1,0),IF(AND(AI12&lt;&gt;"",WEEKDAY(AH$1,2)&lt;6),1,0),IF(AND(AK12&lt;&gt;"",WEEKDAY(AJ$1,2)&lt;6),1,0),IF(AND(AM12&lt;&gt;"",WEEKDAY(AL$1,2)&lt;6),1,0),IF(AND(AO12&lt;&gt;"",WEEKDAY(AN$1,2)&lt;6),1,0),IF(AND(AQ12&lt;&gt;"",WEEKDAY(AP$1,2)&lt;6),1,0),IF(AND(AS12&lt;&gt;"",WEEKDAY(AR$1,2)&lt;6),1,0),IF(AND(AU12&lt;&gt;"",WEEKDAY(AT$1,2)&lt;6),1,0),IF(AND(AW12&lt;&gt;"",WEEKDAY(AV$1,2)&lt;6),1,0),IF(AND(AY12&lt;&gt;"",WEEKDAY(AX$1,2)&lt;6),1,0),IF(AND(BA12&lt;&gt;"",WEEKDAY(AZ$1,2)&lt;6),1,0),IF(AND(BC12&lt;&gt;"",WEEKDAY(BB$1,2)&lt;6),1,0),IF(AND(BE12&lt;&gt;"",WEEKDAY(BD$1,2)&lt;6),1,0),IF(AND(BG12&lt;&gt;"",WEEKDAY(BF$1,2)&lt;6),1,0),IF(AND(BI12&lt;&gt;"",WEEKDAY(BH$1,2)&lt;6),1,0),IF(AND(BK12&lt;&gt;"",WEEKDAY(BJ$1,2)&lt;6),1,0),IF(AND(BM12&lt;&gt;"",WEEKDAY(BL$1,2)&lt;6),1,0))</f>
        <v>0</v>
      </c>
      <c r="BP12" s="85">
        <f>SUM(IF(AND((D12&lt;&gt;"")+(E12&lt;&gt;""),WEEKDAY(D$1,2)=6),1,0),IF(AND((F12&lt;&gt;"")+(G12&lt;&gt;""),WEEKDAY(F$1,2)=6),1,0),IF(AND((H12&lt;&gt;"")+(I12&lt;&gt;""),WEEKDAY(H$1,2)=6),1,0),IF(AND((J12&lt;&gt;"")+(K12&lt;&gt;""),WEEKDAY(J$1,2)=6),1,0),IF(AND((L12&lt;&gt;"")+(M12&lt;&gt;""),WEEKDAY(L$1,2)=6),1,0),IF(AND((N12&lt;&gt;"")+(O12&lt;&gt;""),WEEKDAY(N$1,2)=6),1,0),IF(AND((P12&lt;&gt;"")+(Q12&lt;&gt;""),WEEKDAY(P$1,2)=6),1,0),IF(AND((R12&lt;&gt;"")+(S12&lt;&gt;""),WEEKDAY(R$1,2)=6),1,0),IF(AND((T12&lt;&gt;"")+(U12&lt;&gt;""),WEEKDAY(T$1,2)=6),1,0),IF(AND((V12&lt;&gt;"")+(W12&lt;&gt;""),WEEKDAY(V$1,2)=6),1,0),IF(AND((X12&lt;&gt;"")+(Y12&lt;&gt;""),WEEKDAY(X$1,2)=6),1,0),IF(AND((Z12&lt;&gt;"")+(AA12&lt;&gt;""),WEEKDAY(Z$1,2)=6),1,0),IF(AND((AB12&lt;&gt;"")+(AC12&lt;&gt;""),WEEKDAY(AB$1,2)=6),1,0),IF(AND((AD12&lt;&gt;"")+(AE12&lt;&gt;""),WEEKDAY(AD$1,2)=6),1,0),IF(AND((AF12&lt;&gt;"")+(AG12&lt;&gt;""),WEEKDAY(AF$1,2)=6),1,0),IF(AND((AH12&lt;&gt;"")+(AI12&lt;&gt;""),WEEKDAY(AH$1,2)=6),1,0),IF(AND((AJ12&lt;&gt;"")+(AK12&lt;&gt;""),WEEKDAY(AJ$1,2)=6),1,0),IF(AND((AL12&lt;&gt;"")+(AM12&lt;&gt;""),WEEKDAY(AL$1,2)=6),1,0),IF(AND((AN12&lt;&gt;"")+(AO12&lt;&gt;""),WEEKDAY(AN$1,2)=6),1,0),IF(AND((AP12&lt;&gt;"")+(AQ12&lt;&gt;""),WEEKDAY(AP$1,2)=6),1,0),IF(AND((AR12&lt;&gt;"")+(AS12&lt;&gt;""),WEEKDAY(AR$1,2)=6),1,0),IF(AND((AT12&lt;&gt;"")+(AU12&lt;&gt;""),WEEKDAY(AT$1,2)=6),1,0),IF(AND((AV12&lt;&gt;"")+(AW12&lt;&gt;""),WEEKDAY(AV$1,2)=6),1,0),IF(AND((AX12&lt;&gt;"")+(AY12&lt;&gt;""),WEEKDAY(AX$1,2)=6),1,0),IF(AND((AZ12&lt;&gt;"")+(BA12&lt;&gt;""),WEEKDAY(AZ$1,2)=6),1,0),IF(AND((BB12&lt;&gt;"")+(BC12&lt;&gt;""),WEEKDAY(BB$1,2)=6),1,0),IF(AND((BD12&lt;&gt;"")+(BE12&lt;&gt;""),WEEKDAY(BD$1,2)=6),1,0),IF(AND((BF12&lt;&gt;"")+(BG12&lt;&gt;""),WEEKDAY(BF$1,2)=6),1,0),IF(AND((BH12&lt;&gt;"")+(BI12&lt;&gt;""),WEEKDAY(BH$1,2)=6),1,0),IF(AND((BJ12&lt;&gt;"")+(BK12&lt;&gt;""),WEEKDAY(BJ$1,2)=6),1,0),IF(AND((BL12&lt;&gt;"")+(BM12&lt;&gt;""),WEEKDAY(BL$1,2)=6),1,0))</f>
        <v>0</v>
      </c>
    </row>
    <row r="13" spans="1:68" ht="16.5">
      <c r="A13" s="86" t="s">
        <v>5</v>
      </c>
      <c r="B13" s="86" t="s">
        <v>15</v>
      </c>
      <c r="C13" s="92" t="s">
        <v>19</v>
      </c>
      <c r="D13" s="91"/>
      <c r="E13" s="91"/>
      <c r="F13" s="85"/>
      <c r="G13" s="85"/>
      <c r="H13" s="85"/>
      <c r="I13" s="85"/>
      <c r="J13" s="98"/>
      <c r="K13" s="98"/>
      <c r="L13" s="98"/>
      <c r="M13" s="98"/>
      <c r="N13" s="85"/>
      <c r="O13" s="85"/>
      <c r="P13" s="95"/>
      <c r="Q13" s="95"/>
      <c r="R13" s="91"/>
      <c r="S13" s="91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95"/>
      <c r="AE13" s="95"/>
      <c r="AF13" s="91"/>
      <c r="AG13" s="91"/>
      <c r="AH13" s="96"/>
      <c r="AI13" s="96"/>
      <c r="AJ13" s="85"/>
      <c r="AK13" s="85"/>
      <c r="AL13" s="85"/>
      <c r="AM13" s="85"/>
      <c r="AN13" s="85"/>
      <c r="AO13" s="85"/>
      <c r="AP13" s="85"/>
      <c r="AQ13" s="85"/>
      <c r="AR13" s="95"/>
      <c r="AS13" s="95"/>
      <c r="AT13" s="91"/>
      <c r="AU13" s="91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95"/>
      <c r="BG13" s="95"/>
      <c r="BH13" s="91"/>
      <c r="BI13" s="91"/>
      <c r="BJ13" s="85"/>
      <c r="BK13" s="85"/>
      <c r="BL13" s="98"/>
      <c r="BM13" s="98"/>
      <c r="BN13" s="85">
        <f>SUM(IF(AND(D13&lt;&gt;"",WEEKDAY(D$1,2)&lt;6),1,0),IF(AND(F13&lt;&gt;"",WEEKDAY(F$1,2)&lt;6),1,0),IF(AND(H13&lt;&gt;"",WEEKDAY(H$1,2)&lt;6),1,0),IF(AND(J13&lt;&gt;"",WEEKDAY(J$1,2)&lt;6),1,0),IF(AND(L13&lt;&gt;"",WEEKDAY(L$1,2)&lt;6),1,0),IF(AND(N13&lt;&gt;"",WEEKDAY(N$1,2)&lt;6),1,0),IF(AND(P13&lt;&gt;"",WEEKDAY(P$1,2)&lt;6),1,0),IF(AND(R13&lt;&gt;"",WEEKDAY(R$1,2)&lt;6),1,0),IF(AND(T13&lt;&gt;"",WEEKDAY(T$1,2)&lt;6),1,0),IF(AND(V13&lt;&gt;"",WEEKDAY(V$1,2)&lt;6),1,0),IF(AND(X13&lt;&gt;"",WEEKDAY(X$1,2)&lt;6),1,0),IF(AND(Z13&lt;&gt;"",WEEKDAY(Z$1,2)&lt;6),1,0),IF(AND(AB13&lt;&gt;"",WEEKDAY(AB$1,2)&lt;6),1,0),IF(AND(AD13&lt;&gt;"",WEEKDAY(AD$1,2)&lt;6),1,0),IF(AND(AF13&lt;&gt;"",WEEKDAY(AF$1,2)&lt;6),1,0),IF(AND(AH13&lt;&gt;"",WEEKDAY(AH$1,2)&lt;6),1,0),IF(AND(AJ13&lt;&gt;"",WEEKDAY(AJ$1,2)&lt;6),1,0),IF(AND(AL13&lt;&gt;"",WEEKDAY(AL$1,2)&lt;6),1,0),IF(AND(AN13&lt;&gt;"",WEEKDAY(AN$1,2)&lt;6),1,0),IF(AND(AP13&lt;&gt;"",WEEKDAY(AP$1,2)&lt;6),1,0),IF(AND(AR13&lt;&gt;"",WEEKDAY(AR$1,2)&lt;6),1,0),IF(AND(AT13&lt;&gt;"",WEEKDAY(AT$1,2)&lt;6),1,0),IF(AND(AV13&lt;&gt;"",WEEKDAY(AV$1,2)&lt;6),1,0),IF(AND(AX13&lt;&gt;"",WEEKDAY(AX$1,2)&lt;6),1,0),IF(AND(AZ13&lt;&gt;"",WEEKDAY(AZ$1,2)&lt;6),1,0),IF(AND(BB13&lt;&gt;"",WEEKDAY(BB$1,2)&lt;6),1,0),IF(AND(BD13&lt;&gt;"",WEEKDAY(BD$1,2)&lt;6),1,0),IF(AND(BF13&lt;&gt;"",WEEKDAY(BF$1,2)&lt;6),1,0),IF(AND(BH13&lt;&gt;"",WEEKDAY(BH$1,2)&lt;6),1,0),IF(AND(BJ13&lt;&gt;"",WEEKDAY(BJ$1,2)&lt;6),1,0),IF(AND(BL13&lt;&gt;"",WEEKDAY(BL$1,2)&lt;6),1,0))</f>
        <v>0</v>
      </c>
      <c r="BO13" s="85">
        <f>SUM(IF(AND(E13&lt;&gt;"",WEEKDAY(D$1,2)&lt;6),1,0),IF(AND(G13&lt;&gt;"",WEEKDAY(F$1,2)&lt;6),1,0),IF(AND(I13&lt;&gt;"",WEEKDAY(H$1,2)&lt;6),1,0),IF(AND(K13&lt;&gt;"",WEEKDAY(J$1,2)&lt;6),1,0),IF(AND(M13&lt;&gt;"",WEEKDAY(L$1,2)&lt;6),1,0),IF(AND(O13&lt;&gt;"",WEEKDAY(N$1,2)&lt;6),1,0),IF(AND(Q13&lt;&gt;"",WEEKDAY(P$1,2)&lt;6),1,0),IF(AND(S13&lt;&gt;"",WEEKDAY(R$1,2)&lt;6),1,0),IF(AND(U13&lt;&gt;"",WEEKDAY(T$1,2)&lt;6),1,0),IF(AND(W13&lt;&gt;"",WEEKDAY(V$1,2)&lt;6),1,0),IF(AND(Y13&lt;&gt;"",WEEKDAY(X$1,2)&lt;6),1,0),IF(AND(AA13&lt;&gt;"",WEEKDAY(Z$1,2)&lt;6),1,0),IF(AND(AC13&lt;&gt;"",WEEKDAY(AB$1,2)&lt;6),1,0),IF(AND(AE13&lt;&gt;"",WEEKDAY(AD$1,2)&lt;6),1,0),IF(AND(AG13&lt;&gt;"",WEEKDAY(AF$1,2)&lt;6),1,0),IF(AND(AI13&lt;&gt;"",WEEKDAY(AH$1,2)&lt;6),1,0),IF(AND(AK13&lt;&gt;"",WEEKDAY(AJ$1,2)&lt;6),1,0),IF(AND(AM13&lt;&gt;"",WEEKDAY(AL$1,2)&lt;6),1,0),IF(AND(AO13&lt;&gt;"",WEEKDAY(AN$1,2)&lt;6),1,0),IF(AND(AQ13&lt;&gt;"",WEEKDAY(AP$1,2)&lt;6),1,0),IF(AND(AS13&lt;&gt;"",WEEKDAY(AR$1,2)&lt;6),1,0),IF(AND(AU13&lt;&gt;"",WEEKDAY(AT$1,2)&lt;6),1,0),IF(AND(AW13&lt;&gt;"",WEEKDAY(AV$1,2)&lt;6),1,0),IF(AND(AY13&lt;&gt;"",WEEKDAY(AX$1,2)&lt;6),1,0),IF(AND(BA13&lt;&gt;"",WEEKDAY(AZ$1,2)&lt;6),1,0),IF(AND(BC13&lt;&gt;"",WEEKDAY(BB$1,2)&lt;6),1,0),IF(AND(BE13&lt;&gt;"",WEEKDAY(BD$1,2)&lt;6),1,0),IF(AND(BG13&lt;&gt;"",WEEKDAY(BF$1,2)&lt;6),1,0),IF(AND(BI13&lt;&gt;"",WEEKDAY(BH$1,2)&lt;6),1,0),IF(AND(BK13&lt;&gt;"",WEEKDAY(BJ$1,2)&lt;6),1,0),IF(AND(BM13&lt;&gt;"",WEEKDAY(BL$1,2)&lt;6),1,0))</f>
        <v>0</v>
      </c>
      <c r="BP13" s="85">
        <f>SUM(IF(AND((D13&lt;&gt;"")+(E13&lt;&gt;""),WEEKDAY(D$1,2)=6),1,0),IF(AND((F13&lt;&gt;"")+(G13&lt;&gt;""),WEEKDAY(F$1,2)=6),1,0),IF(AND((H13&lt;&gt;"")+(I13&lt;&gt;""),WEEKDAY(H$1,2)=6),1,0),IF(AND((J13&lt;&gt;"")+(K13&lt;&gt;""),WEEKDAY(J$1,2)=6),1,0),IF(AND((L13&lt;&gt;"")+(M13&lt;&gt;""),WEEKDAY(L$1,2)=6),1,0),IF(AND((N13&lt;&gt;"")+(O13&lt;&gt;""),WEEKDAY(N$1,2)=6),1,0),IF(AND((P13&lt;&gt;"")+(Q13&lt;&gt;""),WEEKDAY(P$1,2)=6),1,0),IF(AND((R13&lt;&gt;"")+(S13&lt;&gt;""),WEEKDAY(R$1,2)=6),1,0),IF(AND((T13&lt;&gt;"")+(U13&lt;&gt;""),WEEKDAY(T$1,2)=6),1,0),IF(AND((V13&lt;&gt;"")+(W13&lt;&gt;""),WEEKDAY(V$1,2)=6),1,0),IF(AND((X13&lt;&gt;"")+(Y13&lt;&gt;""),WEEKDAY(X$1,2)=6),1,0),IF(AND((Z13&lt;&gt;"")+(AA13&lt;&gt;""),WEEKDAY(Z$1,2)=6),1,0),IF(AND((AB13&lt;&gt;"")+(AC13&lt;&gt;""),WEEKDAY(AB$1,2)=6),1,0),IF(AND((AD13&lt;&gt;"")+(AE13&lt;&gt;""),WEEKDAY(AD$1,2)=6),1,0),IF(AND((AF13&lt;&gt;"")+(AG13&lt;&gt;""),WEEKDAY(AF$1,2)=6),1,0),IF(AND((AH13&lt;&gt;"")+(AI13&lt;&gt;""),WEEKDAY(AH$1,2)=6),1,0),IF(AND((AJ13&lt;&gt;"")+(AK13&lt;&gt;""),WEEKDAY(AJ$1,2)=6),1,0),IF(AND((AL13&lt;&gt;"")+(AM13&lt;&gt;""),WEEKDAY(AL$1,2)=6),1,0),IF(AND((AN13&lt;&gt;"")+(AO13&lt;&gt;""),WEEKDAY(AN$1,2)=6),1,0),IF(AND((AP13&lt;&gt;"")+(AQ13&lt;&gt;""),WEEKDAY(AP$1,2)=6),1,0),IF(AND((AR13&lt;&gt;"")+(AS13&lt;&gt;""),WEEKDAY(AR$1,2)=6),1,0),IF(AND((AT13&lt;&gt;"")+(AU13&lt;&gt;""),WEEKDAY(AT$1,2)=6),1,0),IF(AND((AV13&lt;&gt;"")+(AW13&lt;&gt;""),WEEKDAY(AV$1,2)=6),1,0),IF(AND((AX13&lt;&gt;"")+(AY13&lt;&gt;""),WEEKDAY(AX$1,2)=6),1,0),IF(AND((AZ13&lt;&gt;"")+(BA13&lt;&gt;""),WEEKDAY(AZ$1,2)=6),1,0),IF(AND((BB13&lt;&gt;"")+(BC13&lt;&gt;""),WEEKDAY(BB$1,2)=6),1,0),IF(AND((BD13&lt;&gt;"")+(BE13&lt;&gt;""),WEEKDAY(BD$1,2)=6),1,0),IF(AND((BF13&lt;&gt;"")+(BG13&lt;&gt;""),WEEKDAY(BF$1,2)=6),1,0),IF(AND((BH13&lt;&gt;"")+(BI13&lt;&gt;""),WEEKDAY(BH$1,2)=6),1,0),IF(AND((BJ13&lt;&gt;"")+(BK13&lt;&gt;""),WEEKDAY(BJ$1,2)=6),1,0),IF(AND((BL13&lt;&gt;"")+(BM13&lt;&gt;""),WEEKDAY(BL$1,2)=6),1,0))</f>
        <v>0</v>
      </c>
    </row>
    <row r="14" spans="1:68" ht="16.5">
      <c r="A14" s="86" t="s">
        <v>5</v>
      </c>
      <c r="B14" s="86" t="s">
        <v>15</v>
      </c>
      <c r="C14" s="92" t="s">
        <v>20</v>
      </c>
      <c r="D14" s="91"/>
      <c r="E14" s="91"/>
      <c r="F14" s="85"/>
      <c r="G14" s="85"/>
      <c r="H14" s="85"/>
      <c r="I14" s="85"/>
      <c r="J14" s="98"/>
      <c r="K14" s="98"/>
      <c r="L14" s="98"/>
      <c r="M14" s="98"/>
      <c r="N14" s="85"/>
      <c r="O14" s="85"/>
      <c r="P14" s="95"/>
      <c r="Q14" s="95"/>
      <c r="R14" s="91"/>
      <c r="S14" s="91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95"/>
      <c r="AE14" s="95"/>
      <c r="AF14" s="91"/>
      <c r="AG14" s="91"/>
      <c r="AH14" s="96"/>
      <c r="AI14" s="96"/>
      <c r="AJ14" s="85"/>
      <c r="AK14" s="85"/>
      <c r="AL14" s="85"/>
      <c r="AM14" s="85"/>
      <c r="AN14" s="85"/>
      <c r="AO14" s="85"/>
      <c r="AP14" s="85"/>
      <c r="AQ14" s="85"/>
      <c r="AR14" s="95"/>
      <c r="AS14" s="95"/>
      <c r="AT14" s="91"/>
      <c r="AU14" s="91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95"/>
      <c r="BG14" s="95"/>
      <c r="BH14" s="91"/>
      <c r="BI14" s="91"/>
      <c r="BJ14" s="85"/>
      <c r="BK14" s="85"/>
      <c r="BL14" s="98"/>
      <c r="BM14" s="98"/>
      <c r="BN14" s="85">
        <f>SUM(IF(AND(D14&lt;&gt;"",WEEKDAY(D$1,2)&lt;6),1,0),IF(AND(F14&lt;&gt;"",WEEKDAY(F$1,2)&lt;6),1,0),IF(AND(H14&lt;&gt;"",WEEKDAY(H$1,2)&lt;6),1,0),IF(AND(J14&lt;&gt;"",WEEKDAY(J$1,2)&lt;6),1,0),IF(AND(L14&lt;&gt;"",WEEKDAY(L$1,2)&lt;6),1,0),IF(AND(N14&lt;&gt;"",WEEKDAY(N$1,2)&lt;6),1,0),IF(AND(P14&lt;&gt;"",WEEKDAY(P$1,2)&lt;6),1,0),IF(AND(R14&lt;&gt;"",WEEKDAY(R$1,2)&lt;6),1,0),IF(AND(T14&lt;&gt;"",WEEKDAY(T$1,2)&lt;6),1,0),IF(AND(V14&lt;&gt;"",WEEKDAY(V$1,2)&lt;6),1,0),IF(AND(X14&lt;&gt;"",WEEKDAY(X$1,2)&lt;6),1,0),IF(AND(Z14&lt;&gt;"",WEEKDAY(Z$1,2)&lt;6),1,0),IF(AND(AB14&lt;&gt;"",WEEKDAY(AB$1,2)&lt;6),1,0),IF(AND(AD14&lt;&gt;"",WEEKDAY(AD$1,2)&lt;6),1,0),IF(AND(AF14&lt;&gt;"",WEEKDAY(AF$1,2)&lt;6),1,0),IF(AND(AH14&lt;&gt;"",WEEKDAY(AH$1,2)&lt;6),1,0),IF(AND(AJ14&lt;&gt;"",WEEKDAY(AJ$1,2)&lt;6),1,0),IF(AND(AL14&lt;&gt;"",WEEKDAY(AL$1,2)&lt;6),1,0),IF(AND(AN14&lt;&gt;"",WEEKDAY(AN$1,2)&lt;6),1,0),IF(AND(AP14&lt;&gt;"",WEEKDAY(AP$1,2)&lt;6),1,0),IF(AND(AR14&lt;&gt;"",WEEKDAY(AR$1,2)&lt;6),1,0),IF(AND(AT14&lt;&gt;"",WEEKDAY(AT$1,2)&lt;6),1,0),IF(AND(AV14&lt;&gt;"",WEEKDAY(AV$1,2)&lt;6),1,0),IF(AND(AX14&lt;&gt;"",WEEKDAY(AX$1,2)&lt;6),1,0),IF(AND(AZ14&lt;&gt;"",WEEKDAY(AZ$1,2)&lt;6),1,0),IF(AND(BB14&lt;&gt;"",WEEKDAY(BB$1,2)&lt;6),1,0),IF(AND(BD14&lt;&gt;"",WEEKDAY(BD$1,2)&lt;6),1,0),IF(AND(BF14&lt;&gt;"",WEEKDAY(BF$1,2)&lt;6),1,0),IF(AND(BH14&lt;&gt;"",WEEKDAY(BH$1,2)&lt;6),1,0),IF(AND(BJ14&lt;&gt;"",WEEKDAY(BJ$1,2)&lt;6),1,0),IF(AND(BL14&lt;&gt;"",WEEKDAY(BL$1,2)&lt;6),1,0))</f>
        <v>0</v>
      </c>
      <c r="BO14" s="85">
        <f>SUM(IF(AND(E14&lt;&gt;"",WEEKDAY(D$1,2)&lt;6),1,0),IF(AND(G14&lt;&gt;"",WEEKDAY(F$1,2)&lt;6),1,0),IF(AND(I14&lt;&gt;"",WEEKDAY(H$1,2)&lt;6),1,0),IF(AND(K14&lt;&gt;"",WEEKDAY(J$1,2)&lt;6),1,0),IF(AND(M14&lt;&gt;"",WEEKDAY(L$1,2)&lt;6),1,0),IF(AND(O14&lt;&gt;"",WEEKDAY(N$1,2)&lt;6),1,0),IF(AND(Q14&lt;&gt;"",WEEKDAY(P$1,2)&lt;6),1,0),IF(AND(S14&lt;&gt;"",WEEKDAY(R$1,2)&lt;6),1,0),IF(AND(U14&lt;&gt;"",WEEKDAY(T$1,2)&lt;6),1,0),IF(AND(W14&lt;&gt;"",WEEKDAY(V$1,2)&lt;6),1,0),IF(AND(Y14&lt;&gt;"",WEEKDAY(X$1,2)&lt;6),1,0),IF(AND(AA14&lt;&gt;"",WEEKDAY(Z$1,2)&lt;6),1,0),IF(AND(AC14&lt;&gt;"",WEEKDAY(AB$1,2)&lt;6),1,0),IF(AND(AE14&lt;&gt;"",WEEKDAY(AD$1,2)&lt;6),1,0),IF(AND(AG14&lt;&gt;"",WEEKDAY(AF$1,2)&lt;6),1,0),IF(AND(AI14&lt;&gt;"",WEEKDAY(AH$1,2)&lt;6),1,0),IF(AND(AK14&lt;&gt;"",WEEKDAY(AJ$1,2)&lt;6),1,0),IF(AND(AM14&lt;&gt;"",WEEKDAY(AL$1,2)&lt;6),1,0),IF(AND(AO14&lt;&gt;"",WEEKDAY(AN$1,2)&lt;6),1,0),IF(AND(AQ14&lt;&gt;"",WEEKDAY(AP$1,2)&lt;6),1,0),IF(AND(AS14&lt;&gt;"",WEEKDAY(AR$1,2)&lt;6),1,0),IF(AND(AU14&lt;&gt;"",WEEKDAY(AT$1,2)&lt;6),1,0),IF(AND(AW14&lt;&gt;"",WEEKDAY(AV$1,2)&lt;6),1,0),IF(AND(AY14&lt;&gt;"",WEEKDAY(AX$1,2)&lt;6),1,0),IF(AND(BA14&lt;&gt;"",WEEKDAY(AZ$1,2)&lt;6),1,0),IF(AND(BC14&lt;&gt;"",WEEKDAY(BB$1,2)&lt;6),1,0),IF(AND(BE14&lt;&gt;"",WEEKDAY(BD$1,2)&lt;6),1,0),IF(AND(BG14&lt;&gt;"",WEEKDAY(BF$1,2)&lt;6),1,0),IF(AND(BI14&lt;&gt;"",WEEKDAY(BH$1,2)&lt;6),1,0),IF(AND(BK14&lt;&gt;"",WEEKDAY(BJ$1,2)&lt;6),1,0),IF(AND(BM14&lt;&gt;"",WEEKDAY(BL$1,2)&lt;6),1,0))</f>
        <v>0</v>
      </c>
      <c r="BP14" s="85">
        <f>SUM(IF(AND((D14&lt;&gt;"")+(E14&lt;&gt;""),WEEKDAY(D$1,2)=6),1,0),IF(AND((F14&lt;&gt;"")+(G14&lt;&gt;""),WEEKDAY(F$1,2)=6),1,0),IF(AND((H14&lt;&gt;"")+(I14&lt;&gt;""),WEEKDAY(H$1,2)=6),1,0),IF(AND((J14&lt;&gt;"")+(K14&lt;&gt;""),WEEKDAY(J$1,2)=6),1,0),IF(AND((L14&lt;&gt;"")+(M14&lt;&gt;""),WEEKDAY(L$1,2)=6),1,0),IF(AND((N14&lt;&gt;"")+(O14&lt;&gt;""),WEEKDAY(N$1,2)=6),1,0),IF(AND((P14&lt;&gt;"")+(Q14&lt;&gt;""),WEEKDAY(P$1,2)=6),1,0),IF(AND((R14&lt;&gt;"")+(S14&lt;&gt;""),WEEKDAY(R$1,2)=6),1,0),IF(AND((T14&lt;&gt;"")+(U14&lt;&gt;""),WEEKDAY(T$1,2)=6),1,0),IF(AND((V14&lt;&gt;"")+(W14&lt;&gt;""),WEEKDAY(V$1,2)=6),1,0),IF(AND((X14&lt;&gt;"")+(Y14&lt;&gt;""),WEEKDAY(X$1,2)=6),1,0),IF(AND((Z14&lt;&gt;"")+(AA14&lt;&gt;""),WEEKDAY(Z$1,2)=6),1,0),IF(AND((AB14&lt;&gt;"")+(AC14&lt;&gt;""),WEEKDAY(AB$1,2)=6),1,0),IF(AND((AD14&lt;&gt;"")+(AE14&lt;&gt;""),WEEKDAY(AD$1,2)=6),1,0),IF(AND((AF14&lt;&gt;"")+(AG14&lt;&gt;""),WEEKDAY(AF$1,2)=6),1,0),IF(AND((AH14&lt;&gt;"")+(AI14&lt;&gt;""),WEEKDAY(AH$1,2)=6),1,0),IF(AND((AJ14&lt;&gt;"")+(AK14&lt;&gt;""),WEEKDAY(AJ$1,2)=6),1,0),IF(AND((AL14&lt;&gt;"")+(AM14&lt;&gt;""),WEEKDAY(AL$1,2)=6),1,0),IF(AND((AN14&lt;&gt;"")+(AO14&lt;&gt;""),WEEKDAY(AN$1,2)=6),1,0),IF(AND((AP14&lt;&gt;"")+(AQ14&lt;&gt;""),WEEKDAY(AP$1,2)=6),1,0),IF(AND((AR14&lt;&gt;"")+(AS14&lt;&gt;""),WEEKDAY(AR$1,2)=6),1,0),IF(AND((AT14&lt;&gt;"")+(AU14&lt;&gt;""),WEEKDAY(AT$1,2)=6),1,0),IF(AND((AV14&lt;&gt;"")+(AW14&lt;&gt;""),WEEKDAY(AV$1,2)=6),1,0),IF(AND((AX14&lt;&gt;"")+(AY14&lt;&gt;""),WEEKDAY(AX$1,2)=6),1,0),IF(AND((AZ14&lt;&gt;"")+(BA14&lt;&gt;""),WEEKDAY(AZ$1,2)=6),1,0),IF(AND((BB14&lt;&gt;"")+(BC14&lt;&gt;""),WEEKDAY(BB$1,2)=6),1,0),IF(AND((BD14&lt;&gt;"")+(BE14&lt;&gt;""),WEEKDAY(BD$1,2)=6),1,0),IF(AND((BF14&lt;&gt;"")+(BG14&lt;&gt;""),WEEKDAY(BF$1,2)=6),1,0),IF(AND((BH14&lt;&gt;"")+(BI14&lt;&gt;""),WEEKDAY(BH$1,2)=6),1,0),IF(AND((BJ14&lt;&gt;"")+(BK14&lt;&gt;""),WEEKDAY(BJ$1,2)=6),1,0),IF(AND((BL14&lt;&gt;"")+(BM14&lt;&gt;""),WEEKDAY(BL$1,2)=6),1,0))</f>
        <v>0</v>
      </c>
    </row>
    <row r="15" spans="1:68" ht="16.5">
      <c r="A15" s="86" t="s">
        <v>5</v>
      </c>
      <c r="B15" s="86" t="s">
        <v>15</v>
      </c>
      <c r="C15" s="92" t="s">
        <v>21</v>
      </c>
      <c r="D15" s="91"/>
      <c r="E15" s="91"/>
      <c r="F15" s="85"/>
      <c r="G15" s="85"/>
      <c r="H15" s="85"/>
      <c r="I15" s="85"/>
      <c r="J15" s="98"/>
      <c r="K15" s="99">
        <v>0.15416666666666667</v>
      </c>
      <c r="L15" s="98"/>
      <c r="M15" s="98"/>
      <c r="N15" s="85"/>
      <c r="O15" s="85"/>
      <c r="P15" s="95"/>
      <c r="Q15" s="95"/>
      <c r="R15" s="91"/>
      <c r="S15" s="91"/>
      <c r="T15" s="85"/>
      <c r="U15" s="85"/>
      <c r="V15" s="85"/>
      <c r="W15" s="85"/>
      <c r="X15" s="85"/>
      <c r="Y15" s="85"/>
      <c r="Z15" s="85"/>
      <c r="AA15" s="85"/>
      <c r="AB15" s="85"/>
      <c r="AC15" s="88">
        <v>0.17083333333333334</v>
      </c>
      <c r="AD15" s="95"/>
      <c r="AE15" s="95"/>
      <c r="AF15" s="91"/>
      <c r="AG15" s="91"/>
      <c r="AH15" s="96"/>
      <c r="AI15" s="96"/>
      <c r="AJ15" s="85"/>
      <c r="AK15" s="85"/>
      <c r="AL15" s="85"/>
      <c r="AM15" s="85"/>
      <c r="AN15" s="85"/>
      <c r="AO15" s="88">
        <v>0.1736111111111111</v>
      </c>
      <c r="AP15" s="85"/>
      <c r="AQ15" s="85"/>
      <c r="AR15" s="95"/>
      <c r="AS15" s="95"/>
      <c r="AT15" s="91"/>
      <c r="AU15" s="91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95"/>
      <c r="BG15" s="95"/>
      <c r="BH15" s="91"/>
      <c r="BI15" s="91"/>
      <c r="BJ15" s="85"/>
      <c r="BK15" s="85"/>
      <c r="BL15" s="98"/>
      <c r="BM15" s="98"/>
      <c r="BN15" s="85">
        <f>SUM(IF(AND(D15&lt;&gt;"",WEEKDAY(D$1,2)&lt;6),1,0),IF(AND(F15&lt;&gt;"",WEEKDAY(F$1,2)&lt;6),1,0),IF(AND(H15&lt;&gt;"",WEEKDAY(H$1,2)&lt;6),1,0),IF(AND(J15&lt;&gt;"",WEEKDAY(J$1,2)&lt;6),1,0),IF(AND(L15&lt;&gt;"",WEEKDAY(L$1,2)&lt;6),1,0),IF(AND(N15&lt;&gt;"",WEEKDAY(N$1,2)&lt;6),1,0),IF(AND(P15&lt;&gt;"",WEEKDAY(P$1,2)&lt;6),1,0),IF(AND(R15&lt;&gt;"",WEEKDAY(R$1,2)&lt;6),1,0),IF(AND(T15&lt;&gt;"",WEEKDAY(T$1,2)&lt;6),1,0),IF(AND(V15&lt;&gt;"",WEEKDAY(V$1,2)&lt;6),1,0),IF(AND(X15&lt;&gt;"",WEEKDAY(X$1,2)&lt;6),1,0),IF(AND(Z15&lt;&gt;"",WEEKDAY(Z$1,2)&lt;6),1,0),IF(AND(AB15&lt;&gt;"",WEEKDAY(AB$1,2)&lt;6),1,0),IF(AND(AD15&lt;&gt;"",WEEKDAY(AD$1,2)&lt;6),1,0),IF(AND(AF15&lt;&gt;"",WEEKDAY(AF$1,2)&lt;6),1,0),IF(AND(AH15&lt;&gt;"",WEEKDAY(AH$1,2)&lt;6),1,0),IF(AND(AJ15&lt;&gt;"",WEEKDAY(AJ$1,2)&lt;6),1,0),IF(AND(AL15&lt;&gt;"",WEEKDAY(AL$1,2)&lt;6),1,0),IF(AND(AN15&lt;&gt;"",WEEKDAY(AN$1,2)&lt;6),1,0),IF(AND(AP15&lt;&gt;"",WEEKDAY(AP$1,2)&lt;6),1,0),IF(AND(AR15&lt;&gt;"",WEEKDAY(AR$1,2)&lt;6),1,0),IF(AND(AT15&lt;&gt;"",WEEKDAY(AT$1,2)&lt;6),1,0),IF(AND(AV15&lt;&gt;"",WEEKDAY(AV$1,2)&lt;6),1,0),IF(AND(AX15&lt;&gt;"",WEEKDAY(AX$1,2)&lt;6),1,0),IF(AND(AZ15&lt;&gt;"",WEEKDAY(AZ$1,2)&lt;6),1,0),IF(AND(BB15&lt;&gt;"",WEEKDAY(BB$1,2)&lt;6),1,0),IF(AND(BD15&lt;&gt;"",WEEKDAY(BD$1,2)&lt;6),1,0),IF(AND(BF15&lt;&gt;"",WEEKDAY(BF$1,2)&lt;6),1,0),IF(AND(BH15&lt;&gt;"",WEEKDAY(BH$1,2)&lt;6),1,0),IF(AND(BJ15&lt;&gt;"",WEEKDAY(BJ$1,2)&lt;6),1,0),IF(AND(BL15&lt;&gt;"",WEEKDAY(BL$1,2)&lt;6),1,0))</f>
        <v>0</v>
      </c>
      <c r="BO15" s="85">
        <f>SUM(IF(AND(E15&lt;&gt;"",WEEKDAY(D$1,2)&lt;6),1,0),IF(AND(G15&lt;&gt;"",WEEKDAY(F$1,2)&lt;6),1,0),IF(AND(I15&lt;&gt;"",WEEKDAY(H$1,2)&lt;6),1,0),IF(AND(K15&lt;&gt;"",WEEKDAY(J$1,2)&lt;6),1,0),IF(AND(M15&lt;&gt;"",WEEKDAY(L$1,2)&lt;6),1,0),IF(AND(O15&lt;&gt;"",WEEKDAY(N$1,2)&lt;6),1,0),IF(AND(Q15&lt;&gt;"",WEEKDAY(P$1,2)&lt;6),1,0),IF(AND(S15&lt;&gt;"",WEEKDAY(R$1,2)&lt;6),1,0),IF(AND(U15&lt;&gt;"",WEEKDAY(T$1,2)&lt;6),1,0),IF(AND(W15&lt;&gt;"",WEEKDAY(V$1,2)&lt;6),1,0),IF(AND(Y15&lt;&gt;"",WEEKDAY(X$1,2)&lt;6),1,0),IF(AND(AA15&lt;&gt;"",WEEKDAY(Z$1,2)&lt;6),1,0),IF(AND(AC15&lt;&gt;"",WEEKDAY(AB$1,2)&lt;6),1,0),IF(AND(AE15&lt;&gt;"",WEEKDAY(AD$1,2)&lt;6),1,0),IF(AND(AG15&lt;&gt;"",WEEKDAY(AF$1,2)&lt;6),1,0),IF(AND(AI15&lt;&gt;"",WEEKDAY(AH$1,2)&lt;6),1,0),IF(AND(AK15&lt;&gt;"",WEEKDAY(AJ$1,2)&lt;6),1,0),IF(AND(AM15&lt;&gt;"",WEEKDAY(AL$1,2)&lt;6),1,0),IF(AND(AO15&lt;&gt;"",WEEKDAY(AN$1,2)&lt;6),1,0),IF(AND(AQ15&lt;&gt;"",WEEKDAY(AP$1,2)&lt;6),1,0),IF(AND(AS15&lt;&gt;"",WEEKDAY(AR$1,2)&lt;6),1,0),IF(AND(AU15&lt;&gt;"",WEEKDAY(AT$1,2)&lt;6),1,0),IF(AND(AW15&lt;&gt;"",WEEKDAY(AV$1,2)&lt;6),1,0),IF(AND(AY15&lt;&gt;"",WEEKDAY(AX$1,2)&lt;6),1,0),IF(AND(BA15&lt;&gt;"",WEEKDAY(AZ$1,2)&lt;6),1,0),IF(AND(BC15&lt;&gt;"",WEEKDAY(BB$1,2)&lt;6),1,0),IF(AND(BE15&lt;&gt;"",WEEKDAY(BD$1,2)&lt;6),1,0),IF(AND(BG15&lt;&gt;"",WEEKDAY(BF$1,2)&lt;6),1,0),IF(AND(BI15&lt;&gt;"",WEEKDAY(BH$1,2)&lt;6),1,0),IF(AND(BK15&lt;&gt;"",WEEKDAY(BJ$1,2)&lt;6),1,0),IF(AND(BM15&lt;&gt;"",WEEKDAY(BL$1,2)&lt;6),1,0))</f>
        <v>3</v>
      </c>
      <c r="BP15" s="85">
        <f>SUM(IF(AND((D15&lt;&gt;"")+(E15&lt;&gt;""),WEEKDAY(D$1,2)=6),1,0),IF(AND((F15&lt;&gt;"")+(G15&lt;&gt;""),WEEKDAY(F$1,2)=6),1,0),IF(AND((H15&lt;&gt;"")+(I15&lt;&gt;""),WEEKDAY(H$1,2)=6),1,0),IF(AND((J15&lt;&gt;"")+(K15&lt;&gt;""),WEEKDAY(J$1,2)=6),1,0),IF(AND((L15&lt;&gt;"")+(M15&lt;&gt;""),WEEKDAY(L$1,2)=6),1,0),IF(AND((N15&lt;&gt;"")+(O15&lt;&gt;""),WEEKDAY(N$1,2)=6),1,0),IF(AND((P15&lt;&gt;"")+(Q15&lt;&gt;""),WEEKDAY(P$1,2)=6),1,0),IF(AND((R15&lt;&gt;"")+(S15&lt;&gt;""),WEEKDAY(R$1,2)=6),1,0),IF(AND((T15&lt;&gt;"")+(U15&lt;&gt;""),WEEKDAY(T$1,2)=6),1,0),IF(AND((V15&lt;&gt;"")+(W15&lt;&gt;""),WEEKDAY(V$1,2)=6),1,0),IF(AND((X15&lt;&gt;"")+(Y15&lt;&gt;""),WEEKDAY(X$1,2)=6),1,0),IF(AND((Z15&lt;&gt;"")+(AA15&lt;&gt;""),WEEKDAY(Z$1,2)=6),1,0),IF(AND((AB15&lt;&gt;"")+(AC15&lt;&gt;""),WEEKDAY(AB$1,2)=6),1,0),IF(AND((AD15&lt;&gt;"")+(AE15&lt;&gt;""),WEEKDAY(AD$1,2)=6),1,0),IF(AND((AF15&lt;&gt;"")+(AG15&lt;&gt;""),WEEKDAY(AF$1,2)=6),1,0),IF(AND((AH15&lt;&gt;"")+(AI15&lt;&gt;""),WEEKDAY(AH$1,2)=6),1,0),IF(AND((AJ15&lt;&gt;"")+(AK15&lt;&gt;""),WEEKDAY(AJ$1,2)=6),1,0),IF(AND((AL15&lt;&gt;"")+(AM15&lt;&gt;""),WEEKDAY(AL$1,2)=6),1,0),IF(AND((AN15&lt;&gt;"")+(AO15&lt;&gt;""),WEEKDAY(AN$1,2)=6),1,0),IF(AND((AP15&lt;&gt;"")+(AQ15&lt;&gt;""),WEEKDAY(AP$1,2)=6),1,0),IF(AND((AR15&lt;&gt;"")+(AS15&lt;&gt;""),WEEKDAY(AR$1,2)=6),1,0),IF(AND((AT15&lt;&gt;"")+(AU15&lt;&gt;""),WEEKDAY(AT$1,2)=6),1,0),IF(AND((AV15&lt;&gt;"")+(AW15&lt;&gt;""),WEEKDAY(AV$1,2)=6),1,0),IF(AND((AX15&lt;&gt;"")+(AY15&lt;&gt;""),WEEKDAY(AX$1,2)=6),1,0),IF(AND((AZ15&lt;&gt;"")+(BA15&lt;&gt;""),WEEKDAY(AZ$1,2)=6),1,0),IF(AND((BB15&lt;&gt;"")+(BC15&lt;&gt;""),WEEKDAY(BB$1,2)=6),1,0),IF(AND((BD15&lt;&gt;"")+(BE15&lt;&gt;""),WEEKDAY(BD$1,2)=6),1,0),IF(AND((BF15&lt;&gt;"")+(BG15&lt;&gt;""),WEEKDAY(BF$1,2)=6),1,0),IF(AND((BH15&lt;&gt;"")+(BI15&lt;&gt;""),WEEKDAY(BH$1,2)=6),1,0),IF(AND((BJ15&lt;&gt;"")+(BK15&lt;&gt;""),WEEKDAY(BJ$1,2)=6),1,0),IF(AND((BL15&lt;&gt;"")+(BM15&lt;&gt;""),WEEKDAY(BL$1,2)=6),1,0))</f>
        <v>0</v>
      </c>
    </row>
    <row r="16" spans="1:68" ht="16.5">
      <c r="A16" s="86" t="s">
        <v>5</v>
      </c>
      <c r="B16" s="86" t="s">
        <v>22</v>
      </c>
      <c r="C16" s="92" t="s">
        <v>23</v>
      </c>
      <c r="D16" s="91"/>
      <c r="E16" s="91"/>
      <c r="F16" s="88">
        <v>0.32291666666666669</v>
      </c>
      <c r="G16" s="88">
        <v>0.22083333333333333</v>
      </c>
      <c r="H16" s="88"/>
      <c r="I16" s="99">
        <v>0.18680555555555556</v>
      </c>
      <c r="J16" s="99">
        <v>0.33958333333333335</v>
      </c>
      <c r="K16" s="98"/>
      <c r="L16" s="99">
        <v>0.33680555555555558</v>
      </c>
      <c r="M16" s="99">
        <v>0.19166666666666668</v>
      </c>
      <c r="N16" s="88">
        <v>0.33958333333333335</v>
      </c>
      <c r="O16" s="88">
        <v>0.21319444444444444</v>
      </c>
      <c r="P16" s="95"/>
      <c r="Q16" s="95"/>
      <c r="R16" s="91"/>
      <c r="S16" s="91"/>
      <c r="T16" s="88">
        <v>0.34444444444444444</v>
      </c>
      <c r="U16" s="88">
        <v>0.22013888888888888</v>
      </c>
      <c r="V16" s="88">
        <v>0.36666666666666664</v>
      </c>
      <c r="W16" s="88">
        <v>0.21249999999999999</v>
      </c>
      <c r="X16" s="88">
        <v>0.34861111111111109</v>
      </c>
      <c r="Y16" s="85"/>
      <c r="Z16" s="88">
        <v>0.35902777777777778</v>
      </c>
      <c r="AA16" s="88">
        <v>0.2048611111111111</v>
      </c>
      <c r="AB16" s="88">
        <v>0.35694444444444445</v>
      </c>
      <c r="AC16" s="88">
        <v>0.20208333333333334</v>
      </c>
      <c r="AD16" s="102">
        <v>0.36180555555555555</v>
      </c>
      <c r="AE16" s="95"/>
      <c r="AF16" s="91"/>
      <c r="AG16" s="91"/>
      <c r="AH16" s="96"/>
      <c r="AI16" s="96"/>
      <c r="AJ16" s="88">
        <v>0.36736111111111114</v>
      </c>
      <c r="AK16" s="85"/>
      <c r="AL16" s="88">
        <v>0.35208333333333336</v>
      </c>
      <c r="AM16" s="88">
        <v>0.24791666666666667</v>
      </c>
      <c r="AN16" s="88">
        <v>0.3527777777777778</v>
      </c>
      <c r="AO16" s="88">
        <v>0.17569444444444443</v>
      </c>
      <c r="AP16" s="88">
        <v>0.34722222222222221</v>
      </c>
      <c r="AQ16" s="85"/>
      <c r="AR16" s="102">
        <v>0.34305555555555556</v>
      </c>
      <c r="AS16" s="95"/>
      <c r="AT16" s="91"/>
      <c r="AU16" s="91"/>
      <c r="AV16" s="88">
        <v>0.35138888888888886</v>
      </c>
      <c r="AW16" s="88">
        <v>0.26041666666666669</v>
      </c>
      <c r="AX16" s="88">
        <v>0.34513888888888888</v>
      </c>
      <c r="AY16" s="85"/>
      <c r="AZ16" s="88">
        <v>0.34861111111111109</v>
      </c>
      <c r="BA16" s="88">
        <v>0.21458333333333332</v>
      </c>
      <c r="BB16" s="85"/>
      <c r="BC16" s="88">
        <v>0.22430555555555556</v>
      </c>
      <c r="BD16" s="85"/>
      <c r="BE16" s="85"/>
      <c r="BF16" s="95"/>
      <c r="BG16" s="95"/>
      <c r="BH16" s="91"/>
      <c r="BI16" s="91"/>
      <c r="BJ16" s="88">
        <v>0.33888888888888891</v>
      </c>
      <c r="BK16" s="85"/>
      <c r="BL16" s="99">
        <v>0.34444444444444444</v>
      </c>
      <c r="BM16" s="99">
        <v>0.19305555555555556</v>
      </c>
      <c r="BN16" s="85">
        <f>SUM(IF(AND(D16&lt;&gt;"",WEEKDAY(D$1,2)&lt;6),1,0),IF(AND(F16&lt;&gt;"",WEEKDAY(F$1,2)&lt;6),1,0),IF(AND(H16&lt;&gt;"",WEEKDAY(H$1,2)&lt;6),1,0),IF(AND(J16&lt;&gt;"",WEEKDAY(J$1,2)&lt;6),1,0),IF(AND(L16&lt;&gt;"",WEEKDAY(L$1,2)&lt;6),1,0),IF(AND(N16&lt;&gt;"",WEEKDAY(N$1,2)&lt;6),1,0),IF(AND(P16&lt;&gt;"",WEEKDAY(P$1,2)&lt;6),1,0),IF(AND(R16&lt;&gt;"",WEEKDAY(R$1,2)&lt;6),1,0),IF(AND(T16&lt;&gt;"",WEEKDAY(T$1,2)&lt;6),1,0),IF(AND(V16&lt;&gt;"",WEEKDAY(V$1,2)&lt;6),1,0),IF(AND(X16&lt;&gt;"",WEEKDAY(X$1,2)&lt;6),1,0),IF(AND(Z16&lt;&gt;"",WEEKDAY(Z$1,2)&lt;6),1,0),IF(AND(AB16&lt;&gt;"",WEEKDAY(AB$1,2)&lt;6),1,0),IF(AND(AD16&lt;&gt;"",WEEKDAY(AD$1,2)&lt;6),1,0),IF(AND(AF16&lt;&gt;"",WEEKDAY(AF$1,2)&lt;6),1,0),IF(AND(AH16&lt;&gt;"",WEEKDAY(AH$1,2)&lt;6),1,0),IF(AND(AJ16&lt;&gt;"",WEEKDAY(AJ$1,2)&lt;6),1,0),IF(AND(AL16&lt;&gt;"",WEEKDAY(AL$1,2)&lt;6),1,0),IF(AND(AN16&lt;&gt;"",WEEKDAY(AN$1,2)&lt;6),1,0),IF(AND(AP16&lt;&gt;"",WEEKDAY(AP$1,2)&lt;6),1,0),IF(AND(AR16&lt;&gt;"",WEEKDAY(AR$1,2)&lt;6),1,0),IF(AND(AT16&lt;&gt;"",WEEKDAY(AT$1,2)&lt;6),1,0),IF(AND(AV16&lt;&gt;"",WEEKDAY(AV$1,2)&lt;6),1,0),IF(AND(AX16&lt;&gt;"",WEEKDAY(AX$1,2)&lt;6),1,0),IF(AND(AZ16&lt;&gt;"",WEEKDAY(AZ$1,2)&lt;6),1,0),IF(AND(BB16&lt;&gt;"",WEEKDAY(BB$1,2)&lt;6),1,0),IF(AND(BD16&lt;&gt;"",WEEKDAY(BD$1,2)&lt;6),1,0),IF(AND(BF16&lt;&gt;"",WEEKDAY(BF$1,2)&lt;6),1,0),IF(AND(BH16&lt;&gt;"",WEEKDAY(BH$1,2)&lt;6),1,0),IF(AND(BJ16&lt;&gt;"",WEEKDAY(BJ$1,2)&lt;6),1,0),IF(AND(BL16&lt;&gt;"",WEEKDAY(BL$1,2)&lt;6),1,0))</f>
        <v>18</v>
      </c>
      <c r="BO16" s="85">
        <f>SUM(IF(AND(E16&lt;&gt;"",WEEKDAY(D$1,2)&lt;6),1,0),IF(AND(G16&lt;&gt;"",WEEKDAY(F$1,2)&lt;6),1,0),IF(AND(I16&lt;&gt;"",WEEKDAY(H$1,2)&lt;6),1,0),IF(AND(K16&lt;&gt;"",WEEKDAY(J$1,2)&lt;6),1,0),IF(AND(M16&lt;&gt;"",WEEKDAY(L$1,2)&lt;6),1,0),IF(AND(O16&lt;&gt;"",WEEKDAY(N$1,2)&lt;6),1,0),IF(AND(Q16&lt;&gt;"",WEEKDAY(P$1,2)&lt;6),1,0),IF(AND(S16&lt;&gt;"",WEEKDAY(R$1,2)&lt;6),1,0),IF(AND(U16&lt;&gt;"",WEEKDAY(T$1,2)&lt;6),1,0),IF(AND(W16&lt;&gt;"",WEEKDAY(V$1,2)&lt;6),1,0),IF(AND(Y16&lt;&gt;"",WEEKDAY(X$1,2)&lt;6),1,0),IF(AND(AA16&lt;&gt;"",WEEKDAY(Z$1,2)&lt;6),1,0),IF(AND(AC16&lt;&gt;"",WEEKDAY(AB$1,2)&lt;6),1,0),IF(AND(AE16&lt;&gt;"",WEEKDAY(AD$1,2)&lt;6),1,0),IF(AND(AG16&lt;&gt;"",WEEKDAY(AF$1,2)&lt;6),1,0),IF(AND(AI16&lt;&gt;"",WEEKDAY(AH$1,2)&lt;6),1,0),IF(AND(AK16&lt;&gt;"",WEEKDAY(AJ$1,2)&lt;6),1,0),IF(AND(AM16&lt;&gt;"",WEEKDAY(AL$1,2)&lt;6),1,0),IF(AND(AO16&lt;&gt;"",WEEKDAY(AN$1,2)&lt;6),1,0),IF(AND(AQ16&lt;&gt;"",WEEKDAY(AP$1,2)&lt;6),1,0),IF(AND(AS16&lt;&gt;"",WEEKDAY(AR$1,2)&lt;6),1,0),IF(AND(AU16&lt;&gt;"",WEEKDAY(AT$1,2)&lt;6),1,0),IF(AND(AW16&lt;&gt;"",WEEKDAY(AV$1,2)&lt;6),1,0),IF(AND(AY16&lt;&gt;"",WEEKDAY(AX$1,2)&lt;6),1,0),IF(AND(BA16&lt;&gt;"",WEEKDAY(AZ$1,2)&lt;6),1,0),IF(AND(BC16&lt;&gt;"",WEEKDAY(BB$1,2)&lt;6),1,0),IF(AND(BE16&lt;&gt;"",WEEKDAY(BD$1,2)&lt;6),1,0),IF(AND(BG16&lt;&gt;"",WEEKDAY(BF$1,2)&lt;6),1,0),IF(AND(BI16&lt;&gt;"",WEEKDAY(BH$1,2)&lt;6),1,0),IF(AND(BK16&lt;&gt;"",WEEKDAY(BJ$1,2)&lt;6),1,0),IF(AND(BM16&lt;&gt;"",WEEKDAY(BL$1,2)&lt;6),1,0))</f>
        <v>14</v>
      </c>
      <c r="BP16" s="85">
        <f>SUM(IF(AND((D16&lt;&gt;"")+(E16&lt;&gt;""),WEEKDAY(D$1,2)=6),1,0),IF(AND((F16&lt;&gt;"")+(G16&lt;&gt;""),WEEKDAY(F$1,2)=6),1,0),IF(AND((H16&lt;&gt;"")+(I16&lt;&gt;""),WEEKDAY(H$1,2)=6),1,0),IF(AND((J16&lt;&gt;"")+(K16&lt;&gt;""),WEEKDAY(J$1,2)=6),1,0),IF(AND((L16&lt;&gt;"")+(M16&lt;&gt;""),WEEKDAY(L$1,2)=6),1,0),IF(AND((N16&lt;&gt;"")+(O16&lt;&gt;""),WEEKDAY(N$1,2)=6),1,0),IF(AND((P16&lt;&gt;"")+(Q16&lt;&gt;""),WEEKDAY(P$1,2)=6),1,0),IF(AND((R16&lt;&gt;"")+(S16&lt;&gt;""),WEEKDAY(R$1,2)=6),1,0),IF(AND((T16&lt;&gt;"")+(U16&lt;&gt;""),WEEKDAY(T$1,2)=6),1,0),IF(AND((V16&lt;&gt;"")+(W16&lt;&gt;""),WEEKDAY(V$1,2)=6),1,0),IF(AND((X16&lt;&gt;"")+(Y16&lt;&gt;""),WEEKDAY(X$1,2)=6),1,0),IF(AND((Z16&lt;&gt;"")+(AA16&lt;&gt;""),WEEKDAY(Z$1,2)=6),1,0),IF(AND((AB16&lt;&gt;"")+(AC16&lt;&gt;""),WEEKDAY(AB$1,2)=6),1,0),IF(AND((AD16&lt;&gt;"")+(AE16&lt;&gt;""),WEEKDAY(AD$1,2)=6),1,0),IF(AND((AF16&lt;&gt;"")+(AG16&lt;&gt;""),WEEKDAY(AF$1,2)=6),1,0),IF(AND((AH16&lt;&gt;"")+(AI16&lt;&gt;""),WEEKDAY(AH$1,2)=6),1,0),IF(AND((AJ16&lt;&gt;"")+(AK16&lt;&gt;""),WEEKDAY(AJ$1,2)=6),1,0),IF(AND((AL16&lt;&gt;"")+(AM16&lt;&gt;""),WEEKDAY(AL$1,2)=6),1,0),IF(AND((AN16&lt;&gt;"")+(AO16&lt;&gt;""),WEEKDAY(AN$1,2)=6),1,0),IF(AND((AP16&lt;&gt;"")+(AQ16&lt;&gt;""),WEEKDAY(AP$1,2)=6),1,0),IF(AND((AR16&lt;&gt;"")+(AS16&lt;&gt;""),WEEKDAY(AR$1,2)=6),1,0),IF(AND((AT16&lt;&gt;"")+(AU16&lt;&gt;""),WEEKDAY(AT$1,2)=6),1,0),IF(AND((AV16&lt;&gt;"")+(AW16&lt;&gt;""),WEEKDAY(AV$1,2)=6),1,0),IF(AND((AX16&lt;&gt;"")+(AY16&lt;&gt;""),WEEKDAY(AX$1,2)=6),1,0),IF(AND((AZ16&lt;&gt;"")+(BA16&lt;&gt;""),WEEKDAY(AZ$1,2)=6),1,0),IF(AND((BB16&lt;&gt;"")+(BC16&lt;&gt;""),WEEKDAY(BB$1,2)=6),1,0),IF(AND((BD16&lt;&gt;"")+(BE16&lt;&gt;""),WEEKDAY(BD$1,2)=6),1,0),IF(AND((BF16&lt;&gt;"")+(BG16&lt;&gt;""),WEEKDAY(BF$1,2)=6),1,0),IF(AND((BH16&lt;&gt;"")+(BI16&lt;&gt;""),WEEKDAY(BH$1,2)=6),1,0),IF(AND((BJ16&lt;&gt;"")+(BK16&lt;&gt;""),WEEKDAY(BJ$1,2)=6),1,0),IF(AND((BL16&lt;&gt;"")+(BM16&lt;&gt;""),WEEKDAY(BL$1,2)=6),1,0))</f>
        <v>2</v>
      </c>
    </row>
    <row r="17" spans="1:68" ht="16.5">
      <c r="A17" s="86" t="s">
        <v>5</v>
      </c>
      <c r="B17" s="86" t="s">
        <v>22</v>
      </c>
      <c r="C17" s="92" t="s">
        <v>24</v>
      </c>
      <c r="D17" s="91"/>
      <c r="E17" s="91"/>
      <c r="F17" s="85"/>
      <c r="G17" s="85"/>
      <c r="H17" s="88">
        <v>0.32916666666666666</v>
      </c>
      <c r="I17" s="85"/>
      <c r="J17" s="98"/>
      <c r="K17" s="99">
        <v>0.23472222222222222</v>
      </c>
      <c r="L17" s="98"/>
      <c r="M17" s="98"/>
      <c r="N17" s="85"/>
      <c r="O17" s="85"/>
      <c r="P17" s="95"/>
      <c r="Q17" s="95"/>
      <c r="R17" s="91"/>
      <c r="S17" s="91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95"/>
      <c r="AE17" s="95"/>
      <c r="AF17" s="91"/>
      <c r="AG17" s="91"/>
      <c r="AH17" s="96"/>
      <c r="AI17" s="96"/>
      <c r="AJ17" s="85"/>
      <c r="AK17" s="88">
        <v>0.20555555555555555</v>
      </c>
      <c r="AL17" s="85"/>
      <c r="AM17" s="85"/>
      <c r="AN17" s="85"/>
      <c r="AO17" s="85"/>
      <c r="AP17" s="85"/>
      <c r="AQ17" s="88">
        <v>0.18472222222222223</v>
      </c>
      <c r="AR17" s="95"/>
      <c r="AS17" s="95"/>
      <c r="AT17" s="91"/>
      <c r="AU17" s="91"/>
      <c r="AV17" s="85"/>
      <c r="AW17" s="85"/>
      <c r="AX17" s="85"/>
      <c r="AY17" s="85"/>
      <c r="AZ17" s="85"/>
      <c r="BA17" s="85"/>
      <c r="BB17" s="88">
        <v>0.36666666666666664</v>
      </c>
      <c r="BC17" s="85"/>
      <c r="BD17" s="85"/>
      <c r="BE17" s="85"/>
      <c r="BF17" s="95"/>
      <c r="BG17" s="95"/>
      <c r="BH17" s="91"/>
      <c r="BI17" s="91"/>
      <c r="BJ17" s="85"/>
      <c r="BK17" s="88">
        <v>0.21875</v>
      </c>
      <c r="BL17" s="98"/>
      <c r="BM17" s="98"/>
      <c r="BN17" s="85">
        <f>SUM(IF(AND(D17&lt;&gt;"",WEEKDAY(D$1,2)&lt;6),1,0),IF(AND(F17&lt;&gt;"",WEEKDAY(F$1,2)&lt;6),1,0),IF(AND(H17&lt;&gt;"",WEEKDAY(H$1,2)&lt;6),1,0),IF(AND(J17&lt;&gt;"",WEEKDAY(J$1,2)&lt;6),1,0),IF(AND(L17&lt;&gt;"",WEEKDAY(L$1,2)&lt;6),1,0),IF(AND(N17&lt;&gt;"",WEEKDAY(N$1,2)&lt;6),1,0),IF(AND(P17&lt;&gt;"",WEEKDAY(P$1,2)&lt;6),1,0),IF(AND(R17&lt;&gt;"",WEEKDAY(R$1,2)&lt;6),1,0),IF(AND(T17&lt;&gt;"",WEEKDAY(T$1,2)&lt;6),1,0),IF(AND(V17&lt;&gt;"",WEEKDAY(V$1,2)&lt;6),1,0),IF(AND(X17&lt;&gt;"",WEEKDAY(X$1,2)&lt;6),1,0),IF(AND(Z17&lt;&gt;"",WEEKDAY(Z$1,2)&lt;6),1,0),IF(AND(AB17&lt;&gt;"",WEEKDAY(AB$1,2)&lt;6),1,0),IF(AND(AD17&lt;&gt;"",WEEKDAY(AD$1,2)&lt;6),1,0),IF(AND(AF17&lt;&gt;"",WEEKDAY(AF$1,2)&lt;6),1,0),IF(AND(AH17&lt;&gt;"",WEEKDAY(AH$1,2)&lt;6),1,0),IF(AND(AJ17&lt;&gt;"",WEEKDAY(AJ$1,2)&lt;6),1,0),IF(AND(AL17&lt;&gt;"",WEEKDAY(AL$1,2)&lt;6),1,0),IF(AND(AN17&lt;&gt;"",WEEKDAY(AN$1,2)&lt;6),1,0),IF(AND(AP17&lt;&gt;"",WEEKDAY(AP$1,2)&lt;6),1,0),IF(AND(AR17&lt;&gt;"",WEEKDAY(AR$1,2)&lt;6),1,0),IF(AND(AT17&lt;&gt;"",WEEKDAY(AT$1,2)&lt;6),1,0),IF(AND(AV17&lt;&gt;"",WEEKDAY(AV$1,2)&lt;6),1,0),IF(AND(AX17&lt;&gt;"",WEEKDAY(AX$1,2)&lt;6),1,0),IF(AND(AZ17&lt;&gt;"",WEEKDAY(AZ$1,2)&lt;6),1,0),IF(AND(BB17&lt;&gt;"",WEEKDAY(BB$1,2)&lt;6),1,0),IF(AND(BD17&lt;&gt;"",WEEKDAY(BD$1,2)&lt;6),1,0),IF(AND(BF17&lt;&gt;"",WEEKDAY(BF$1,2)&lt;6),1,0),IF(AND(BH17&lt;&gt;"",WEEKDAY(BH$1,2)&lt;6),1,0),IF(AND(BJ17&lt;&gt;"",WEEKDAY(BJ$1,2)&lt;6),1,0),IF(AND(BL17&lt;&gt;"",WEEKDAY(BL$1,2)&lt;6),1,0))</f>
        <v>2</v>
      </c>
      <c r="BO17" s="85">
        <f>SUM(IF(AND(E17&lt;&gt;"",WEEKDAY(D$1,2)&lt;6),1,0),IF(AND(G17&lt;&gt;"",WEEKDAY(F$1,2)&lt;6),1,0),IF(AND(I17&lt;&gt;"",WEEKDAY(H$1,2)&lt;6),1,0),IF(AND(K17&lt;&gt;"",WEEKDAY(J$1,2)&lt;6),1,0),IF(AND(M17&lt;&gt;"",WEEKDAY(L$1,2)&lt;6),1,0),IF(AND(O17&lt;&gt;"",WEEKDAY(N$1,2)&lt;6),1,0),IF(AND(Q17&lt;&gt;"",WEEKDAY(P$1,2)&lt;6),1,0),IF(AND(S17&lt;&gt;"",WEEKDAY(R$1,2)&lt;6),1,0),IF(AND(U17&lt;&gt;"",WEEKDAY(T$1,2)&lt;6),1,0),IF(AND(W17&lt;&gt;"",WEEKDAY(V$1,2)&lt;6),1,0),IF(AND(Y17&lt;&gt;"",WEEKDAY(X$1,2)&lt;6),1,0),IF(AND(AA17&lt;&gt;"",WEEKDAY(Z$1,2)&lt;6),1,0),IF(AND(AC17&lt;&gt;"",WEEKDAY(AB$1,2)&lt;6),1,0),IF(AND(AE17&lt;&gt;"",WEEKDAY(AD$1,2)&lt;6),1,0),IF(AND(AG17&lt;&gt;"",WEEKDAY(AF$1,2)&lt;6),1,0),IF(AND(AI17&lt;&gt;"",WEEKDAY(AH$1,2)&lt;6),1,0),IF(AND(AK17&lt;&gt;"",WEEKDAY(AJ$1,2)&lt;6),1,0),IF(AND(AM17&lt;&gt;"",WEEKDAY(AL$1,2)&lt;6),1,0),IF(AND(AO17&lt;&gt;"",WEEKDAY(AN$1,2)&lt;6),1,0),IF(AND(AQ17&lt;&gt;"",WEEKDAY(AP$1,2)&lt;6),1,0),IF(AND(AS17&lt;&gt;"",WEEKDAY(AR$1,2)&lt;6),1,0),IF(AND(AU17&lt;&gt;"",WEEKDAY(AT$1,2)&lt;6),1,0),IF(AND(AW17&lt;&gt;"",WEEKDAY(AV$1,2)&lt;6),1,0),IF(AND(AY17&lt;&gt;"",WEEKDAY(AX$1,2)&lt;6),1,0),IF(AND(BA17&lt;&gt;"",WEEKDAY(AZ$1,2)&lt;6),1,0),IF(AND(BC17&lt;&gt;"",WEEKDAY(BB$1,2)&lt;6),1,0),IF(AND(BE17&lt;&gt;"",WEEKDAY(BD$1,2)&lt;6),1,0),IF(AND(BG17&lt;&gt;"",WEEKDAY(BF$1,2)&lt;6),1,0),IF(AND(BI17&lt;&gt;"",WEEKDAY(BH$1,2)&lt;6),1,0),IF(AND(BK17&lt;&gt;"",WEEKDAY(BJ$1,2)&lt;6),1,0),IF(AND(BM17&lt;&gt;"",WEEKDAY(BL$1,2)&lt;6),1,0))</f>
        <v>4</v>
      </c>
      <c r="BP17" s="85">
        <f>SUM(IF(AND((D17&lt;&gt;"")+(E17&lt;&gt;""),WEEKDAY(D$1,2)=6),1,0),IF(AND((F17&lt;&gt;"")+(G17&lt;&gt;""),WEEKDAY(F$1,2)=6),1,0),IF(AND((H17&lt;&gt;"")+(I17&lt;&gt;""),WEEKDAY(H$1,2)=6),1,0),IF(AND((J17&lt;&gt;"")+(K17&lt;&gt;""),WEEKDAY(J$1,2)=6),1,0),IF(AND((L17&lt;&gt;"")+(M17&lt;&gt;""),WEEKDAY(L$1,2)=6),1,0),IF(AND((N17&lt;&gt;"")+(O17&lt;&gt;""),WEEKDAY(N$1,2)=6),1,0),IF(AND((P17&lt;&gt;"")+(Q17&lt;&gt;""),WEEKDAY(P$1,2)=6),1,0),IF(AND((R17&lt;&gt;"")+(S17&lt;&gt;""),WEEKDAY(R$1,2)=6),1,0),IF(AND((T17&lt;&gt;"")+(U17&lt;&gt;""),WEEKDAY(T$1,2)=6),1,0),IF(AND((V17&lt;&gt;"")+(W17&lt;&gt;""),WEEKDAY(V$1,2)=6),1,0),IF(AND((X17&lt;&gt;"")+(Y17&lt;&gt;""),WEEKDAY(X$1,2)=6),1,0),IF(AND((Z17&lt;&gt;"")+(AA17&lt;&gt;""),WEEKDAY(Z$1,2)=6),1,0),IF(AND((AB17&lt;&gt;"")+(AC17&lt;&gt;""),WEEKDAY(AB$1,2)=6),1,0),IF(AND((AD17&lt;&gt;"")+(AE17&lt;&gt;""),WEEKDAY(AD$1,2)=6),1,0),IF(AND((AF17&lt;&gt;"")+(AG17&lt;&gt;""),WEEKDAY(AF$1,2)=6),1,0),IF(AND((AH17&lt;&gt;"")+(AI17&lt;&gt;""),WEEKDAY(AH$1,2)=6),1,0),IF(AND((AJ17&lt;&gt;"")+(AK17&lt;&gt;""),WEEKDAY(AJ$1,2)=6),1,0),IF(AND((AL17&lt;&gt;"")+(AM17&lt;&gt;""),WEEKDAY(AL$1,2)=6),1,0),IF(AND((AN17&lt;&gt;"")+(AO17&lt;&gt;""),WEEKDAY(AN$1,2)=6),1,0),IF(AND((AP17&lt;&gt;"")+(AQ17&lt;&gt;""),WEEKDAY(AP$1,2)=6),1,0),IF(AND((AR17&lt;&gt;"")+(AS17&lt;&gt;""),WEEKDAY(AR$1,2)=6),1,0),IF(AND((AT17&lt;&gt;"")+(AU17&lt;&gt;""),WEEKDAY(AT$1,2)=6),1,0),IF(AND((AV17&lt;&gt;"")+(AW17&lt;&gt;""),WEEKDAY(AV$1,2)=6),1,0),IF(AND((AX17&lt;&gt;"")+(AY17&lt;&gt;""),WEEKDAY(AX$1,2)=6),1,0),IF(AND((AZ17&lt;&gt;"")+(BA17&lt;&gt;""),WEEKDAY(AZ$1,2)=6),1,0),IF(AND((BB17&lt;&gt;"")+(BC17&lt;&gt;""),WEEKDAY(BB$1,2)=6),1,0),IF(AND((BD17&lt;&gt;"")+(BE17&lt;&gt;""),WEEKDAY(BD$1,2)=6),1,0),IF(AND((BF17&lt;&gt;"")+(BG17&lt;&gt;""),WEEKDAY(BF$1,2)=6),1,0),IF(AND((BH17&lt;&gt;"")+(BI17&lt;&gt;""),WEEKDAY(BH$1,2)=6),1,0),IF(AND((BJ17&lt;&gt;"")+(BK17&lt;&gt;""),WEEKDAY(BJ$1,2)=6),1,0),IF(AND((BL17&lt;&gt;"")+(BM17&lt;&gt;""),WEEKDAY(BL$1,2)=6),1,0))</f>
        <v>0</v>
      </c>
    </row>
    <row r="18" spans="1:68" ht="16.5">
      <c r="A18" s="86" t="s">
        <v>5</v>
      </c>
      <c r="B18" s="86" t="s">
        <v>22</v>
      </c>
      <c r="C18" s="92" t="s">
        <v>25</v>
      </c>
      <c r="D18" s="91"/>
      <c r="E18" s="91"/>
      <c r="F18" s="85"/>
      <c r="G18" s="85"/>
      <c r="H18" s="85"/>
      <c r="I18" s="85"/>
      <c r="J18" s="98"/>
      <c r="K18" s="98"/>
      <c r="L18" s="98"/>
      <c r="M18" s="98"/>
      <c r="N18" s="85"/>
      <c r="O18" s="85"/>
      <c r="P18" s="95"/>
      <c r="Q18" s="95"/>
      <c r="R18" s="91"/>
      <c r="S18" s="91"/>
      <c r="T18" s="85"/>
      <c r="U18" s="85"/>
      <c r="V18" s="85"/>
      <c r="W18" s="85"/>
      <c r="X18" s="85"/>
      <c r="Y18" s="88">
        <v>0.14027777777777778</v>
      </c>
      <c r="Z18" s="85"/>
      <c r="AA18" s="85"/>
      <c r="AB18" s="85"/>
      <c r="AC18" s="85"/>
      <c r="AD18" s="95"/>
      <c r="AE18" s="95"/>
      <c r="AF18" s="91"/>
      <c r="AG18" s="91"/>
      <c r="AH18" s="96"/>
      <c r="AI18" s="96"/>
      <c r="AJ18" s="85"/>
      <c r="AK18" s="85"/>
      <c r="AL18" s="85"/>
      <c r="AM18" s="85"/>
      <c r="AN18" s="85"/>
      <c r="AO18" s="85"/>
      <c r="AP18" s="85"/>
      <c r="AQ18" s="85"/>
      <c r="AR18" s="95"/>
      <c r="AS18" s="95"/>
      <c r="AT18" s="91"/>
      <c r="AU18" s="91"/>
      <c r="AV18" s="85"/>
      <c r="AW18" s="85"/>
      <c r="AX18" s="85"/>
      <c r="AY18" s="88">
        <v>0.12291666666666666</v>
      </c>
      <c r="AZ18" s="85"/>
      <c r="BA18" s="85"/>
      <c r="BB18" s="85"/>
      <c r="BC18" s="85"/>
      <c r="BD18" s="85"/>
      <c r="BE18" s="85"/>
      <c r="BF18" s="95"/>
      <c r="BG18" s="95"/>
      <c r="BH18" s="91"/>
      <c r="BI18" s="91"/>
      <c r="BJ18" s="85"/>
      <c r="BK18" s="85"/>
      <c r="BL18" s="98"/>
      <c r="BM18" s="98"/>
      <c r="BN18" s="85">
        <f>SUM(IF(AND(D18&lt;&gt;"",WEEKDAY(D$1,2)&lt;6),1,0),IF(AND(F18&lt;&gt;"",WEEKDAY(F$1,2)&lt;6),1,0),IF(AND(H18&lt;&gt;"",WEEKDAY(H$1,2)&lt;6),1,0),IF(AND(J18&lt;&gt;"",WEEKDAY(J$1,2)&lt;6),1,0),IF(AND(L18&lt;&gt;"",WEEKDAY(L$1,2)&lt;6),1,0),IF(AND(N18&lt;&gt;"",WEEKDAY(N$1,2)&lt;6),1,0),IF(AND(P18&lt;&gt;"",WEEKDAY(P$1,2)&lt;6),1,0),IF(AND(R18&lt;&gt;"",WEEKDAY(R$1,2)&lt;6),1,0),IF(AND(T18&lt;&gt;"",WEEKDAY(T$1,2)&lt;6),1,0),IF(AND(V18&lt;&gt;"",WEEKDAY(V$1,2)&lt;6),1,0),IF(AND(X18&lt;&gt;"",WEEKDAY(X$1,2)&lt;6),1,0),IF(AND(Z18&lt;&gt;"",WEEKDAY(Z$1,2)&lt;6),1,0),IF(AND(AB18&lt;&gt;"",WEEKDAY(AB$1,2)&lt;6),1,0),IF(AND(AD18&lt;&gt;"",WEEKDAY(AD$1,2)&lt;6),1,0),IF(AND(AF18&lt;&gt;"",WEEKDAY(AF$1,2)&lt;6),1,0),IF(AND(AH18&lt;&gt;"",WEEKDAY(AH$1,2)&lt;6),1,0),IF(AND(AJ18&lt;&gt;"",WEEKDAY(AJ$1,2)&lt;6),1,0),IF(AND(AL18&lt;&gt;"",WEEKDAY(AL$1,2)&lt;6),1,0),IF(AND(AN18&lt;&gt;"",WEEKDAY(AN$1,2)&lt;6),1,0),IF(AND(AP18&lt;&gt;"",WEEKDAY(AP$1,2)&lt;6),1,0),IF(AND(AR18&lt;&gt;"",WEEKDAY(AR$1,2)&lt;6),1,0),IF(AND(AT18&lt;&gt;"",WEEKDAY(AT$1,2)&lt;6),1,0),IF(AND(AV18&lt;&gt;"",WEEKDAY(AV$1,2)&lt;6),1,0),IF(AND(AX18&lt;&gt;"",WEEKDAY(AX$1,2)&lt;6),1,0),IF(AND(AZ18&lt;&gt;"",WEEKDAY(AZ$1,2)&lt;6),1,0),IF(AND(BB18&lt;&gt;"",WEEKDAY(BB$1,2)&lt;6),1,0),IF(AND(BD18&lt;&gt;"",WEEKDAY(BD$1,2)&lt;6),1,0),IF(AND(BF18&lt;&gt;"",WEEKDAY(BF$1,2)&lt;6),1,0),IF(AND(BH18&lt;&gt;"",WEEKDAY(BH$1,2)&lt;6),1,0),IF(AND(BJ18&lt;&gt;"",WEEKDAY(BJ$1,2)&lt;6),1,0),IF(AND(BL18&lt;&gt;"",WEEKDAY(BL$1,2)&lt;6),1,0))</f>
        <v>0</v>
      </c>
      <c r="BO18" s="85">
        <f>SUM(IF(AND(E18&lt;&gt;"",WEEKDAY(D$1,2)&lt;6),1,0),IF(AND(G18&lt;&gt;"",WEEKDAY(F$1,2)&lt;6),1,0),IF(AND(I18&lt;&gt;"",WEEKDAY(H$1,2)&lt;6),1,0),IF(AND(K18&lt;&gt;"",WEEKDAY(J$1,2)&lt;6),1,0),IF(AND(M18&lt;&gt;"",WEEKDAY(L$1,2)&lt;6),1,0),IF(AND(O18&lt;&gt;"",WEEKDAY(N$1,2)&lt;6),1,0),IF(AND(Q18&lt;&gt;"",WEEKDAY(P$1,2)&lt;6),1,0),IF(AND(S18&lt;&gt;"",WEEKDAY(R$1,2)&lt;6),1,0),IF(AND(U18&lt;&gt;"",WEEKDAY(T$1,2)&lt;6),1,0),IF(AND(W18&lt;&gt;"",WEEKDAY(V$1,2)&lt;6),1,0),IF(AND(Y18&lt;&gt;"",WEEKDAY(X$1,2)&lt;6),1,0),IF(AND(AA18&lt;&gt;"",WEEKDAY(Z$1,2)&lt;6),1,0),IF(AND(AC18&lt;&gt;"",WEEKDAY(AB$1,2)&lt;6),1,0),IF(AND(AE18&lt;&gt;"",WEEKDAY(AD$1,2)&lt;6),1,0),IF(AND(AG18&lt;&gt;"",WEEKDAY(AF$1,2)&lt;6),1,0),IF(AND(AI18&lt;&gt;"",WEEKDAY(AH$1,2)&lt;6),1,0),IF(AND(AK18&lt;&gt;"",WEEKDAY(AJ$1,2)&lt;6),1,0),IF(AND(AM18&lt;&gt;"",WEEKDAY(AL$1,2)&lt;6),1,0),IF(AND(AO18&lt;&gt;"",WEEKDAY(AN$1,2)&lt;6),1,0),IF(AND(AQ18&lt;&gt;"",WEEKDAY(AP$1,2)&lt;6),1,0),IF(AND(AS18&lt;&gt;"",WEEKDAY(AR$1,2)&lt;6),1,0),IF(AND(AU18&lt;&gt;"",WEEKDAY(AT$1,2)&lt;6),1,0),IF(AND(AW18&lt;&gt;"",WEEKDAY(AV$1,2)&lt;6),1,0),IF(AND(AY18&lt;&gt;"",WEEKDAY(AX$1,2)&lt;6),1,0),IF(AND(BA18&lt;&gt;"",WEEKDAY(AZ$1,2)&lt;6),1,0),IF(AND(BC18&lt;&gt;"",WEEKDAY(BB$1,2)&lt;6),1,0),IF(AND(BE18&lt;&gt;"",WEEKDAY(BD$1,2)&lt;6),1,0),IF(AND(BG18&lt;&gt;"",WEEKDAY(BF$1,2)&lt;6),1,0),IF(AND(BI18&lt;&gt;"",WEEKDAY(BH$1,2)&lt;6),1,0),IF(AND(BK18&lt;&gt;"",WEEKDAY(BJ$1,2)&lt;6),1,0),IF(AND(BM18&lt;&gt;"",WEEKDAY(BL$1,2)&lt;6),1,0))</f>
        <v>2</v>
      </c>
      <c r="BP18" s="85">
        <f>SUM(IF(AND((D18&lt;&gt;"")+(E18&lt;&gt;""),WEEKDAY(D$1,2)=6),1,0),IF(AND((F18&lt;&gt;"")+(G18&lt;&gt;""),WEEKDAY(F$1,2)=6),1,0),IF(AND((H18&lt;&gt;"")+(I18&lt;&gt;""),WEEKDAY(H$1,2)=6),1,0),IF(AND((J18&lt;&gt;"")+(K18&lt;&gt;""),WEEKDAY(J$1,2)=6),1,0),IF(AND((L18&lt;&gt;"")+(M18&lt;&gt;""),WEEKDAY(L$1,2)=6),1,0),IF(AND((N18&lt;&gt;"")+(O18&lt;&gt;""),WEEKDAY(N$1,2)=6),1,0),IF(AND((P18&lt;&gt;"")+(Q18&lt;&gt;""),WEEKDAY(P$1,2)=6),1,0),IF(AND((R18&lt;&gt;"")+(S18&lt;&gt;""),WEEKDAY(R$1,2)=6),1,0),IF(AND((T18&lt;&gt;"")+(U18&lt;&gt;""),WEEKDAY(T$1,2)=6),1,0),IF(AND((V18&lt;&gt;"")+(W18&lt;&gt;""),WEEKDAY(V$1,2)=6),1,0),IF(AND((X18&lt;&gt;"")+(Y18&lt;&gt;""),WEEKDAY(X$1,2)=6),1,0),IF(AND((Z18&lt;&gt;"")+(AA18&lt;&gt;""),WEEKDAY(Z$1,2)=6),1,0),IF(AND((AB18&lt;&gt;"")+(AC18&lt;&gt;""),WEEKDAY(AB$1,2)=6),1,0),IF(AND((AD18&lt;&gt;"")+(AE18&lt;&gt;""),WEEKDAY(AD$1,2)=6),1,0),IF(AND((AF18&lt;&gt;"")+(AG18&lt;&gt;""),WEEKDAY(AF$1,2)=6),1,0),IF(AND((AH18&lt;&gt;"")+(AI18&lt;&gt;""),WEEKDAY(AH$1,2)=6),1,0),IF(AND((AJ18&lt;&gt;"")+(AK18&lt;&gt;""),WEEKDAY(AJ$1,2)=6),1,0),IF(AND((AL18&lt;&gt;"")+(AM18&lt;&gt;""),WEEKDAY(AL$1,2)=6),1,0),IF(AND((AN18&lt;&gt;"")+(AO18&lt;&gt;""),WEEKDAY(AN$1,2)=6),1,0),IF(AND((AP18&lt;&gt;"")+(AQ18&lt;&gt;""),WEEKDAY(AP$1,2)=6),1,0),IF(AND((AR18&lt;&gt;"")+(AS18&lt;&gt;""),WEEKDAY(AR$1,2)=6),1,0),IF(AND((AT18&lt;&gt;"")+(AU18&lt;&gt;""),WEEKDAY(AT$1,2)=6),1,0),IF(AND((AV18&lt;&gt;"")+(AW18&lt;&gt;""),WEEKDAY(AV$1,2)=6),1,0),IF(AND((AX18&lt;&gt;"")+(AY18&lt;&gt;""),WEEKDAY(AX$1,2)=6),1,0),IF(AND((AZ18&lt;&gt;"")+(BA18&lt;&gt;""),WEEKDAY(AZ$1,2)=6),1,0),IF(AND((BB18&lt;&gt;"")+(BC18&lt;&gt;""),WEEKDAY(BB$1,2)=6),1,0),IF(AND((BD18&lt;&gt;"")+(BE18&lt;&gt;""),WEEKDAY(BD$1,2)=6),1,0),IF(AND((BF18&lt;&gt;"")+(BG18&lt;&gt;""),WEEKDAY(BF$1,2)=6),1,0),IF(AND((BH18&lt;&gt;"")+(BI18&lt;&gt;""),WEEKDAY(BH$1,2)=6),1,0),IF(AND((BJ18&lt;&gt;"")+(BK18&lt;&gt;""),WEEKDAY(BJ$1,2)=6),1,0),IF(AND((BL18&lt;&gt;"")+(BM18&lt;&gt;""),WEEKDAY(BL$1,2)=6),1,0))</f>
        <v>0</v>
      </c>
    </row>
    <row r="19" spans="1:68" ht="16.5">
      <c r="A19" s="86" t="s">
        <v>26</v>
      </c>
      <c r="B19" s="86" t="s">
        <v>27</v>
      </c>
      <c r="C19" s="92" t="s">
        <v>28</v>
      </c>
      <c r="D19" s="91"/>
      <c r="E19" s="91"/>
      <c r="F19" s="88">
        <v>0.3840277777777778</v>
      </c>
      <c r="G19" s="88">
        <v>0.14652777777777778</v>
      </c>
      <c r="H19" s="88">
        <v>0.38194444444444442</v>
      </c>
      <c r="I19" s="88">
        <v>0.14722222222222223</v>
      </c>
      <c r="J19" s="99">
        <v>0.3840277777777778</v>
      </c>
      <c r="K19" s="99">
        <v>0.14305555555555555</v>
      </c>
      <c r="L19" s="99">
        <v>0.38333333333333336</v>
      </c>
      <c r="M19" s="99">
        <v>0.16527777777777777</v>
      </c>
      <c r="N19" s="88">
        <v>0.46180555555555558</v>
      </c>
      <c r="O19" s="88">
        <v>0.14791666666666667</v>
      </c>
      <c r="P19" s="95"/>
      <c r="Q19" s="95"/>
      <c r="R19" s="91"/>
      <c r="S19" s="91"/>
      <c r="T19" s="88">
        <v>0.3840277777777778</v>
      </c>
      <c r="U19" s="88">
        <v>0.14930555555555555</v>
      </c>
      <c r="V19" s="88">
        <v>0.38541666666666669</v>
      </c>
      <c r="W19" s="88">
        <v>0.14791666666666667</v>
      </c>
      <c r="X19" s="88">
        <v>0.38333333333333336</v>
      </c>
      <c r="Y19" s="88">
        <v>0.13750000000000001</v>
      </c>
      <c r="Z19" s="88">
        <v>0.38472222222222224</v>
      </c>
      <c r="AA19" s="88">
        <v>0.15069444444444444</v>
      </c>
      <c r="AB19" s="88">
        <v>0.38680555555555557</v>
      </c>
      <c r="AC19" s="88">
        <v>0.14374999999999999</v>
      </c>
      <c r="AD19" s="102">
        <v>0.39444444444444443</v>
      </c>
      <c r="AE19" s="95"/>
      <c r="AF19" s="91"/>
      <c r="AG19" s="91"/>
      <c r="AH19" s="96"/>
      <c r="AI19" s="96"/>
      <c r="AJ19" s="88">
        <v>0.3840277777777778</v>
      </c>
      <c r="AK19" s="88">
        <v>0.15138888888888888</v>
      </c>
      <c r="AL19" s="88">
        <v>0.38611111111111113</v>
      </c>
      <c r="AM19" s="88">
        <v>0.14930555555555555</v>
      </c>
      <c r="AN19" s="88">
        <v>0.39027777777777778</v>
      </c>
      <c r="AO19" s="88">
        <v>0.13750000000000001</v>
      </c>
      <c r="AP19" s="88">
        <v>0.39097222222222222</v>
      </c>
      <c r="AQ19" s="88">
        <v>0.1451388888888889</v>
      </c>
      <c r="AR19" s="95"/>
      <c r="AS19" s="95"/>
      <c r="AT19" s="91"/>
      <c r="AU19" s="91"/>
      <c r="AV19" s="88">
        <v>0.38472222222222224</v>
      </c>
      <c r="AW19" s="88">
        <v>0.14722222222222223</v>
      </c>
      <c r="AX19" s="88">
        <v>0.38750000000000001</v>
      </c>
      <c r="AY19" s="88">
        <v>0.15416666666666667</v>
      </c>
      <c r="AZ19" s="88">
        <v>0.38263888888888886</v>
      </c>
      <c r="BA19" s="88">
        <v>0.14652777777777778</v>
      </c>
      <c r="BB19" s="88">
        <v>0.38819444444444445</v>
      </c>
      <c r="BC19" s="88">
        <v>0.14583333333333334</v>
      </c>
      <c r="BD19" s="88">
        <v>0.37916666666666665</v>
      </c>
      <c r="BE19" s="85"/>
      <c r="BF19" s="95"/>
      <c r="BG19" s="95"/>
      <c r="BH19" s="91"/>
      <c r="BI19" s="91"/>
      <c r="BJ19" s="88">
        <v>0.38194444444444442</v>
      </c>
      <c r="BK19" s="88">
        <v>0.15902777777777777</v>
      </c>
      <c r="BL19" s="99">
        <v>0.37986111111111109</v>
      </c>
      <c r="BM19" s="99">
        <v>0</v>
      </c>
      <c r="BN19" s="85">
        <f>SUM(IF(AND(D19&lt;&gt;"",WEEKDAY(D$1,2)&lt;6),1,0),IF(AND(F19&lt;&gt;"",WEEKDAY(F$1,2)&lt;6),1,0),IF(AND(H19&lt;&gt;"",WEEKDAY(H$1,2)&lt;6),1,0),IF(AND(J19&lt;&gt;"",WEEKDAY(J$1,2)&lt;6),1,0),IF(AND(L19&lt;&gt;"",WEEKDAY(L$1,2)&lt;6),1,0),IF(AND(N19&lt;&gt;"",WEEKDAY(N$1,2)&lt;6),1,0),IF(AND(P19&lt;&gt;"",WEEKDAY(P$1,2)&lt;6),1,0),IF(AND(R19&lt;&gt;"",WEEKDAY(R$1,2)&lt;6),1,0),IF(AND(T19&lt;&gt;"",WEEKDAY(T$1,2)&lt;6),1,0),IF(AND(V19&lt;&gt;"",WEEKDAY(V$1,2)&lt;6),1,0),IF(AND(X19&lt;&gt;"",WEEKDAY(X$1,2)&lt;6),1,0),IF(AND(Z19&lt;&gt;"",WEEKDAY(Z$1,2)&lt;6),1,0),IF(AND(AB19&lt;&gt;"",WEEKDAY(AB$1,2)&lt;6),1,0),IF(AND(AD19&lt;&gt;"",WEEKDAY(AD$1,2)&lt;6),1,0),IF(AND(AF19&lt;&gt;"",WEEKDAY(AF$1,2)&lt;6),1,0),IF(AND(AH19&lt;&gt;"",WEEKDAY(AH$1,2)&lt;6),1,0),IF(AND(AJ19&lt;&gt;"",WEEKDAY(AJ$1,2)&lt;6),1,0),IF(AND(AL19&lt;&gt;"",WEEKDAY(AL$1,2)&lt;6),1,0),IF(AND(AN19&lt;&gt;"",WEEKDAY(AN$1,2)&lt;6),1,0),IF(AND(AP19&lt;&gt;"",WEEKDAY(AP$1,2)&lt;6),1,0),IF(AND(AR19&lt;&gt;"",WEEKDAY(AR$1,2)&lt;6),1,0),IF(AND(AT19&lt;&gt;"",WEEKDAY(AT$1,2)&lt;6),1,0),IF(AND(AV19&lt;&gt;"",WEEKDAY(AV$1,2)&lt;6),1,0),IF(AND(AX19&lt;&gt;"",WEEKDAY(AX$1,2)&lt;6),1,0),IF(AND(AZ19&lt;&gt;"",WEEKDAY(AZ$1,2)&lt;6),1,0),IF(AND(BB19&lt;&gt;"",WEEKDAY(BB$1,2)&lt;6),1,0),IF(AND(BD19&lt;&gt;"",WEEKDAY(BD$1,2)&lt;6),1,0),IF(AND(BF19&lt;&gt;"",WEEKDAY(BF$1,2)&lt;6),1,0),IF(AND(BH19&lt;&gt;"",WEEKDAY(BH$1,2)&lt;6),1,0),IF(AND(BJ19&lt;&gt;"",WEEKDAY(BJ$1,2)&lt;6),1,0),IF(AND(BL19&lt;&gt;"",WEEKDAY(BL$1,2)&lt;6),1,0))</f>
        <v>21</v>
      </c>
      <c r="BO19" s="85">
        <f>SUM(IF(AND(E19&lt;&gt;"",WEEKDAY(D$1,2)&lt;6),1,0),IF(AND(G19&lt;&gt;"",WEEKDAY(F$1,2)&lt;6),1,0),IF(AND(I19&lt;&gt;"",WEEKDAY(H$1,2)&lt;6),1,0),IF(AND(K19&lt;&gt;"",WEEKDAY(J$1,2)&lt;6),1,0),IF(AND(M19&lt;&gt;"",WEEKDAY(L$1,2)&lt;6),1,0),IF(AND(O19&lt;&gt;"",WEEKDAY(N$1,2)&lt;6),1,0),IF(AND(Q19&lt;&gt;"",WEEKDAY(P$1,2)&lt;6),1,0),IF(AND(S19&lt;&gt;"",WEEKDAY(R$1,2)&lt;6),1,0),IF(AND(U19&lt;&gt;"",WEEKDAY(T$1,2)&lt;6),1,0),IF(AND(W19&lt;&gt;"",WEEKDAY(V$1,2)&lt;6),1,0),IF(AND(Y19&lt;&gt;"",WEEKDAY(X$1,2)&lt;6),1,0),IF(AND(AA19&lt;&gt;"",WEEKDAY(Z$1,2)&lt;6),1,0),IF(AND(AC19&lt;&gt;"",WEEKDAY(AB$1,2)&lt;6),1,0),IF(AND(AE19&lt;&gt;"",WEEKDAY(AD$1,2)&lt;6),1,0),IF(AND(AG19&lt;&gt;"",WEEKDAY(AF$1,2)&lt;6),1,0),IF(AND(AI19&lt;&gt;"",WEEKDAY(AH$1,2)&lt;6),1,0),IF(AND(AK19&lt;&gt;"",WEEKDAY(AJ$1,2)&lt;6),1,0),IF(AND(AM19&lt;&gt;"",WEEKDAY(AL$1,2)&lt;6),1,0),IF(AND(AO19&lt;&gt;"",WEEKDAY(AN$1,2)&lt;6),1,0),IF(AND(AQ19&lt;&gt;"",WEEKDAY(AP$1,2)&lt;6),1,0),IF(AND(AS19&lt;&gt;"",WEEKDAY(AR$1,2)&lt;6),1,0),IF(AND(AU19&lt;&gt;"",WEEKDAY(AT$1,2)&lt;6),1,0),IF(AND(AW19&lt;&gt;"",WEEKDAY(AV$1,2)&lt;6),1,0),IF(AND(AY19&lt;&gt;"",WEEKDAY(AX$1,2)&lt;6),1,0),IF(AND(BA19&lt;&gt;"",WEEKDAY(AZ$1,2)&lt;6),1,0),IF(AND(BC19&lt;&gt;"",WEEKDAY(BB$1,2)&lt;6),1,0),IF(AND(BE19&lt;&gt;"",WEEKDAY(BD$1,2)&lt;6),1,0),IF(AND(BG19&lt;&gt;"",WEEKDAY(BF$1,2)&lt;6),1,0),IF(AND(BI19&lt;&gt;"",WEEKDAY(BH$1,2)&lt;6),1,0),IF(AND(BK19&lt;&gt;"",WEEKDAY(BJ$1,2)&lt;6),1,0),IF(AND(BM19&lt;&gt;"",WEEKDAY(BL$1,2)&lt;6),1,0))</f>
        <v>20</v>
      </c>
      <c r="BP19" s="85">
        <f>SUM(IF(AND((D19&lt;&gt;"")+(E19&lt;&gt;""),WEEKDAY(D$1,2)=6),1,0),IF(AND((F19&lt;&gt;"")+(G19&lt;&gt;""),WEEKDAY(F$1,2)=6),1,0),IF(AND((H19&lt;&gt;"")+(I19&lt;&gt;""),WEEKDAY(H$1,2)=6),1,0),IF(AND((J19&lt;&gt;"")+(K19&lt;&gt;""),WEEKDAY(J$1,2)=6),1,0),IF(AND((L19&lt;&gt;"")+(M19&lt;&gt;""),WEEKDAY(L$1,2)=6),1,0),IF(AND((N19&lt;&gt;"")+(O19&lt;&gt;""),WEEKDAY(N$1,2)=6),1,0),IF(AND((P19&lt;&gt;"")+(Q19&lt;&gt;""),WEEKDAY(P$1,2)=6),1,0),IF(AND((R19&lt;&gt;"")+(S19&lt;&gt;""),WEEKDAY(R$1,2)=6),1,0),IF(AND((T19&lt;&gt;"")+(U19&lt;&gt;""),WEEKDAY(T$1,2)=6),1,0),IF(AND((V19&lt;&gt;"")+(W19&lt;&gt;""),WEEKDAY(V$1,2)=6),1,0),IF(AND((X19&lt;&gt;"")+(Y19&lt;&gt;""),WEEKDAY(X$1,2)=6),1,0),IF(AND((Z19&lt;&gt;"")+(AA19&lt;&gt;""),WEEKDAY(Z$1,2)=6),1,0),IF(AND((AB19&lt;&gt;"")+(AC19&lt;&gt;""),WEEKDAY(AB$1,2)=6),1,0),IF(AND((AD19&lt;&gt;"")+(AE19&lt;&gt;""),WEEKDAY(AD$1,2)=6),1,0),IF(AND((AF19&lt;&gt;"")+(AG19&lt;&gt;""),WEEKDAY(AF$1,2)=6),1,0),IF(AND((AH19&lt;&gt;"")+(AI19&lt;&gt;""),WEEKDAY(AH$1,2)=6),1,0),IF(AND((AJ19&lt;&gt;"")+(AK19&lt;&gt;""),WEEKDAY(AJ$1,2)=6),1,0),IF(AND((AL19&lt;&gt;"")+(AM19&lt;&gt;""),WEEKDAY(AL$1,2)=6),1,0),IF(AND((AN19&lt;&gt;"")+(AO19&lt;&gt;""),WEEKDAY(AN$1,2)=6),1,0),IF(AND((AP19&lt;&gt;"")+(AQ19&lt;&gt;""),WEEKDAY(AP$1,2)=6),1,0),IF(AND((AR19&lt;&gt;"")+(AS19&lt;&gt;""),WEEKDAY(AR$1,2)=6),1,0),IF(AND((AT19&lt;&gt;"")+(AU19&lt;&gt;""),WEEKDAY(AT$1,2)=6),1,0),IF(AND((AV19&lt;&gt;"")+(AW19&lt;&gt;""),WEEKDAY(AV$1,2)=6),1,0),IF(AND((AX19&lt;&gt;"")+(AY19&lt;&gt;""),WEEKDAY(AX$1,2)=6),1,0),IF(AND((AZ19&lt;&gt;"")+(BA19&lt;&gt;""),WEEKDAY(AZ$1,2)=6),1,0),IF(AND((BB19&lt;&gt;"")+(BC19&lt;&gt;""),WEEKDAY(BB$1,2)=6),1,0),IF(AND((BD19&lt;&gt;"")+(BE19&lt;&gt;""),WEEKDAY(BD$1,2)=6),1,0),IF(AND((BF19&lt;&gt;"")+(BG19&lt;&gt;""),WEEKDAY(BF$1,2)=6),1,0),IF(AND((BH19&lt;&gt;"")+(BI19&lt;&gt;""),WEEKDAY(BH$1,2)=6),1,0),IF(AND((BJ19&lt;&gt;"")+(BK19&lt;&gt;""),WEEKDAY(BJ$1,2)=6),1,0),IF(AND((BL19&lt;&gt;"")+(BM19&lt;&gt;""),WEEKDAY(BL$1,2)=6),1,0))</f>
        <v>1</v>
      </c>
    </row>
    <row r="20" spans="1:68" ht="16.5">
      <c r="A20" s="86" t="s">
        <v>26</v>
      </c>
      <c r="B20" s="86" t="s">
        <v>29</v>
      </c>
      <c r="C20" s="92" t="s">
        <v>30</v>
      </c>
      <c r="D20" s="97">
        <v>0.39097222222222222</v>
      </c>
      <c r="E20" s="91"/>
      <c r="F20" s="88">
        <v>0.36527777777777776</v>
      </c>
      <c r="G20" s="88">
        <v>0.13472222222222222</v>
      </c>
      <c r="H20" s="88">
        <v>0.36388888888888887</v>
      </c>
      <c r="I20" s="88">
        <v>0.14374999999999999</v>
      </c>
      <c r="J20" s="99">
        <v>0.34791666666666665</v>
      </c>
      <c r="K20" s="99">
        <v>0.13541666666666666</v>
      </c>
      <c r="L20" s="99">
        <v>0.35833333333333334</v>
      </c>
      <c r="M20" s="99">
        <v>0.12430555555555556</v>
      </c>
      <c r="N20" s="88">
        <v>0.34722222222222221</v>
      </c>
      <c r="O20" s="88">
        <v>0.14583333333333334</v>
      </c>
      <c r="P20" s="102">
        <v>0.34791666666666665</v>
      </c>
      <c r="Q20" s="95"/>
      <c r="R20" s="91"/>
      <c r="S20" s="91"/>
      <c r="T20" s="88">
        <v>0.34305555555555556</v>
      </c>
      <c r="U20" s="88">
        <v>0.13750000000000001</v>
      </c>
      <c r="V20" s="88">
        <v>0.37708333333333333</v>
      </c>
      <c r="W20" s="88">
        <v>0.12013888888888889</v>
      </c>
      <c r="X20" s="88">
        <v>0.28958333333333336</v>
      </c>
      <c r="Y20" s="88">
        <v>0.12986111111111112</v>
      </c>
      <c r="Z20" s="88">
        <v>0.3527777777777778</v>
      </c>
      <c r="AA20" s="88">
        <v>0.13263888888888889</v>
      </c>
      <c r="AB20" s="88">
        <v>0.34444444444444444</v>
      </c>
      <c r="AC20" s="88">
        <v>0.14791666666666667</v>
      </c>
      <c r="AD20" s="102">
        <v>0.3576388888888889</v>
      </c>
      <c r="AE20" s="95"/>
      <c r="AF20" s="91"/>
      <c r="AG20" s="91"/>
      <c r="AH20" s="96"/>
      <c r="AI20" s="96"/>
      <c r="AJ20" s="88">
        <v>0.36180555555555555</v>
      </c>
      <c r="AK20" s="88">
        <v>0.12638888888888888</v>
      </c>
      <c r="AL20" s="88">
        <v>0.34930555555555554</v>
      </c>
      <c r="AM20" s="88">
        <v>0.14444444444444443</v>
      </c>
      <c r="AN20" s="88">
        <v>0.35069444444444442</v>
      </c>
      <c r="AO20" s="88">
        <v>0.13472222222222222</v>
      </c>
      <c r="AP20" s="88">
        <v>0.34583333333333333</v>
      </c>
      <c r="AQ20" s="88">
        <v>0.14444444444444443</v>
      </c>
      <c r="AR20" s="102">
        <v>0.29166666666666669</v>
      </c>
      <c r="AS20" s="95"/>
      <c r="AT20" s="91"/>
      <c r="AU20" s="91"/>
      <c r="AV20" s="88">
        <v>0.35416666666666669</v>
      </c>
      <c r="AW20" s="88">
        <v>0.13958333333333334</v>
      </c>
      <c r="AX20" s="88">
        <v>0.35347222222222224</v>
      </c>
      <c r="AY20" s="88">
        <v>0.11597222222222223</v>
      </c>
      <c r="AZ20" s="88">
        <v>0.34652777777777777</v>
      </c>
      <c r="BA20" s="88">
        <v>0.14444444444444443</v>
      </c>
      <c r="BB20" s="88">
        <v>0.3527777777777778</v>
      </c>
      <c r="BC20" s="88">
        <v>0.13541666666666666</v>
      </c>
      <c r="BD20" s="88">
        <v>0.34722222222222221</v>
      </c>
      <c r="BE20" s="88">
        <v>0.12708333333333333</v>
      </c>
      <c r="BF20" s="95"/>
      <c r="BG20" s="95"/>
      <c r="BH20" s="91"/>
      <c r="BI20" s="91"/>
      <c r="BJ20" s="88">
        <v>0.34027777777777779</v>
      </c>
      <c r="BK20" s="88">
        <v>0.12847222222222221</v>
      </c>
      <c r="BL20" s="99">
        <v>0.34375</v>
      </c>
      <c r="BM20" s="99">
        <v>0</v>
      </c>
      <c r="BN20" s="85">
        <f>SUM(IF(AND(D20&lt;&gt;"",WEEKDAY(D$1,2)&lt;6),1,0),IF(AND(F20&lt;&gt;"",WEEKDAY(F$1,2)&lt;6),1,0),IF(AND(H20&lt;&gt;"",WEEKDAY(H$1,2)&lt;6),1,0),IF(AND(J20&lt;&gt;"",WEEKDAY(J$1,2)&lt;6),1,0),IF(AND(L20&lt;&gt;"",WEEKDAY(L$1,2)&lt;6),1,0),IF(AND(N20&lt;&gt;"",WEEKDAY(N$1,2)&lt;6),1,0),IF(AND(P20&lt;&gt;"",WEEKDAY(P$1,2)&lt;6),1,0),IF(AND(R20&lt;&gt;"",WEEKDAY(R$1,2)&lt;6),1,0),IF(AND(T20&lt;&gt;"",WEEKDAY(T$1,2)&lt;6),1,0),IF(AND(V20&lt;&gt;"",WEEKDAY(V$1,2)&lt;6),1,0),IF(AND(X20&lt;&gt;"",WEEKDAY(X$1,2)&lt;6),1,0),IF(AND(Z20&lt;&gt;"",WEEKDAY(Z$1,2)&lt;6),1,0),IF(AND(AB20&lt;&gt;"",WEEKDAY(AB$1,2)&lt;6),1,0),IF(AND(AD20&lt;&gt;"",WEEKDAY(AD$1,2)&lt;6),1,0),IF(AND(AF20&lt;&gt;"",WEEKDAY(AF$1,2)&lt;6),1,0),IF(AND(AH20&lt;&gt;"",WEEKDAY(AH$1,2)&lt;6),1,0),IF(AND(AJ20&lt;&gt;"",WEEKDAY(AJ$1,2)&lt;6),1,0),IF(AND(AL20&lt;&gt;"",WEEKDAY(AL$1,2)&lt;6),1,0),IF(AND(AN20&lt;&gt;"",WEEKDAY(AN$1,2)&lt;6),1,0),IF(AND(AP20&lt;&gt;"",WEEKDAY(AP$1,2)&lt;6),1,0),IF(AND(AR20&lt;&gt;"",WEEKDAY(AR$1,2)&lt;6),1,0),IF(AND(AT20&lt;&gt;"",WEEKDAY(AT$1,2)&lt;6),1,0),IF(AND(AV20&lt;&gt;"",WEEKDAY(AV$1,2)&lt;6),1,0),IF(AND(AX20&lt;&gt;"",WEEKDAY(AX$1,2)&lt;6),1,0),IF(AND(AZ20&lt;&gt;"",WEEKDAY(AZ$1,2)&lt;6),1,0),IF(AND(BB20&lt;&gt;"",WEEKDAY(BB$1,2)&lt;6),1,0),IF(AND(BD20&lt;&gt;"",WEEKDAY(BD$1,2)&lt;6),1,0),IF(AND(BF20&lt;&gt;"",WEEKDAY(BF$1,2)&lt;6),1,0),IF(AND(BH20&lt;&gt;"",WEEKDAY(BH$1,2)&lt;6),1,0),IF(AND(BJ20&lt;&gt;"",WEEKDAY(BJ$1,2)&lt;6),1,0),IF(AND(BL20&lt;&gt;"",WEEKDAY(BL$1,2)&lt;6),1,0))</f>
        <v>21</v>
      </c>
      <c r="BO20" s="85">
        <f>SUM(IF(AND(E20&lt;&gt;"",WEEKDAY(D$1,2)&lt;6),1,0),IF(AND(G20&lt;&gt;"",WEEKDAY(F$1,2)&lt;6),1,0),IF(AND(I20&lt;&gt;"",WEEKDAY(H$1,2)&lt;6),1,0),IF(AND(K20&lt;&gt;"",WEEKDAY(J$1,2)&lt;6),1,0),IF(AND(M20&lt;&gt;"",WEEKDAY(L$1,2)&lt;6),1,0),IF(AND(O20&lt;&gt;"",WEEKDAY(N$1,2)&lt;6),1,0),IF(AND(Q20&lt;&gt;"",WEEKDAY(P$1,2)&lt;6),1,0),IF(AND(S20&lt;&gt;"",WEEKDAY(R$1,2)&lt;6),1,0),IF(AND(U20&lt;&gt;"",WEEKDAY(T$1,2)&lt;6),1,0),IF(AND(W20&lt;&gt;"",WEEKDAY(V$1,2)&lt;6),1,0),IF(AND(Y20&lt;&gt;"",WEEKDAY(X$1,2)&lt;6),1,0),IF(AND(AA20&lt;&gt;"",WEEKDAY(Z$1,2)&lt;6),1,0),IF(AND(AC20&lt;&gt;"",WEEKDAY(AB$1,2)&lt;6),1,0),IF(AND(AE20&lt;&gt;"",WEEKDAY(AD$1,2)&lt;6),1,0),IF(AND(AG20&lt;&gt;"",WEEKDAY(AF$1,2)&lt;6),1,0),IF(AND(AI20&lt;&gt;"",WEEKDAY(AH$1,2)&lt;6),1,0),IF(AND(AK20&lt;&gt;"",WEEKDAY(AJ$1,2)&lt;6),1,0),IF(AND(AM20&lt;&gt;"",WEEKDAY(AL$1,2)&lt;6),1,0),IF(AND(AO20&lt;&gt;"",WEEKDAY(AN$1,2)&lt;6),1,0),IF(AND(AQ20&lt;&gt;"",WEEKDAY(AP$1,2)&lt;6),1,0),IF(AND(AS20&lt;&gt;"",WEEKDAY(AR$1,2)&lt;6),1,0),IF(AND(AU20&lt;&gt;"",WEEKDAY(AT$1,2)&lt;6),1,0),IF(AND(AW20&lt;&gt;"",WEEKDAY(AV$1,2)&lt;6),1,0),IF(AND(AY20&lt;&gt;"",WEEKDAY(AX$1,2)&lt;6),1,0),IF(AND(BA20&lt;&gt;"",WEEKDAY(AZ$1,2)&lt;6),1,0),IF(AND(BC20&lt;&gt;"",WEEKDAY(BB$1,2)&lt;6),1,0),IF(AND(BE20&lt;&gt;"",WEEKDAY(BD$1,2)&lt;6),1,0),IF(AND(BG20&lt;&gt;"",WEEKDAY(BF$1,2)&lt;6),1,0),IF(AND(BI20&lt;&gt;"",WEEKDAY(BH$1,2)&lt;6),1,0),IF(AND(BK20&lt;&gt;"",WEEKDAY(BJ$1,2)&lt;6),1,0),IF(AND(BM20&lt;&gt;"",WEEKDAY(BL$1,2)&lt;6),1,0))</f>
        <v>21</v>
      </c>
      <c r="BP20" s="85">
        <f>SUM(IF(AND((D20&lt;&gt;"")+(E20&lt;&gt;""),WEEKDAY(D$1,2)=6),1,0),IF(AND((F20&lt;&gt;"")+(G20&lt;&gt;""),WEEKDAY(F$1,2)=6),1,0),IF(AND((H20&lt;&gt;"")+(I20&lt;&gt;""),WEEKDAY(H$1,2)=6),1,0),IF(AND((J20&lt;&gt;"")+(K20&lt;&gt;""),WEEKDAY(J$1,2)=6),1,0),IF(AND((L20&lt;&gt;"")+(M20&lt;&gt;""),WEEKDAY(L$1,2)=6),1,0),IF(AND((N20&lt;&gt;"")+(O20&lt;&gt;""),WEEKDAY(N$1,2)=6),1,0),IF(AND((P20&lt;&gt;"")+(Q20&lt;&gt;""),WEEKDAY(P$1,2)=6),1,0),IF(AND((R20&lt;&gt;"")+(S20&lt;&gt;""),WEEKDAY(R$1,2)=6),1,0),IF(AND((T20&lt;&gt;"")+(U20&lt;&gt;""),WEEKDAY(T$1,2)=6),1,0),IF(AND((V20&lt;&gt;"")+(W20&lt;&gt;""),WEEKDAY(V$1,2)=6),1,0),IF(AND((X20&lt;&gt;"")+(Y20&lt;&gt;""),WEEKDAY(X$1,2)=6),1,0),IF(AND((Z20&lt;&gt;"")+(AA20&lt;&gt;""),WEEKDAY(Z$1,2)=6),1,0),IF(AND((AB20&lt;&gt;"")+(AC20&lt;&gt;""),WEEKDAY(AB$1,2)=6),1,0),IF(AND((AD20&lt;&gt;"")+(AE20&lt;&gt;""),WEEKDAY(AD$1,2)=6),1,0),IF(AND((AF20&lt;&gt;"")+(AG20&lt;&gt;""),WEEKDAY(AF$1,2)=6),1,0),IF(AND((AH20&lt;&gt;"")+(AI20&lt;&gt;""),WEEKDAY(AH$1,2)=6),1,0),IF(AND((AJ20&lt;&gt;"")+(AK20&lt;&gt;""),WEEKDAY(AJ$1,2)=6),1,0),IF(AND((AL20&lt;&gt;"")+(AM20&lt;&gt;""),WEEKDAY(AL$1,2)=6),1,0),IF(AND((AN20&lt;&gt;"")+(AO20&lt;&gt;""),WEEKDAY(AN$1,2)=6),1,0),IF(AND((AP20&lt;&gt;"")+(AQ20&lt;&gt;""),WEEKDAY(AP$1,2)=6),1,0),IF(AND((AR20&lt;&gt;"")+(AS20&lt;&gt;""),WEEKDAY(AR$1,2)=6),1,0),IF(AND((AT20&lt;&gt;"")+(AU20&lt;&gt;""),WEEKDAY(AT$1,2)=6),1,0),IF(AND((AV20&lt;&gt;"")+(AW20&lt;&gt;""),WEEKDAY(AV$1,2)=6),1,0),IF(AND((AX20&lt;&gt;"")+(AY20&lt;&gt;""),WEEKDAY(AX$1,2)=6),1,0),IF(AND((AZ20&lt;&gt;"")+(BA20&lt;&gt;""),WEEKDAY(AZ$1,2)=6),1,0),IF(AND((BB20&lt;&gt;"")+(BC20&lt;&gt;""),WEEKDAY(BB$1,2)=6),1,0),IF(AND((BD20&lt;&gt;"")+(BE20&lt;&gt;""),WEEKDAY(BD$1,2)=6),1,0),IF(AND((BF20&lt;&gt;"")+(BG20&lt;&gt;""),WEEKDAY(BF$1,2)=6),1,0),IF(AND((BH20&lt;&gt;"")+(BI20&lt;&gt;""),WEEKDAY(BH$1,2)=6),1,0),IF(AND((BJ20&lt;&gt;"")+(BK20&lt;&gt;""),WEEKDAY(BJ$1,2)=6),1,0),IF(AND((BL20&lt;&gt;"")+(BM20&lt;&gt;""),WEEKDAY(BL$1,2)=6),1,0))</f>
        <v>3</v>
      </c>
    </row>
    <row r="21" spans="1:68" ht="16.5">
      <c r="A21" s="86" t="s">
        <v>26</v>
      </c>
      <c r="B21" s="86" t="s">
        <v>31</v>
      </c>
      <c r="C21" s="92" t="s">
        <v>32</v>
      </c>
      <c r="D21" s="91"/>
      <c r="E21" s="91"/>
      <c r="F21" s="85"/>
      <c r="G21" s="85"/>
      <c r="H21" s="85"/>
      <c r="I21" s="85"/>
      <c r="J21" s="98"/>
      <c r="K21" s="98"/>
      <c r="L21" s="99">
        <v>0.42291666666666666</v>
      </c>
      <c r="M21" s="98"/>
      <c r="N21" s="88">
        <v>0.375</v>
      </c>
      <c r="O21" s="85"/>
      <c r="P21" s="95"/>
      <c r="Q21" s="95"/>
      <c r="R21" s="91"/>
      <c r="S21" s="91"/>
      <c r="T21" s="88">
        <v>0.35</v>
      </c>
      <c r="U21" s="88">
        <v>0.17569444444444443</v>
      </c>
      <c r="V21" s="85"/>
      <c r="W21" s="88">
        <v>0.21597222222222223</v>
      </c>
      <c r="X21" s="88">
        <v>0.38263888888888886</v>
      </c>
      <c r="Y21" s="85"/>
      <c r="Z21" s="85"/>
      <c r="AA21" s="88">
        <v>0.19166666666666668</v>
      </c>
      <c r="AB21" s="88">
        <v>0.37083333333333335</v>
      </c>
      <c r="AC21" s="85"/>
      <c r="AD21" s="102">
        <v>0.39027777777777778</v>
      </c>
      <c r="AE21" s="95"/>
      <c r="AF21" s="91"/>
      <c r="AG21" s="91"/>
      <c r="AH21" s="96"/>
      <c r="AI21" s="96"/>
      <c r="AJ21" s="88">
        <v>0.36249999999999999</v>
      </c>
      <c r="AK21" s="88">
        <v>0.21875</v>
      </c>
      <c r="AL21" s="88">
        <v>0.3659722222222222</v>
      </c>
      <c r="AM21" s="88">
        <v>0.16458333333333333</v>
      </c>
      <c r="AN21" s="85"/>
      <c r="AO21" s="88">
        <v>0.18124999999999999</v>
      </c>
      <c r="AP21" s="88">
        <v>0.41597222222222224</v>
      </c>
      <c r="AQ21" s="88">
        <v>0.23333333333333334</v>
      </c>
      <c r="AR21" s="95"/>
      <c r="AS21" s="95"/>
      <c r="AT21" s="91"/>
      <c r="AU21" s="91"/>
      <c r="AV21" s="88">
        <v>0.37708333333333333</v>
      </c>
      <c r="AW21" s="85"/>
      <c r="AX21" s="88">
        <v>0.36249999999999999</v>
      </c>
      <c r="AY21" s="85"/>
      <c r="AZ21" s="88">
        <v>0.37291666666666667</v>
      </c>
      <c r="BA21" s="88">
        <v>0.18402777777777779</v>
      </c>
      <c r="BB21" s="88">
        <v>0.36736111111111114</v>
      </c>
      <c r="BC21" s="88">
        <v>0.23402777777777778</v>
      </c>
      <c r="BD21" s="88">
        <v>0.35486111111111113</v>
      </c>
      <c r="BE21" s="85"/>
      <c r="BF21" s="95"/>
      <c r="BG21" s="95"/>
      <c r="BH21" s="91"/>
      <c r="BI21" s="91"/>
      <c r="BJ21" s="85"/>
      <c r="BK21" s="88">
        <v>0.16597222222222222</v>
      </c>
      <c r="BL21" s="99">
        <v>0.34791666666666665</v>
      </c>
      <c r="BM21" s="99">
        <v>0</v>
      </c>
      <c r="BN21" s="85">
        <f>SUM(IF(AND(D21&lt;&gt;"",WEEKDAY(D$1,2)&lt;6),1,0),IF(AND(F21&lt;&gt;"",WEEKDAY(F$1,2)&lt;6),1,0),IF(AND(H21&lt;&gt;"",WEEKDAY(H$1,2)&lt;6),1,0),IF(AND(J21&lt;&gt;"",WEEKDAY(J$1,2)&lt;6),1,0),IF(AND(L21&lt;&gt;"",WEEKDAY(L$1,2)&lt;6),1,0),IF(AND(N21&lt;&gt;"",WEEKDAY(N$1,2)&lt;6),1,0),IF(AND(P21&lt;&gt;"",WEEKDAY(P$1,2)&lt;6),1,0),IF(AND(R21&lt;&gt;"",WEEKDAY(R$1,2)&lt;6),1,0),IF(AND(T21&lt;&gt;"",WEEKDAY(T$1,2)&lt;6),1,0),IF(AND(V21&lt;&gt;"",WEEKDAY(V$1,2)&lt;6),1,0),IF(AND(X21&lt;&gt;"",WEEKDAY(X$1,2)&lt;6),1,0),IF(AND(Z21&lt;&gt;"",WEEKDAY(Z$1,2)&lt;6),1,0),IF(AND(AB21&lt;&gt;"",WEEKDAY(AB$1,2)&lt;6),1,0),IF(AND(AD21&lt;&gt;"",WEEKDAY(AD$1,2)&lt;6),1,0),IF(AND(AF21&lt;&gt;"",WEEKDAY(AF$1,2)&lt;6),1,0),IF(AND(AH21&lt;&gt;"",WEEKDAY(AH$1,2)&lt;6),1,0),IF(AND(AJ21&lt;&gt;"",WEEKDAY(AJ$1,2)&lt;6),1,0),IF(AND(AL21&lt;&gt;"",WEEKDAY(AL$1,2)&lt;6),1,0),IF(AND(AN21&lt;&gt;"",WEEKDAY(AN$1,2)&lt;6),1,0),IF(AND(AP21&lt;&gt;"",WEEKDAY(AP$1,2)&lt;6),1,0),IF(AND(AR21&lt;&gt;"",WEEKDAY(AR$1,2)&lt;6),1,0),IF(AND(AT21&lt;&gt;"",WEEKDAY(AT$1,2)&lt;6),1,0),IF(AND(AV21&lt;&gt;"",WEEKDAY(AV$1,2)&lt;6),1,0),IF(AND(AX21&lt;&gt;"",WEEKDAY(AX$1,2)&lt;6),1,0),IF(AND(AZ21&lt;&gt;"",WEEKDAY(AZ$1,2)&lt;6),1,0),IF(AND(BB21&lt;&gt;"",WEEKDAY(BB$1,2)&lt;6),1,0),IF(AND(BD21&lt;&gt;"",WEEKDAY(BD$1,2)&lt;6),1,0),IF(AND(BF21&lt;&gt;"",WEEKDAY(BF$1,2)&lt;6),1,0),IF(AND(BH21&lt;&gt;"",WEEKDAY(BH$1,2)&lt;6),1,0),IF(AND(BJ21&lt;&gt;"",WEEKDAY(BJ$1,2)&lt;6),1,0),IF(AND(BL21&lt;&gt;"",WEEKDAY(BL$1,2)&lt;6),1,0))</f>
        <v>14</v>
      </c>
      <c r="BO21" s="85">
        <f>SUM(IF(AND(E21&lt;&gt;"",WEEKDAY(D$1,2)&lt;6),1,0),IF(AND(G21&lt;&gt;"",WEEKDAY(F$1,2)&lt;6),1,0),IF(AND(I21&lt;&gt;"",WEEKDAY(H$1,2)&lt;6),1,0),IF(AND(K21&lt;&gt;"",WEEKDAY(J$1,2)&lt;6),1,0),IF(AND(M21&lt;&gt;"",WEEKDAY(L$1,2)&lt;6),1,0),IF(AND(O21&lt;&gt;"",WEEKDAY(N$1,2)&lt;6),1,0),IF(AND(Q21&lt;&gt;"",WEEKDAY(P$1,2)&lt;6),1,0),IF(AND(S21&lt;&gt;"",WEEKDAY(R$1,2)&lt;6),1,0),IF(AND(U21&lt;&gt;"",WEEKDAY(T$1,2)&lt;6),1,0),IF(AND(W21&lt;&gt;"",WEEKDAY(V$1,2)&lt;6),1,0),IF(AND(Y21&lt;&gt;"",WEEKDAY(X$1,2)&lt;6),1,0),IF(AND(AA21&lt;&gt;"",WEEKDAY(Z$1,2)&lt;6),1,0),IF(AND(AC21&lt;&gt;"",WEEKDAY(AB$1,2)&lt;6),1,0),IF(AND(AE21&lt;&gt;"",WEEKDAY(AD$1,2)&lt;6),1,0),IF(AND(AG21&lt;&gt;"",WEEKDAY(AF$1,2)&lt;6),1,0),IF(AND(AI21&lt;&gt;"",WEEKDAY(AH$1,2)&lt;6),1,0),IF(AND(AK21&lt;&gt;"",WEEKDAY(AJ$1,2)&lt;6),1,0),IF(AND(AM21&lt;&gt;"",WEEKDAY(AL$1,2)&lt;6),1,0),IF(AND(AO21&lt;&gt;"",WEEKDAY(AN$1,2)&lt;6),1,0),IF(AND(AQ21&lt;&gt;"",WEEKDAY(AP$1,2)&lt;6),1,0),IF(AND(AS21&lt;&gt;"",WEEKDAY(AR$1,2)&lt;6),1,0),IF(AND(AU21&lt;&gt;"",WEEKDAY(AT$1,2)&lt;6),1,0),IF(AND(AW21&lt;&gt;"",WEEKDAY(AV$1,2)&lt;6),1,0),IF(AND(AY21&lt;&gt;"",WEEKDAY(AX$1,2)&lt;6),1,0),IF(AND(BA21&lt;&gt;"",WEEKDAY(AZ$1,2)&lt;6),1,0),IF(AND(BC21&lt;&gt;"",WEEKDAY(BB$1,2)&lt;6),1,0),IF(AND(BE21&lt;&gt;"",WEEKDAY(BD$1,2)&lt;6),1,0),IF(AND(BG21&lt;&gt;"",WEEKDAY(BF$1,2)&lt;6),1,0),IF(AND(BI21&lt;&gt;"",WEEKDAY(BH$1,2)&lt;6),1,0),IF(AND(BK21&lt;&gt;"",WEEKDAY(BJ$1,2)&lt;6),1,0),IF(AND(BM21&lt;&gt;"",WEEKDAY(BL$1,2)&lt;6),1,0))</f>
        <v>11</v>
      </c>
      <c r="BP21" s="85">
        <f>SUM(IF(AND((D21&lt;&gt;"")+(E21&lt;&gt;""),WEEKDAY(D$1,2)=6),1,0),IF(AND((F21&lt;&gt;"")+(G21&lt;&gt;""),WEEKDAY(F$1,2)=6),1,0),IF(AND((H21&lt;&gt;"")+(I21&lt;&gt;""),WEEKDAY(H$1,2)=6),1,0),IF(AND((J21&lt;&gt;"")+(K21&lt;&gt;""),WEEKDAY(J$1,2)=6),1,0),IF(AND((L21&lt;&gt;"")+(M21&lt;&gt;""),WEEKDAY(L$1,2)=6),1,0),IF(AND((N21&lt;&gt;"")+(O21&lt;&gt;""),WEEKDAY(N$1,2)=6),1,0),IF(AND((P21&lt;&gt;"")+(Q21&lt;&gt;""),WEEKDAY(P$1,2)=6),1,0),IF(AND((R21&lt;&gt;"")+(S21&lt;&gt;""),WEEKDAY(R$1,2)=6),1,0),IF(AND((T21&lt;&gt;"")+(U21&lt;&gt;""),WEEKDAY(T$1,2)=6),1,0),IF(AND((V21&lt;&gt;"")+(W21&lt;&gt;""),WEEKDAY(V$1,2)=6),1,0),IF(AND((X21&lt;&gt;"")+(Y21&lt;&gt;""),WEEKDAY(X$1,2)=6),1,0),IF(AND((Z21&lt;&gt;"")+(AA21&lt;&gt;""),WEEKDAY(Z$1,2)=6),1,0),IF(AND((AB21&lt;&gt;"")+(AC21&lt;&gt;""),WEEKDAY(AB$1,2)=6),1,0),IF(AND((AD21&lt;&gt;"")+(AE21&lt;&gt;""),WEEKDAY(AD$1,2)=6),1,0),IF(AND((AF21&lt;&gt;"")+(AG21&lt;&gt;""),WEEKDAY(AF$1,2)=6),1,0),IF(AND((AH21&lt;&gt;"")+(AI21&lt;&gt;""),WEEKDAY(AH$1,2)=6),1,0),IF(AND((AJ21&lt;&gt;"")+(AK21&lt;&gt;""),WEEKDAY(AJ$1,2)=6),1,0),IF(AND((AL21&lt;&gt;"")+(AM21&lt;&gt;""),WEEKDAY(AL$1,2)=6),1,0),IF(AND((AN21&lt;&gt;"")+(AO21&lt;&gt;""),WEEKDAY(AN$1,2)=6),1,0),IF(AND((AP21&lt;&gt;"")+(AQ21&lt;&gt;""),WEEKDAY(AP$1,2)=6),1,0),IF(AND((AR21&lt;&gt;"")+(AS21&lt;&gt;""),WEEKDAY(AR$1,2)=6),1,0),IF(AND((AT21&lt;&gt;"")+(AU21&lt;&gt;""),WEEKDAY(AT$1,2)=6),1,0),IF(AND((AV21&lt;&gt;"")+(AW21&lt;&gt;""),WEEKDAY(AV$1,2)=6),1,0),IF(AND((AX21&lt;&gt;"")+(AY21&lt;&gt;""),WEEKDAY(AX$1,2)=6),1,0),IF(AND((AZ21&lt;&gt;"")+(BA21&lt;&gt;""),WEEKDAY(AZ$1,2)=6),1,0),IF(AND((BB21&lt;&gt;"")+(BC21&lt;&gt;""),WEEKDAY(BB$1,2)=6),1,0),IF(AND((BD21&lt;&gt;"")+(BE21&lt;&gt;""),WEEKDAY(BD$1,2)=6),1,0),IF(AND((BF21&lt;&gt;"")+(BG21&lt;&gt;""),WEEKDAY(BF$1,2)=6),1,0),IF(AND((BH21&lt;&gt;"")+(BI21&lt;&gt;""),WEEKDAY(BH$1,2)=6),1,0),IF(AND((BJ21&lt;&gt;"")+(BK21&lt;&gt;""),WEEKDAY(BJ$1,2)=6),1,0),IF(AND((BL21&lt;&gt;"")+(BM21&lt;&gt;""),WEEKDAY(BL$1,2)=6),1,0))</f>
        <v>1</v>
      </c>
    </row>
    <row r="22" spans="1:68" ht="16.5">
      <c r="A22" s="86" t="s">
        <v>26</v>
      </c>
      <c r="B22" s="86" t="s">
        <v>31</v>
      </c>
      <c r="C22" s="92" t="s">
        <v>33</v>
      </c>
      <c r="D22" s="91"/>
      <c r="E22" s="91"/>
      <c r="F22" s="85"/>
      <c r="G22" s="85"/>
      <c r="H22" s="85"/>
      <c r="I22" s="85"/>
      <c r="J22" s="98"/>
      <c r="K22" s="98"/>
      <c r="L22" s="98"/>
      <c r="M22" s="99">
        <v>6.1805555555555558E-2</v>
      </c>
      <c r="N22" s="85"/>
      <c r="O22" s="85"/>
      <c r="P22" s="95"/>
      <c r="Q22" s="95"/>
      <c r="R22" s="91"/>
      <c r="S22" s="91"/>
      <c r="T22" s="85"/>
      <c r="U22" s="85"/>
      <c r="V22" s="88">
        <v>0.37222222222222223</v>
      </c>
      <c r="W22" s="85"/>
      <c r="X22" s="85"/>
      <c r="Y22" s="85"/>
      <c r="Z22" s="85"/>
      <c r="AA22" s="85"/>
      <c r="AB22" s="85"/>
      <c r="AC22" s="85"/>
      <c r="AD22" s="95"/>
      <c r="AE22" s="95"/>
      <c r="AF22" s="91"/>
      <c r="AG22" s="91"/>
      <c r="AH22" s="96"/>
      <c r="AI22" s="96"/>
      <c r="AJ22" s="85"/>
      <c r="AK22" s="85"/>
      <c r="AL22" s="85"/>
      <c r="AM22" s="85"/>
      <c r="AN22" s="88">
        <v>0.35555555555555557</v>
      </c>
      <c r="AO22" s="85"/>
      <c r="AP22" s="85"/>
      <c r="AQ22" s="85"/>
      <c r="AR22" s="95"/>
      <c r="AS22" s="95"/>
      <c r="AT22" s="91"/>
      <c r="AU22" s="91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95"/>
      <c r="BG22" s="95"/>
      <c r="BH22" s="91"/>
      <c r="BI22" s="91"/>
      <c r="BJ22" s="85"/>
      <c r="BK22" s="85"/>
      <c r="BL22" s="98"/>
      <c r="BM22" s="98"/>
      <c r="BN22" s="85">
        <f>SUM(IF(AND(D22&lt;&gt;"",WEEKDAY(D$1,2)&lt;6),1,0),IF(AND(F22&lt;&gt;"",WEEKDAY(F$1,2)&lt;6),1,0),IF(AND(H22&lt;&gt;"",WEEKDAY(H$1,2)&lt;6),1,0),IF(AND(J22&lt;&gt;"",WEEKDAY(J$1,2)&lt;6),1,0),IF(AND(L22&lt;&gt;"",WEEKDAY(L$1,2)&lt;6),1,0),IF(AND(N22&lt;&gt;"",WEEKDAY(N$1,2)&lt;6),1,0),IF(AND(P22&lt;&gt;"",WEEKDAY(P$1,2)&lt;6),1,0),IF(AND(R22&lt;&gt;"",WEEKDAY(R$1,2)&lt;6),1,0),IF(AND(T22&lt;&gt;"",WEEKDAY(T$1,2)&lt;6),1,0),IF(AND(V22&lt;&gt;"",WEEKDAY(V$1,2)&lt;6),1,0),IF(AND(X22&lt;&gt;"",WEEKDAY(X$1,2)&lt;6),1,0),IF(AND(Z22&lt;&gt;"",WEEKDAY(Z$1,2)&lt;6),1,0),IF(AND(AB22&lt;&gt;"",WEEKDAY(AB$1,2)&lt;6),1,0),IF(AND(AD22&lt;&gt;"",WEEKDAY(AD$1,2)&lt;6),1,0),IF(AND(AF22&lt;&gt;"",WEEKDAY(AF$1,2)&lt;6),1,0),IF(AND(AH22&lt;&gt;"",WEEKDAY(AH$1,2)&lt;6),1,0),IF(AND(AJ22&lt;&gt;"",WEEKDAY(AJ$1,2)&lt;6),1,0),IF(AND(AL22&lt;&gt;"",WEEKDAY(AL$1,2)&lt;6),1,0),IF(AND(AN22&lt;&gt;"",WEEKDAY(AN$1,2)&lt;6),1,0),IF(AND(AP22&lt;&gt;"",WEEKDAY(AP$1,2)&lt;6),1,0),IF(AND(AR22&lt;&gt;"",WEEKDAY(AR$1,2)&lt;6),1,0),IF(AND(AT22&lt;&gt;"",WEEKDAY(AT$1,2)&lt;6),1,0),IF(AND(AV22&lt;&gt;"",WEEKDAY(AV$1,2)&lt;6),1,0),IF(AND(AX22&lt;&gt;"",WEEKDAY(AX$1,2)&lt;6),1,0),IF(AND(AZ22&lt;&gt;"",WEEKDAY(AZ$1,2)&lt;6),1,0),IF(AND(BB22&lt;&gt;"",WEEKDAY(BB$1,2)&lt;6),1,0),IF(AND(BD22&lt;&gt;"",WEEKDAY(BD$1,2)&lt;6),1,0),IF(AND(BF22&lt;&gt;"",WEEKDAY(BF$1,2)&lt;6),1,0),IF(AND(BH22&lt;&gt;"",WEEKDAY(BH$1,2)&lt;6),1,0),IF(AND(BJ22&lt;&gt;"",WEEKDAY(BJ$1,2)&lt;6),1,0),IF(AND(BL22&lt;&gt;"",WEEKDAY(BL$1,2)&lt;6),1,0))</f>
        <v>2</v>
      </c>
      <c r="BO22" s="85">
        <f>SUM(IF(AND(E22&lt;&gt;"",WEEKDAY(D$1,2)&lt;6),1,0),IF(AND(G22&lt;&gt;"",WEEKDAY(F$1,2)&lt;6),1,0),IF(AND(I22&lt;&gt;"",WEEKDAY(H$1,2)&lt;6),1,0),IF(AND(K22&lt;&gt;"",WEEKDAY(J$1,2)&lt;6),1,0),IF(AND(M22&lt;&gt;"",WEEKDAY(L$1,2)&lt;6),1,0),IF(AND(O22&lt;&gt;"",WEEKDAY(N$1,2)&lt;6),1,0),IF(AND(Q22&lt;&gt;"",WEEKDAY(P$1,2)&lt;6),1,0),IF(AND(S22&lt;&gt;"",WEEKDAY(R$1,2)&lt;6),1,0),IF(AND(U22&lt;&gt;"",WEEKDAY(T$1,2)&lt;6),1,0),IF(AND(W22&lt;&gt;"",WEEKDAY(V$1,2)&lt;6),1,0),IF(AND(Y22&lt;&gt;"",WEEKDAY(X$1,2)&lt;6),1,0),IF(AND(AA22&lt;&gt;"",WEEKDAY(Z$1,2)&lt;6),1,0),IF(AND(AC22&lt;&gt;"",WEEKDAY(AB$1,2)&lt;6),1,0),IF(AND(AE22&lt;&gt;"",WEEKDAY(AD$1,2)&lt;6),1,0),IF(AND(AG22&lt;&gt;"",WEEKDAY(AF$1,2)&lt;6),1,0),IF(AND(AI22&lt;&gt;"",WEEKDAY(AH$1,2)&lt;6),1,0),IF(AND(AK22&lt;&gt;"",WEEKDAY(AJ$1,2)&lt;6),1,0),IF(AND(AM22&lt;&gt;"",WEEKDAY(AL$1,2)&lt;6),1,0),IF(AND(AO22&lt;&gt;"",WEEKDAY(AN$1,2)&lt;6),1,0),IF(AND(AQ22&lt;&gt;"",WEEKDAY(AP$1,2)&lt;6),1,0),IF(AND(AS22&lt;&gt;"",WEEKDAY(AR$1,2)&lt;6),1,0),IF(AND(AU22&lt;&gt;"",WEEKDAY(AT$1,2)&lt;6),1,0),IF(AND(AW22&lt;&gt;"",WEEKDAY(AV$1,2)&lt;6),1,0),IF(AND(AY22&lt;&gt;"",WEEKDAY(AX$1,2)&lt;6),1,0),IF(AND(BA22&lt;&gt;"",WEEKDAY(AZ$1,2)&lt;6),1,0),IF(AND(BC22&lt;&gt;"",WEEKDAY(BB$1,2)&lt;6),1,0),IF(AND(BE22&lt;&gt;"",WEEKDAY(BD$1,2)&lt;6),1,0),IF(AND(BG22&lt;&gt;"",WEEKDAY(BF$1,2)&lt;6),1,0),IF(AND(BI22&lt;&gt;"",WEEKDAY(BH$1,2)&lt;6),1,0),IF(AND(BK22&lt;&gt;"",WEEKDAY(BJ$1,2)&lt;6),1,0),IF(AND(BM22&lt;&gt;"",WEEKDAY(BL$1,2)&lt;6),1,0))</f>
        <v>1</v>
      </c>
      <c r="BP22" s="85">
        <f>SUM(IF(AND((D22&lt;&gt;"")+(E22&lt;&gt;""),WEEKDAY(D$1,2)=6),1,0),IF(AND((F22&lt;&gt;"")+(G22&lt;&gt;""),WEEKDAY(F$1,2)=6),1,0),IF(AND((H22&lt;&gt;"")+(I22&lt;&gt;""),WEEKDAY(H$1,2)=6),1,0),IF(AND((J22&lt;&gt;"")+(K22&lt;&gt;""),WEEKDAY(J$1,2)=6),1,0),IF(AND((L22&lt;&gt;"")+(M22&lt;&gt;""),WEEKDAY(L$1,2)=6),1,0),IF(AND((N22&lt;&gt;"")+(O22&lt;&gt;""),WEEKDAY(N$1,2)=6),1,0),IF(AND((P22&lt;&gt;"")+(Q22&lt;&gt;""),WEEKDAY(P$1,2)=6),1,0),IF(AND((R22&lt;&gt;"")+(S22&lt;&gt;""),WEEKDAY(R$1,2)=6),1,0),IF(AND((T22&lt;&gt;"")+(U22&lt;&gt;""),WEEKDAY(T$1,2)=6),1,0),IF(AND((V22&lt;&gt;"")+(W22&lt;&gt;""),WEEKDAY(V$1,2)=6),1,0),IF(AND((X22&lt;&gt;"")+(Y22&lt;&gt;""),WEEKDAY(X$1,2)=6),1,0),IF(AND((Z22&lt;&gt;"")+(AA22&lt;&gt;""),WEEKDAY(Z$1,2)=6),1,0),IF(AND((AB22&lt;&gt;"")+(AC22&lt;&gt;""),WEEKDAY(AB$1,2)=6),1,0),IF(AND((AD22&lt;&gt;"")+(AE22&lt;&gt;""),WEEKDAY(AD$1,2)=6),1,0),IF(AND((AF22&lt;&gt;"")+(AG22&lt;&gt;""),WEEKDAY(AF$1,2)=6),1,0),IF(AND((AH22&lt;&gt;"")+(AI22&lt;&gt;""),WEEKDAY(AH$1,2)=6),1,0),IF(AND((AJ22&lt;&gt;"")+(AK22&lt;&gt;""),WEEKDAY(AJ$1,2)=6),1,0),IF(AND((AL22&lt;&gt;"")+(AM22&lt;&gt;""),WEEKDAY(AL$1,2)=6),1,0),IF(AND((AN22&lt;&gt;"")+(AO22&lt;&gt;""),WEEKDAY(AN$1,2)=6),1,0),IF(AND((AP22&lt;&gt;"")+(AQ22&lt;&gt;""),WEEKDAY(AP$1,2)=6),1,0),IF(AND((AR22&lt;&gt;"")+(AS22&lt;&gt;""),WEEKDAY(AR$1,2)=6),1,0),IF(AND((AT22&lt;&gt;"")+(AU22&lt;&gt;""),WEEKDAY(AT$1,2)=6),1,0),IF(AND((AV22&lt;&gt;"")+(AW22&lt;&gt;""),WEEKDAY(AV$1,2)=6),1,0),IF(AND((AX22&lt;&gt;"")+(AY22&lt;&gt;""),WEEKDAY(AX$1,2)=6),1,0),IF(AND((AZ22&lt;&gt;"")+(BA22&lt;&gt;""),WEEKDAY(AZ$1,2)=6),1,0),IF(AND((BB22&lt;&gt;"")+(BC22&lt;&gt;""),WEEKDAY(BB$1,2)=6),1,0),IF(AND((BD22&lt;&gt;"")+(BE22&lt;&gt;""),WEEKDAY(BD$1,2)=6),1,0),IF(AND((BF22&lt;&gt;"")+(BG22&lt;&gt;""),WEEKDAY(BF$1,2)=6),1,0),IF(AND((BH22&lt;&gt;"")+(BI22&lt;&gt;""),WEEKDAY(BH$1,2)=6),1,0),IF(AND((BJ22&lt;&gt;"")+(BK22&lt;&gt;""),WEEKDAY(BJ$1,2)=6),1,0),IF(AND((BL22&lt;&gt;"")+(BM22&lt;&gt;""),WEEKDAY(BL$1,2)=6),1,0))</f>
        <v>0</v>
      </c>
    </row>
    <row r="23" spans="1:68" ht="16.5">
      <c r="A23" s="86" t="s">
        <v>26</v>
      </c>
      <c r="B23" s="86" t="s">
        <v>31</v>
      </c>
      <c r="C23" s="92" t="s">
        <v>34</v>
      </c>
      <c r="D23" s="91"/>
      <c r="E23" s="91"/>
      <c r="F23" s="88">
        <v>0.37638888888888888</v>
      </c>
      <c r="G23" s="85"/>
      <c r="H23" s="88">
        <v>0.38819444444444445</v>
      </c>
      <c r="I23" s="85"/>
      <c r="J23" s="98"/>
      <c r="K23" s="98"/>
      <c r="L23" s="98"/>
      <c r="M23" s="98"/>
      <c r="N23" s="85"/>
      <c r="O23" s="85"/>
      <c r="P23" s="95"/>
      <c r="Q23" s="95"/>
      <c r="R23" s="91"/>
      <c r="S23" s="91"/>
      <c r="T23" s="85"/>
      <c r="U23" s="85"/>
      <c r="V23" s="85"/>
      <c r="W23" s="85"/>
      <c r="X23" s="85"/>
      <c r="Y23" s="85"/>
      <c r="Z23" s="85"/>
      <c r="AA23" s="85"/>
      <c r="AB23" s="85"/>
      <c r="AC23" s="88">
        <v>0.13958333333333334</v>
      </c>
      <c r="AD23" s="95"/>
      <c r="AE23" s="95"/>
      <c r="AF23" s="91"/>
      <c r="AG23" s="91"/>
      <c r="AH23" s="96"/>
      <c r="AI23" s="96"/>
      <c r="AJ23" s="85"/>
      <c r="AK23" s="85"/>
      <c r="AL23" s="85"/>
      <c r="AM23" s="85"/>
      <c r="AN23" s="85"/>
      <c r="AO23" s="85"/>
      <c r="AP23" s="85"/>
      <c r="AQ23" s="85"/>
      <c r="AR23" s="95"/>
      <c r="AS23" s="95"/>
      <c r="AT23" s="91"/>
      <c r="AU23" s="91"/>
      <c r="AV23" s="85"/>
      <c r="AW23" s="88">
        <v>0.14930555555555555</v>
      </c>
      <c r="AX23" s="85"/>
      <c r="AY23" s="88">
        <v>0.17847222222222223</v>
      </c>
      <c r="AZ23" s="85"/>
      <c r="BA23" s="85"/>
      <c r="BB23" s="85"/>
      <c r="BC23" s="85"/>
      <c r="BD23" s="85"/>
      <c r="BE23" s="85"/>
      <c r="BF23" s="95"/>
      <c r="BG23" s="95"/>
      <c r="BH23" s="91"/>
      <c r="BI23" s="91"/>
      <c r="BJ23" s="85"/>
      <c r="BK23" s="85"/>
      <c r="BL23" s="98"/>
      <c r="BM23" s="98"/>
      <c r="BN23" s="85">
        <f>SUM(IF(AND(D23&lt;&gt;"",WEEKDAY(D$1,2)&lt;6),1,0),IF(AND(F23&lt;&gt;"",WEEKDAY(F$1,2)&lt;6),1,0),IF(AND(H23&lt;&gt;"",WEEKDAY(H$1,2)&lt;6),1,0),IF(AND(J23&lt;&gt;"",WEEKDAY(J$1,2)&lt;6),1,0),IF(AND(L23&lt;&gt;"",WEEKDAY(L$1,2)&lt;6),1,0),IF(AND(N23&lt;&gt;"",WEEKDAY(N$1,2)&lt;6),1,0),IF(AND(P23&lt;&gt;"",WEEKDAY(P$1,2)&lt;6),1,0),IF(AND(R23&lt;&gt;"",WEEKDAY(R$1,2)&lt;6),1,0),IF(AND(T23&lt;&gt;"",WEEKDAY(T$1,2)&lt;6),1,0),IF(AND(V23&lt;&gt;"",WEEKDAY(V$1,2)&lt;6),1,0),IF(AND(X23&lt;&gt;"",WEEKDAY(X$1,2)&lt;6),1,0),IF(AND(Z23&lt;&gt;"",WEEKDAY(Z$1,2)&lt;6),1,0),IF(AND(AB23&lt;&gt;"",WEEKDAY(AB$1,2)&lt;6),1,0),IF(AND(AD23&lt;&gt;"",WEEKDAY(AD$1,2)&lt;6),1,0),IF(AND(AF23&lt;&gt;"",WEEKDAY(AF$1,2)&lt;6),1,0),IF(AND(AH23&lt;&gt;"",WEEKDAY(AH$1,2)&lt;6),1,0),IF(AND(AJ23&lt;&gt;"",WEEKDAY(AJ$1,2)&lt;6),1,0),IF(AND(AL23&lt;&gt;"",WEEKDAY(AL$1,2)&lt;6),1,0),IF(AND(AN23&lt;&gt;"",WEEKDAY(AN$1,2)&lt;6),1,0),IF(AND(AP23&lt;&gt;"",WEEKDAY(AP$1,2)&lt;6),1,0),IF(AND(AR23&lt;&gt;"",WEEKDAY(AR$1,2)&lt;6),1,0),IF(AND(AT23&lt;&gt;"",WEEKDAY(AT$1,2)&lt;6),1,0),IF(AND(AV23&lt;&gt;"",WEEKDAY(AV$1,2)&lt;6),1,0),IF(AND(AX23&lt;&gt;"",WEEKDAY(AX$1,2)&lt;6),1,0),IF(AND(AZ23&lt;&gt;"",WEEKDAY(AZ$1,2)&lt;6),1,0),IF(AND(BB23&lt;&gt;"",WEEKDAY(BB$1,2)&lt;6),1,0),IF(AND(BD23&lt;&gt;"",WEEKDAY(BD$1,2)&lt;6),1,0),IF(AND(BF23&lt;&gt;"",WEEKDAY(BF$1,2)&lt;6),1,0),IF(AND(BH23&lt;&gt;"",WEEKDAY(BH$1,2)&lt;6),1,0),IF(AND(BJ23&lt;&gt;"",WEEKDAY(BJ$1,2)&lt;6),1,0),IF(AND(BL23&lt;&gt;"",WEEKDAY(BL$1,2)&lt;6),1,0))</f>
        <v>2</v>
      </c>
      <c r="BO23" s="85">
        <f>SUM(IF(AND(E23&lt;&gt;"",WEEKDAY(D$1,2)&lt;6),1,0),IF(AND(G23&lt;&gt;"",WEEKDAY(F$1,2)&lt;6),1,0),IF(AND(I23&lt;&gt;"",WEEKDAY(H$1,2)&lt;6),1,0),IF(AND(K23&lt;&gt;"",WEEKDAY(J$1,2)&lt;6),1,0),IF(AND(M23&lt;&gt;"",WEEKDAY(L$1,2)&lt;6),1,0),IF(AND(O23&lt;&gt;"",WEEKDAY(N$1,2)&lt;6),1,0),IF(AND(Q23&lt;&gt;"",WEEKDAY(P$1,2)&lt;6),1,0),IF(AND(S23&lt;&gt;"",WEEKDAY(R$1,2)&lt;6),1,0),IF(AND(U23&lt;&gt;"",WEEKDAY(T$1,2)&lt;6),1,0),IF(AND(W23&lt;&gt;"",WEEKDAY(V$1,2)&lt;6),1,0),IF(AND(Y23&lt;&gt;"",WEEKDAY(X$1,2)&lt;6),1,0),IF(AND(AA23&lt;&gt;"",WEEKDAY(Z$1,2)&lt;6),1,0),IF(AND(AC23&lt;&gt;"",WEEKDAY(AB$1,2)&lt;6),1,0),IF(AND(AE23&lt;&gt;"",WEEKDAY(AD$1,2)&lt;6),1,0),IF(AND(AG23&lt;&gt;"",WEEKDAY(AF$1,2)&lt;6),1,0),IF(AND(AI23&lt;&gt;"",WEEKDAY(AH$1,2)&lt;6),1,0),IF(AND(AK23&lt;&gt;"",WEEKDAY(AJ$1,2)&lt;6),1,0),IF(AND(AM23&lt;&gt;"",WEEKDAY(AL$1,2)&lt;6),1,0),IF(AND(AO23&lt;&gt;"",WEEKDAY(AN$1,2)&lt;6),1,0),IF(AND(AQ23&lt;&gt;"",WEEKDAY(AP$1,2)&lt;6),1,0),IF(AND(AS23&lt;&gt;"",WEEKDAY(AR$1,2)&lt;6),1,0),IF(AND(AU23&lt;&gt;"",WEEKDAY(AT$1,2)&lt;6),1,0),IF(AND(AW23&lt;&gt;"",WEEKDAY(AV$1,2)&lt;6),1,0),IF(AND(AY23&lt;&gt;"",WEEKDAY(AX$1,2)&lt;6),1,0),IF(AND(BA23&lt;&gt;"",WEEKDAY(AZ$1,2)&lt;6),1,0),IF(AND(BC23&lt;&gt;"",WEEKDAY(BB$1,2)&lt;6),1,0),IF(AND(BE23&lt;&gt;"",WEEKDAY(BD$1,2)&lt;6),1,0),IF(AND(BG23&lt;&gt;"",WEEKDAY(BF$1,2)&lt;6),1,0),IF(AND(BI23&lt;&gt;"",WEEKDAY(BH$1,2)&lt;6),1,0),IF(AND(BK23&lt;&gt;"",WEEKDAY(BJ$1,2)&lt;6),1,0),IF(AND(BM23&lt;&gt;"",WEEKDAY(BL$1,2)&lt;6),1,0))</f>
        <v>3</v>
      </c>
      <c r="BP23" s="85">
        <f>SUM(IF(AND((D23&lt;&gt;"")+(E23&lt;&gt;""),WEEKDAY(D$1,2)=6),1,0),IF(AND((F23&lt;&gt;"")+(G23&lt;&gt;""),WEEKDAY(F$1,2)=6),1,0),IF(AND((H23&lt;&gt;"")+(I23&lt;&gt;""),WEEKDAY(H$1,2)=6),1,0),IF(AND((J23&lt;&gt;"")+(K23&lt;&gt;""),WEEKDAY(J$1,2)=6),1,0),IF(AND((L23&lt;&gt;"")+(M23&lt;&gt;""),WEEKDAY(L$1,2)=6),1,0),IF(AND((N23&lt;&gt;"")+(O23&lt;&gt;""),WEEKDAY(N$1,2)=6),1,0),IF(AND((P23&lt;&gt;"")+(Q23&lt;&gt;""),WEEKDAY(P$1,2)=6),1,0),IF(AND((R23&lt;&gt;"")+(S23&lt;&gt;""),WEEKDAY(R$1,2)=6),1,0),IF(AND((T23&lt;&gt;"")+(U23&lt;&gt;""),WEEKDAY(T$1,2)=6),1,0),IF(AND((V23&lt;&gt;"")+(W23&lt;&gt;""),WEEKDAY(V$1,2)=6),1,0),IF(AND((X23&lt;&gt;"")+(Y23&lt;&gt;""),WEEKDAY(X$1,2)=6),1,0),IF(AND((Z23&lt;&gt;"")+(AA23&lt;&gt;""),WEEKDAY(Z$1,2)=6),1,0),IF(AND((AB23&lt;&gt;"")+(AC23&lt;&gt;""),WEEKDAY(AB$1,2)=6),1,0),IF(AND((AD23&lt;&gt;"")+(AE23&lt;&gt;""),WEEKDAY(AD$1,2)=6),1,0),IF(AND((AF23&lt;&gt;"")+(AG23&lt;&gt;""),WEEKDAY(AF$1,2)=6),1,0),IF(AND((AH23&lt;&gt;"")+(AI23&lt;&gt;""),WEEKDAY(AH$1,2)=6),1,0),IF(AND((AJ23&lt;&gt;"")+(AK23&lt;&gt;""),WEEKDAY(AJ$1,2)=6),1,0),IF(AND((AL23&lt;&gt;"")+(AM23&lt;&gt;""),WEEKDAY(AL$1,2)=6),1,0),IF(AND((AN23&lt;&gt;"")+(AO23&lt;&gt;""),WEEKDAY(AN$1,2)=6),1,0),IF(AND((AP23&lt;&gt;"")+(AQ23&lt;&gt;""),WEEKDAY(AP$1,2)=6),1,0),IF(AND((AR23&lt;&gt;"")+(AS23&lt;&gt;""),WEEKDAY(AR$1,2)=6),1,0),IF(AND((AT23&lt;&gt;"")+(AU23&lt;&gt;""),WEEKDAY(AT$1,2)=6),1,0),IF(AND((AV23&lt;&gt;"")+(AW23&lt;&gt;""),WEEKDAY(AV$1,2)=6),1,0),IF(AND((AX23&lt;&gt;"")+(AY23&lt;&gt;""),WEEKDAY(AX$1,2)=6),1,0),IF(AND((AZ23&lt;&gt;"")+(BA23&lt;&gt;""),WEEKDAY(AZ$1,2)=6),1,0),IF(AND((BB23&lt;&gt;"")+(BC23&lt;&gt;""),WEEKDAY(BB$1,2)=6),1,0),IF(AND((BD23&lt;&gt;"")+(BE23&lt;&gt;""),WEEKDAY(BD$1,2)=6),1,0),IF(AND((BF23&lt;&gt;"")+(BG23&lt;&gt;""),WEEKDAY(BF$1,2)=6),1,0),IF(AND((BH23&lt;&gt;"")+(BI23&lt;&gt;""),WEEKDAY(BH$1,2)=6),1,0),IF(AND((BJ23&lt;&gt;"")+(BK23&lt;&gt;""),WEEKDAY(BJ$1,2)=6),1,0),IF(AND((BL23&lt;&gt;"")+(BM23&lt;&gt;""),WEEKDAY(BL$1,2)=6),1,0))</f>
        <v>0</v>
      </c>
    </row>
    <row r="24" spans="1:68" ht="16.5">
      <c r="A24" s="86" t="s">
        <v>26</v>
      </c>
      <c r="B24" s="86" t="s">
        <v>31</v>
      </c>
      <c r="C24" s="92" t="s">
        <v>35</v>
      </c>
      <c r="D24" s="91"/>
      <c r="E24" s="91"/>
      <c r="F24" s="85"/>
      <c r="G24" s="85"/>
      <c r="H24" s="85"/>
      <c r="I24" s="85"/>
      <c r="J24" s="98"/>
      <c r="K24" s="98"/>
      <c r="L24" s="98"/>
      <c r="M24" s="98"/>
      <c r="N24" s="85"/>
      <c r="O24" s="85"/>
      <c r="P24" s="95"/>
      <c r="Q24" s="95"/>
      <c r="R24" s="91"/>
      <c r="S24" s="91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95"/>
      <c r="AE24" s="95"/>
      <c r="AF24" s="91"/>
      <c r="AG24" s="91"/>
      <c r="AH24" s="96"/>
      <c r="AI24" s="96"/>
      <c r="AJ24" s="85"/>
      <c r="AK24" s="85"/>
      <c r="AL24" s="85"/>
      <c r="AM24" s="85"/>
      <c r="AN24" s="85"/>
      <c r="AO24" s="85"/>
      <c r="AP24" s="85"/>
      <c r="AQ24" s="85"/>
      <c r="AR24" s="95"/>
      <c r="AS24" s="95"/>
      <c r="AT24" s="91"/>
      <c r="AU24" s="91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95"/>
      <c r="BG24" s="95"/>
      <c r="BH24" s="91"/>
      <c r="BI24" s="91"/>
      <c r="BJ24" s="85"/>
      <c r="BK24" s="85"/>
      <c r="BL24" s="98"/>
      <c r="BM24" s="98"/>
      <c r="BN24" s="85">
        <f>SUM(IF(AND(D24&lt;&gt;"",WEEKDAY(D$1,2)&lt;6),1,0),IF(AND(F24&lt;&gt;"",WEEKDAY(F$1,2)&lt;6),1,0),IF(AND(H24&lt;&gt;"",WEEKDAY(H$1,2)&lt;6),1,0),IF(AND(J24&lt;&gt;"",WEEKDAY(J$1,2)&lt;6),1,0),IF(AND(L24&lt;&gt;"",WEEKDAY(L$1,2)&lt;6),1,0),IF(AND(N24&lt;&gt;"",WEEKDAY(N$1,2)&lt;6),1,0),IF(AND(P24&lt;&gt;"",WEEKDAY(P$1,2)&lt;6),1,0),IF(AND(R24&lt;&gt;"",WEEKDAY(R$1,2)&lt;6),1,0),IF(AND(T24&lt;&gt;"",WEEKDAY(T$1,2)&lt;6),1,0),IF(AND(V24&lt;&gt;"",WEEKDAY(V$1,2)&lt;6),1,0),IF(AND(X24&lt;&gt;"",WEEKDAY(X$1,2)&lt;6),1,0),IF(AND(Z24&lt;&gt;"",WEEKDAY(Z$1,2)&lt;6),1,0),IF(AND(AB24&lt;&gt;"",WEEKDAY(AB$1,2)&lt;6),1,0),IF(AND(AD24&lt;&gt;"",WEEKDAY(AD$1,2)&lt;6),1,0),IF(AND(AF24&lt;&gt;"",WEEKDAY(AF$1,2)&lt;6),1,0),IF(AND(AH24&lt;&gt;"",WEEKDAY(AH$1,2)&lt;6),1,0),IF(AND(AJ24&lt;&gt;"",WEEKDAY(AJ$1,2)&lt;6),1,0),IF(AND(AL24&lt;&gt;"",WEEKDAY(AL$1,2)&lt;6),1,0),IF(AND(AN24&lt;&gt;"",WEEKDAY(AN$1,2)&lt;6),1,0),IF(AND(AP24&lt;&gt;"",WEEKDAY(AP$1,2)&lt;6),1,0),IF(AND(AR24&lt;&gt;"",WEEKDAY(AR$1,2)&lt;6),1,0),IF(AND(AT24&lt;&gt;"",WEEKDAY(AT$1,2)&lt;6),1,0),IF(AND(AV24&lt;&gt;"",WEEKDAY(AV$1,2)&lt;6),1,0),IF(AND(AX24&lt;&gt;"",WEEKDAY(AX$1,2)&lt;6),1,0),IF(AND(AZ24&lt;&gt;"",WEEKDAY(AZ$1,2)&lt;6),1,0),IF(AND(BB24&lt;&gt;"",WEEKDAY(BB$1,2)&lt;6),1,0),IF(AND(BD24&lt;&gt;"",WEEKDAY(BD$1,2)&lt;6),1,0),IF(AND(BF24&lt;&gt;"",WEEKDAY(BF$1,2)&lt;6),1,0),IF(AND(BH24&lt;&gt;"",WEEKDAY(BH$1,2)&lt;6),1,0),IF(AND(BJ24&lt;&gt;"",WEEKDAY(BJ$1,2)&lt;6),1,0),IF(AND(BL24&lt;&gt;"",WEEKDAY(BL$1,2)&lt;6),1,0))</f>
        <v>0</v>
      </c>
      <c r="BO24" s="85">
        <f>SUM(IF(AND(E24&lt;&gt;"",WEEKDAY(D$1,2)&lt;6),1,0),IF(AND(G24&lt;&gt;"",WEEKDAY(F$1,2)&lt;6),1,0),IF(AND(I24&lt;&gt;"",WEEKDAY(H$1,2)&lt;6),1,0),IF(AND(K24&lt;&gt;"",WEEKDAY(J$1,2)&lt;6),1,0),IF(AND(M24&lt;&gt;"",WEEKDAY(L$1,2)&lt;6),1,0),IF(AND(O24&lt;&gt;"",WEEKDAY(N$1,2)&lt;6),1,0),IF(AND(Q24&lt;&gt;"",WEEKDAY(P$1,2)&lt;6),1,0),IF(AND(S24&lt;&gt;"",WEEKDAY(R$1,2)&lt;6),1,0),IF(AND(U24&lt;&gt;"",WEEKDAY(T$1,2)&lt;6),1,0),IF(AND(W24&lt;&gt;"",WEEKDAY(V$1,2)&lt;6),1,0),IF(AND(Y24&lt;&gt;"",WEEKDAY(X$1,2)&lt;6),1,0),IF(AND(AA24&lt;&gt;"",WEEKDAY(Z$1,2)&lt;6),1,0),IF(AND(AC24&lt;&gt;"",WEEKDAY(AB$1,2)&lt;6),1,0),IF(AND(AE24&lt;&gt;"",WEEKDAY(AD$1,2)&lt;6),1,0),IF(AND(AG24&lt;&gt;"",WEEKDAY(AF$1,2)&lt;6),1,0),IF(AND(AI24&lt;&gt;"",WEEKDAY(AH$1,2)&lt;6),1,0),IF(AND(AK24&lt;&gt;"",WEEKDAY(AJ$1,2)&lt;6),1,0),IF(AND(AM24&lt;&gt;"",WEEKDAY(AL$1,2)&lt;6),1,0),IF(AND(AO24&lt;&gt;"",WEEKDAY(AN$1,2)&lt;6),1,0),IF(AND(AQ24&lt;&gt;"",WEEKDAY(AP$1,2)&lt;6),1,0),IF(AND(AS24&lt;&gt;"",WEEKDAY(AR$1,2)&lt;6),1,0),IF(AND(AU24&lt;&gt;"",WEEKDAY(AT$1,2)&lt;6),1,0),IF(AND(AW24&lt;&gt;"",WEEKDAY(AV$1,2)&lt;6),1,0),IF(AND(AY24&lt;&gt;"",WEEKDAY(AX$1,2)&lt;6),1,0),IF(AND(BA24&lt;&gt;"",WEEKDAY(AZ$1,2)&lt;6),1,0),IF(AND(BC24&lt;&gt;"",WEEKDAY(BB$1,2)&lt;6),1,0),IF(AND(BE24&lt;&gt;"",WEEKDAY(BD$1,2)&lt;6),1,0),IF(AND(BG24&lt;&gt;"",WEEKDAY(BF$1,2)&lt;6),1,0),IF(AND(BI24&lt;&gt;"",WEEKDAY(BH$1,2)&lt;6),1,0),IF(AND(BK24&lt;&gt;"",WEEKDAY(BJ$1,2)&lt;6),1,0),IF(AND(BM24&lt;&gt;"",WEEKDAY(BL$1,2)&lt;6),1,0))</f>
        <v>0</v>
      </c>
      <c r="BP24" s="85">
        <f>SUM(IF(AND((D24&lt;&gt;"")+(E24&lt;&gt;""),WEEKDAY(D$1,2)=6),1,0),IF(AND((F24&lt;&gt;"")+(G24&lt;&gt;""),WEEKDAY(F$1,2)=6),1,0),IF(AND((H24&lt;&gt;"")+(I24&lt;&gt;""),WEEKDAY(H$1,2)=6),1,0),IF(AND((J24&lt;&gt;"")+(K24&lt;&gt;""),WEEKDAY(J$1,2)=6),1,0),IF(AND((L24&lt;&gt;"")+(M24&lt;&gt;""),WEEKDAY(L$1,2)=6),1,0),IF(AND((N24&lt;&gt;"")+(O24&lt;&gt;""),WEEKDAY(N$1,2)=6),1,0),IF(AND((P24&lt;&gt;"")+(Q24&lt;&gt;""),WEEKDAY(P$1,2)=6),1,0),IF(AND((R24&lt;&gt;"")+(S24&lt;&gt;""),WEEKDAY(R$1,2)=6),1,0),IF(AND((T24&lt;&gt;"")+(U24&lt;&gt;""),WEEKDAY(T$1,2)=6),1,0),IF(AND((V24&lt;&gt;"")+(W24&lt;&gt;""),WEEKDAY(V$1,2)=6),1,0),IF(AND((X24&lt;&gt;"")+(Y24&lt;&gt;""),WEEKDAY(X$1,2)=6),1,0),IF(AND((Z24&lt;&gt;"")+(AA24&lt;&gt;""),WEEKDAY(Z$1,2)=6),1,0),IF(AND((AB24&lt;&gt;"")+(AC24&lt;&gt;""),WEEKDAY(AB$1,2)=6),1,0),IF(AND((AD24&lt;&gt;"")+(AE24&lt;&gt;""),WEEKDAY(AD$1,2)=6),1,0),IF(AND((AF24&lt;&gt;"")+(AG24&lt;&gt;""),WEEKDAY(AF$1,2)=6),1,0),IF(AND((AH24&lt;&gt;"")+(AI24&lt;&gt;""),WEEKDAY(AH$1,2)=6),1,0),IF(AND((AJ24&lt;&gt;"")+(AK24&lt;&gt;""),WEEKDAY(AJ$1,2)=6),1,0),IF(AND((AL24&lt;&gt;"")+(AM24&lt;&gt;""),WEEKDAY(AL$1,2)=6),1,0),IF(AND((AN24&lt;&gt;"")+(AO24&lt;&gt;""),WEEKDAY(AN$1,2)=6),1,0),IF(AND((AP24&lt;&gt;"")+(AQ24&lt;&gt;""),WEEKDAY(AP$1,2)=6),1,0),IF(AND((AR24&lt;&gt;"")+(AS24&lt;&gt;""),WEEKDAY(AR$1,2)=6),1,0),IF(AND((AT24&lt;&gt;"")+(AU24&lt;&gt;""),WEEKDAY(AT$1,2)=6),1,0),IF(AND((AV24&lt;&gt;"")+(AW24&lt;&gt;""),WEEKDAY(AV$1,2)=6),1,0),IF(AND((AX24&lt;&gt;"")+(AY24&lt;&gt;""),WEEKDAY(AX$1,2)=6),1,0),IF(AND((AZ24&lt;&gt;"")+(BA24&lt;&gt;""),WEEKDAY(AZ$1,2)=6),1,0),IF(AND((BB24&lt;&gt;"")+(BC24&lt;&gt;""),WEEKDAY(BB$1,2)=6),1,0),IF(AND((BD24&lt;&gt;"")+(BE24&lt;&gt;""),WEEKDAY(BD$1,2)=6),1,0),IF(AND((BF24&lt;&gt;"")+(BG24&lt;&gt;""),WEEKDAY(BF$1,2)=6),1,0),IF(AND((BH24&lt;&gt;"")+(BI24&lt;&gt;""),WEEKDAY(BH$1,2)=6),1,0),IF(AND((BJ24&lt;&gt;"")+(BK24&lt;&gt;""),WEEKDAY(BJ$1,2)=6),1,0),IF(AND((BL24&lt;&gt;"")+(BM24&lt;&gt;""),WEEKDAY(BL$1,2)=6),1,0))</f>
        <v>0</v>
      </c>
    </row>
    <row r="25" spans="1:68" ht="16.5">
      <c r="A25" s="86" t="s">
        <v>26</v>
      </c>
      <c r="B25" s="86" t="s">
        <v>31</v>
      </c>
      <c r="C25" s="92" t="s">
        <v>36</v>
      </c>
      <c r="D25" s="91"/>
      <c r="E25" s="91"/>
      <c r="F25" s="85"/>
      <c r="G25" s="85"/>
      <c r="H25" s="85"/>
      <c r="I25" s="85"/>
      <c r="J25" s="98"/>
      <c r="K25" s="98"/>
      <c r="L25" s="98"/>
      <c r="M25" s="98"/>
      <c r="N25" s="85"/>
      <c r="O25" s="85"/>
      <c r="P25" s="95"/>
      <c r="Q25" s="95"/>
      <c r="R25" s="91"/>
      <c r="S25" s="91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95"/>
      <c r="AE25" s="95"/>
      <c r="AF25" s="91"/>
      <c r="AG25" s="91"/>
      <c r="AH25" s="96"/>
      <c r="AI25" s="96"/>
      <c r="AJ25" s="85"/>
      <c r="AK25" s="85"/>
      <c r="AL25" s="85"/>
      <c r="AM25" s="85"/>
      <c r="AN25" s="85"/>
      <c r="AO25" s="85"/>
      <c r="AP25" s="85"/>
      <c r="AQ25" s="85"/>
      <c r="AR25" s="95"/>
      <c r="AS25" s="95"/>
      <c r="AT25" s="91"/>
      <c r="AU25" s="91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95"/>
      <c r="BG25" s="95"/>
      <c r="BH25" s="91"/>
      <c r="BI25" s="91"/>
      <c r="BJ25" s="85"/>
      <c r="BK25" s="85"/>
      <c r="BL25" s="98"/>
      <c r="BM25" s="98"/>
      <c r="BN25" s="85">
        <f>SUM(IF(AND(D25&lt;&gt;"",WEEKDAY(D$1,2)&lt;6),1,0),IF(AND(F25&lt;&gt;"",WEEKDAY(F$1,2)&lt;6),1,0),IF(AND(H25&lt;&gt;"",WEEKDAY(H$1,2)&lt;6),1,0),IF(AND(J25&lt;&gt;"",WEEKDAY(J$1,2)&lt;6),1,0),IF(AND(L25&lt;&gt;"",WEEKDAY(L$1,2)&lt;6),1,0),IF(AND(N25&lt;&gt;"",WEEKDAY(N$1,2)&lt;6),1,0),IF(AND(P25&lt;&gt;"",WEEKDAY(P$1,2)&lt;6),1,0),IF(AND(R25&lt;&gt;"",WEEKDAY(R$1,2)&lt;6),1,0),IF(AND(T25&lt;&gt;"",WEEKDAY(T$1,2)&lt;6),1,0),IF(AND(V25&lt;&gt;"",WEEKDAY(V$1,2)&lt;6),1,0),IF(AND(X25&lt;&gt;"",WEEKDAY(X$1,2)&lt;6),1,0),IF(AND(Z25&lt;&gt;"",WEEKDAY(Z$1,2)&lt;6),1,0),IF(AND(AB25&lt;&gt;"",WEEKDAY(AB$1,2)&lt;6),1,0),IF(AND(AD25&lt;&gt;"",WEEKDAY(AD$1,2)&lt;6),1,0),IF(AND(AF25&lt;&gt;"",WEEKDAY(AF$1,2)&lt;6),1,0),IF(AND(AH25&lt;&gt;"",WEEKDAY(AH$1,2)&lt;6),1,0),IF(AND(AJ25&lt;&gt;"",WEEKDAY(AJ$1,2)&lt;6),1,0),IF(AND(AL25&lt;&gt;"",WEEKDAY(AL$1,2)&lt;6),1,0),IF(AND(AN25&lt;&gt;"",WEEKDAY(AN$1,2)&lt;6),1,0),IF(AND(AP25&lt;&gt;"",WEEKDAY(AP$1,2)&lt;6),1,0),IF(AND(AR25&lt;&gt;"",WEEKDAY(AR$1,2)&lt;6),1,0),IF(AND(AT25&lt;&gt;"",WEEKDAY(AT$1,2)&lt;6),1,0),IF(AND(AV25&lt;&gt;"",WEEKDAY(AV$1,2)&lt;6),1,0),IF(AND(AX25&lt;&gt;"",WEEKDAY(AX$1,2)&lt;6),1,0),IF(AND(AZ25&lt;&gt;"",WEEKDAY(AZ$1,2)&lt;6),1,0),IF(AND(BB25&lt;&gt;"",WEEKDAY(BB$1,2)&lt;6),1,0),IF(AND(BD25&lt;&gt;"",WEEKDAY(BD$1,2)&lt;6),1,0),IF(AND(BF25&lt;&gt;"",WEEKDAY(BF$1,2)&lt;6),1,0),IF(AND(BH25&lt;&gt;"",WEEKDAY(BH$1,2)&lt;6),1,0),IF(AND(BJ25&lt;&gt;"",WEEKDAY(BJ$1,2)&lt;6),1,0),IF(AND(BL25&lt;&gt;"",WEEKDAY(BL$1,2)&lt;6),1,0))</f>
        <v>0</v>
      </c>
      <c r="BO25" s="85">
        <f>SUM(IF(AND(E25&lt;&gt;"",WEEKDAY(D$1,2)&lt;6),1,0),IF(AND(G25&lt;&gt;"",WEEKDAY(F$1,2)&lt;6),1,0),IF(AND(I25&lt;&gt;"",WEEKDAY(H$1,2)&lt;6),1,0),IF(AND(K25&lt;&gt;"",WEEKDAY(J$1,2)&lt;6),1,0),IF(AND(M25&lt;&gt;"",WEEKDAY(L$1,2)&lt;6),1,0),IF(AND(O25&lt;&gt;"",WEEKDAY(N$1,2)&lt;6),1,0),IF(AND(Q25&lt;&gt;"",WEEKDAY(P$1,2)&lt;6),1,0),IF(AND(S25&lt;&gt;"",WEEKDAY(R$1,2)&lt;6),1,0),IF(AND(U25&lt;&gt;"",WEEKDAY(T$1,2)&lt;6),1,0),IF(AND(W25&lt;&gt;"",WEEKDAY(V$1,2)&lt;6),1,0),IF(AND(Y25&lt;&gt;"",WEEKDAY(X$1,2)&lt;6),1,0),IF(AND(AA25&lt;&gt;"",WEEKDAY(Z$1,2)&lt;6),1,0),IF(AND(AC25&lt;&gt;"",WEEKDAY(AB$1,2)&lt;6),1,0),IF(AND(AE25&lt;&gt;"",WEEKDAY(AD$1,2)&lt;6),1,0),IF(AND(AG25&lt;&gt;"",WEEKDAY(AF$1,2)&lt;6),1,0),IF(AND(AI25&lt;&gt;"",WEEKDAY(AH$1,2)&lt;6),1,0),IF(AND(AK25&lt;&gt;"",WEEKDAY(AJ$1,2)&lt;6),1,0),IF(AND(AM25&lt;&gt;"",WEEKDAY(AL$1,2)&lt;6),1,0),IF(AND(AO25&lt;&gt;"",WEEKDAY(AN$1,2)&lt;6),1,0),IF(AND(AQ25&lt;&gt;"",WEEKDAY(AP$1,2)&lt;6),1,0),IF(AND(AS25&lt;&gt;"",WEEKDAY(AR$1,2)&lt;6),1,0),IF(AND(AU25&lt;&gt;"",WEEKDAY(AT$1,2)&lt;6),1,0),IF(AND(AW25&lt;&gt;"",WEEKDAY(AV$1,2)&lt;6),1,0),IF(AND(AY25&lt;&gt;"",WEEKDAY(AX$1,2)&lt;6),1,0),IF(AND(BA25&lt;&gt;"",WEEKDAY(AZ$1,2)&lt;6),1,0),IF(AND(BC25&lt;&gt;"",WEEKDAY(BB$1,2)&lt;6),1,0),IF(AND(BE25&lt;&gt;"",WEEKDAY(BD$1,2)&lt;6),1,0),IF(AND(BG25&lt;&gt;"",WEEKDAY(BF$1,2)&lt;6),1,0),IF(AND(BI25&lt;&gt;"",WEEKDAY(BH$1,2)&lt;6),1,0),IF(AND(BK25&lt;&gt;"",WEEKDAY(BJ$1,2)&lt;6),1,0),IF(AND(BM25&lt;&gt;"",WEEKDAY(BL$1,2)&lt;6),1,0))</f>
        <v>0</v>
      </c>
      <c r="BP25" s="85">
        <f>SUM(IF(AND((D25&lt;&gt;"")+(E25&lt;&gt;""),WEEKDAY(D$1,2)=6),1,0),IF(AND((F25&lt;&gt;"")+(G25&lt;&gt;""),WEEKDAY(F$1,2)=6),1,0),IF(AND((H25&lt;&gt;"")+(I25&lt;&gt;""),WEEKDAY(H$1,2)=6),1,0),IF(AND((J25&lt;&gt;"")+(K25&lt;&gt;""),WEEKDAY(J$1,2)=6),1,0),IF(AND((L25&lt;&gt;"")+(M25&lt;&gt;""),WEEKDAY(L$1,2)=6),1,0),IF(AND((N25&lt;&gt;"")+(O25&lt;&gt;""),WEEKDAY(N$1,2)=6),1,0),IF(AND((P25&lt;&gt;"")+(Q25&lt;&gt;""),WEEKDAY(P$1,2)=6),1,0),IF(AND((R25&lt;&gt;"")+(S25&lt;&gt;""),WEEKDAY(R$1,2)=6),1,0),IF(AND((T25&lt;&gt;"")+(U25&lt;&gt;""),WEEKDAY(T$1,2)=6),1,0),IF(AND((V25&lt;&gt;"")+(W25&lt;&gt;""),WEEKDAY(V$1,2)=6),1,0),IF(AND((X25&lt;&gt;"")+(Y25&lt;&gt;""),WEEKDAY(X$1,2)=6),1,0),IF(AND((Z25&lt;&gt;"")+(AA25&lt;&gt;""),WEEKDAY(Z$1,2)=6),1,0),IF(AND((AB25&lt;&gt;"")+(AC25&lt;&gt;""),WEEKDAY(AB$1,2)=6),1,0),IF(AND((AD25&lt;&gt;"")+(AE25&lt;&gt;""),WEEKDAY(AD$1,2)=6),1,0),IF(AND((AF25&lt;&gt;"")+(AG25&lt;&gt;""),WEEKDAY(AF$1,2)=6),1,0),IF(AND((AH25&lt;&gt;"")+(AI25&lt;&gt;""),WEEKDAY(AH$1,2)=6),1,0),IF(AND((AJ25&lt;&gt;"")+(AK25&lt;&gt;""),WEEKDAY(AJ$1,2)=6),1,0),IF(AND((AL25&lt;&gt;"")+(AM25&lt;&gt;""),WEEKDAY(AL$1,2)=6),1,0),IF(AND((AN25&lt;&gt;"")+(AO25&lt;&gt;""),WEEKDAY(AN$1,2)=6),1,0),IF(AND((AP25&lt;&gt;"")+(AQ25&lt;&gt;""),WEEKDAY(AP$1,2)=6),1,0),IF(AND((AR25&lt;&gt;"")+(AS25&lt;&gt;""),WEEKDAY(AR$1,2)=6),1,0),IF(AND((AT25&lt;&gt;"")+(AU25&lt;&gt;""),WEEKDAY(AT$1,2)=6),1,0),IF(AND((AV25&lt;&gt;"")+(AW25&lt;&gt;""),WEEKDAY(AV$1,2)=6),1,0),IF(AND((AX25&lt;&gt;"")+(AY25&lt;&gt;""),WEEKDAY(AX$1,2)=6),1,0),IF(AND((AZ25&lt;&gt;"")+(BA25&lt;&gt;""),WEEKDAY(AZ$1,2)=6),1,0),IF(AND((BB25&lt;&gt;"")+(BC25&lt;&gt;""),WEEKDAY(BB$1,2)=6),1,0),IF(AND((BD25&lt;&gt;"")+(BE25&lt;&gt;""),WEEKDAY(BD$1,2)=6),1,0),IF(AND((BF25&lt;&gt;"")+(BG25&lt;&gt;""),WEEKDAY(BF$1,2)=6),1,0),IF(AND((BH25&lt;&gt;"")+(BI25&lt;&gt;""),WEEKDAY(BH$1,2)=6),1,0),IF(AND((BJ25&lt;&gt;"")+(BK25&lt;&gt;""),WEEKDAY(BJ$1,2)=6),1,0),IF(AND((BL25&lt;&gt;"")+(BM25&lt;&gt;""),WEEKDAY(BL$1,2)=6),1,0))</f>
        <v>0</v>
      </c>
    </row>
    <row r="26" spans="1:68" ht="16.5">
      <c r="A26" s="86" t="s">
        <v>26</v>
      </c>
      <c r="B26" s="86" t="s">
        <v>31</v>
      </c>
      <c r="C26" s="92" t="s">
        <v>37</v>
      </c>
      <c r="D26" s="91"/>
      <c r="E26" s="91"/>
      <c r="F26" s="85"/>
      <c r="G26" s="85"/>
      <c r="H26" s="85"/>
      <c r="I26" s="85"/>
      <c r="J26" s="98"/>
      <c r="K26" s="98"/>
      <c r="L26" s="98"/>
      <c r="M26" s="98"/>
      <c r="N26" s="85"/>
      <c r="O26" s="88">
        <v>0.15416666666666667</v>
      </c>
      <c r="P26" s="95"/>
      <c r="Q26" s="95"/>
      <c r="R26" s="91"/>
      <c r="S26" s="91"/>
      <c r="T26" s="85"/>
      <c r="U26" s="85"/>
      <c r="V26" s="85"/>
      <c r="W26" s="85"/>
      <c r="X26" s="85"/>
      <c r="Y26" s="85"/>
      <c r="Z26" s="88">
        <v>0.38819444444444445</v>
      </c>
      <c r="AA26" s="85"/>
      <c r="AB26" s="85"/>
      <c r="AC26" s="85"/>
      <c r="AD26" s="95"/>
      <c r="AE26" s="95"/>
      <c r="AF26" s="91"/>
      <c r="AG26" s="91"/>
      <c r="AH26" s="96"/>
      <c r="AI26" s="96"/>
      <c r="AJ26" s="85"/>
      <c r="AK26" s="85"/>
      <c r="AL26" s="85"/>
      <c r="AM26" s="85"/>
      <c r="AN26" s="85"/>
      <c r="AO26" s="85"/>
      <c r="AP26" s="85"/>
      <c r="AQ26" s="85"/>
      <c r="AR26" s="95"/>
      <c r="AS26" s="95"/>
      <c r="AT26" s="91"/>
      <c r="AU26" s="91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95"/>
      <c r="BG26" s="95"/>
      <c r="BH26" s="91"/>
      <c r="BI26" s="91"/>
      <c r="BJ26" s="85"/>
      <c r="BK26" s="85"/>
      <c r="BL26" s="98"/>
      <c r="BM26" s="98"/>
      <c r="BN26" s="85">
        <f>SUM(IF(AND(D26&lt;&gt;"",WEEKDAY(D$1,2)&lt;6),1,0),IF(AND(F26&lt;&gt;"",WEEKDAY(F$1,2)&lt;6),1,0),IF(AND(H26&lt;&gt;"",WEEKDAY(H$1,2)&lt;6),1,0),IF(AND(J26&lt;&gt;"",WEEKDAY(J$1,2)&lt;6),1,0),IF(AND(L26&lt;&gt;"",WEEKDAY(L$1,2)&lt;6),1,0),IF(AND(N26&lt;&gt;"",WEEKDAY(N$1,2)&lt;6),1,0),IF(AND(P26&lt;&gt;"",WEEKDAY(P$1,2)&lt;6),1,0),IF(AND(R26&lt;&gt;"",WEEKDAY(R$1,2)&lt;6),1,0),IF(AND(T26&lt;&gt;"",WEEKDAY(T$1,2)&lt;6),1,0),IF(AND(V26&lt;&gt;"",WEEKDAY(V$1,2)&lt;6),1,0),IF(AND(X26&lt;&gt;"",WEEKDAY(X$1,2)&lt;6),1,0),IF(AND(Z26&lt;&gt;"",WEEKDAY(Z$1,2)&lt;6),1,0),IF(AND(AB26&lt;&gt;"",WEEKDAY(AB$1,2)&lt;6),1,0),IF(AND(AD26&lt;&gt;"",WEEKDAY(AD$1,2)&lt;6),1,0),IF(AND(AF26&lt;&gt;"",WEEKDAY(AF$1,2)&lt;6),1,0),IF(AND(AH26&lt;&gt;"",WEEKDAY(AH$1,2)&lt;6),1,0),IF(AND(AJ26&lt;&gt;"",WEEKDAY(AJ$1,2)&lt;6),1,0),IF(AND(AL26&lt;&gt;"",WEEKDAY(AL$1,2)&lt;6),1,0),IF(AND(AN26&lt;&gt;"",WEEKDAY(AN$1,2)&lt;6),1,0),IF(AND(AP26&lt;&gt;"",WEEKDAY(AP$1,2)&lt;6),1,0),IF(AND(AR26&lt;&gt;"",WEEKDAY(AR$1,2)&lt;6),1,0),IF(AND(AT26&lt;&gt;"",WEEKDAY(AT$1,2)&lt;6),1,0),IF(AND(AV26&lt;&gt;"",WEEKDAY(AV$1,2)&lt;6),1,0),IF(AND(AX26&lt;&gt;"",WEEKDAY(AX$1,2)&lt;6),1,0),IF(AND(AZ26&lt;&gt;"",WEEKDAY(AZ$1,2)&lt;6),1,0),IF(AND(BB26&lt;&gt;"",WEEKDAY(BB$1,2)&lt;6),1,0),IF(AND(BD26&lt;&gt;"",WEEKDAY(BD$1,2)&lt;6),1,0),IF(AND(BF26&lt;&gt;"",WEEKDAY(BF$1,2)&lt;6),1,0),IF(AND(BH26&lt;&gt;"",WEEKDAY(BH$1,2)&lt;6),1,0),IF(AND(BJ26&lt;&gt;"",WEEKDAY(BJ$1,2)&lt;6),1,0),IF(AND(BL26&lt;&gt;"",WEEKDAY(BL$1,2)&lt;6),1,0))</f>
        <v>1</v>
      </c>
      <c r="BO26" s="85">
        <f>SUM(IF(AND(E26&lt;&gt;"",WEEKDAY(D$1,2)&lt;6),1,0),IF(AND(G26&lt;&gt;"",WEEKDAY(F$1,2)&lt;6),1,0),IF(AND(I26&lt;&gt;"",WEEKDAY(H$1,2)&lt;6),1,0),IF(AND(K26&lt;&gt;"",WEEKDAY(J$1,2)&lt;6),1,0),IF(AND(M26&lt;&gt;"",WEEKDAY(L$1,2)&lt;6),1,0),IF(AND(O26&lt;&gt;"",WEEKDAY(N$1,2)&lt;6),1,0),IF(AND(Q26&lt;&gt;"",WEEKDAY(P$1,2)&lt;6),1,0),IF(AND(S26&lt;&gt;"",WEEKDAY(R$1,2)&lt;6),1,0),IF(AND(U26&lt;&gt;"",WEEKDAY(T$1,2)&lt;6),1,0),IF(AND(W26&lt;&gt;"",WEEKDAY(V$1,2)&lt;6),1,0),IF(AND(Y26&lt;&gt;"",WEEKDAY(X$1,2)&lt;6),1,0),IF(AND(AA26&lt;&gt;"",WEEKDAY(Z$1,2)&lt;6),1,0),IF(AND(AC26&lt;&gt;"",WEEKDAY(AB$1,2)&lt;6),1,0),IF(AND(AE26&lt;&gt;"",WEEKDAY(AD$1,2)&lt;6),1,0),IF(AND(AG26&lt;&gt;"",WEEKDAY(AF$1,2)&lt;6),1,0),IF(AND(AI26&lt;&gt;"",WEEKDAY(AH$1,2)&lt;6),1,0),IF(AND(AK26&lt;&gt;"",WEEKDAY(AJ$1,2)&lt;6),1,0),IF(AND(AM26&lt;&gt;"",WEEKDAY(AL$1,2)&lt;6),1,0),IF(AND(AO26&lt;&gt;"",WEEKDAY(AN$1,2)&lt;6),1,0),IF(AND(AQ26&lt;&gt;"",WEEKDAY(AP$1,2)&lt;6),1,0),IF(AND(AS26&lt;&gt;"",WEEKDAY(AR$1,2)&lt;6),1,0),IF(AND(AU26&lt;&gt;"",WEEKDAY(AT$1,2)&lt;6),1,0),IF(AND(AW26&lt;&gt;"",WEEKDAY(AV$1,2)&lt;6),1,0),IF(AND(AY26&lt;&gt;"",WEEKDAY(AX$1,2)&lt;6),1,0),IF(AND(BA26&lt;&gt;"",WEEKDAY(AZ$1,2)&lt;6),1,0),IF(AND(BC26&lt;&gt;"",WEEKDAY(BB$1,2)&lt;6),1,0),IF(AND(BE26&lt;&gt;"",WEEKDAY(BD$1,2)&lt;6),1,0),IF(AND(BG26&lt;&gt;"",WEEKDAY(BF$1,2)&lt;6),1,0),IF(AND(BI26&lt;&gt;"",WEEKDAY(BH$1,2)&lt;6),1,0),IF(AND(BK26&lt;&gt;"",WEEKDAY(BJ$1,2)&lt;6),1,0),IF(AND(BM26&lt;&gt;"",WEEKDAY(BL$1,2)&lt;6),1,0))</f>
        <v>1</v>
      </c>
      <c r="BP26" s="85">
        <f>SUM(IF(AND((D26&lt;&gt;"")+(E26&lt;&gt;""),WEEKDAY(D$1,2)=6),1,0),IF(AND((F26&lt;&gt;"")+(G26&lt;&gt;""),WEEKDAY(F$1,2)=6),1,0),IF(AND((H26&lt;&gt;"")+(I26&lt;&gt;""),WEEKDAY(H$1,2)=6),1,0),IF(AND((J26&lt;&gt;"")+(K26&lt;&gt;""),WEEKDAY(J$1,2)=6),1,0),IF(AND((L26&lt;&gt;"")+(M26&lt;&gt;""),WEEKDAY(L$1,2)=6),1,0),IF(AND((N26&lt;&gt;"")+(O26&lt;&gt;""),WEEKDAY(N$1,2)=6),1,0),IF(AND((P26&lt;&gt;"")+(Q26&lt;&gt;""),WEEKDAY(P$1,2)=6),1,0),IF(AND((R26&lt;&gt;"")+(S26&lt;&gt;""),WEEKDAY(R$1,2)=6),1,0),IF(AND((T26&lt;&gt;"")+(U26&lt;&gt;""),WEEKDAY(T$1,2)=6),1,0),IF(AND((V26&lt;&gt;"")+(W26&lt;&gt;""),WEEKDAY(V$1,2)=6),1,0),IF(AND((X26&lt;&gt;"")+(Y26&lt;&gt;""),WEEKDAY(X$1,2)=6),1,0),IF(AND((Z26&lt;&gt;"")+(AA26&lt;&gt;""),WEEKDAY(Z$1,2)=6),1,0),IF(AND((AB26&lt;&gt;"")+(AC26&lt;&gt;""),WEEKDAY(AB$1,2)=6),1,0),IF(AND((AD26&lt;&gt;"")+(AE26&lt;&gt;""),WEEKDAY(AD$1,2)=6),1,0),IF(AND((AF26&lt;&gt;"")+(AG26&lt;&gt;""),WEEKDAY(AF$1,2)=6),1,0),IF(AND((AH26&lt;&gt;"")+(AI26&lt;&gt;""),WEEKDAY(AH$1,2)=6),1,0),IF(AND((AJ26&lt;&gt;"")+(AK26&lt;&gt;""),WEEKDAY(AJ$1,2)=6),1,0),IF(AND((AL26&lt;&gt;"")+(AM26&lt;&gt;""),WEEKDAY(AL$1,2)=6),1,0),IF(AND((AN26&lt;&gt;"")+(AO26&lt;&gt;""),WEEKDAY(AN$1,2)=6),1,0),IF(AND((AP26&lt;&gt;"")+(AQ26&lt;&gt;""),WEEKDAY(AP$1,2)=6),1,0),IF(AND((AR26&lt;&gt;"")+(AS26&lt;&gt;""),WEEKDAY(AR$1,2)=6),1,0),IF(AND((AT26&lt;&gt;"")+(AU26&lt;&gt;""),WEEKDAY(AT$1,2)=6),1,0),IF(AND((AV26&lt;&gt;"")+(AW26&lt;&gt;""),WEEKDAY(AV$1,2)=6),1,0),IF(AND((AX26&lt;&gt;"")+(AY26&lt;&gt;""),WEEKDAY(AX$1,2)=6),1,0),IF(AND((AZ26&lt;&gt;"")+(BA26&lt;&gt;""),WEEKDAY(AZ$1,2)=6),1,0),IF(AND((BB26&lt;&gt;"")+(BC26&lt;&gt;""),WEEKDAY(BB$1,2)=6),1,0),IF(AND((BD26&lt;&gt;"")+(BE26&lt;&gt;""),WEEKDAY(BD$1,2)=6),1,0),IF(AND((BF26&lt;&gt;"")+(BG26&lt;&gt;""),WEEKDAY(BF$1,2)=6),1,0),IF(AND((BH26&lt;&gt;"")+(BI26&lt;&gt;""),WEEKDAY(BH$1,2)=6),1,0),IF(AND((BJ26&lt;&gt;"")+(BK26&lt;&gt;""),WEEKDAY(BJ$1,2)=6),1,0),IF(AND((BL26&lt;&gt;"")+(BM26&lt;&gt;""),WEEKDAY(BL$1,2)=6),1,0))</f>
        <v>0</v>
      </c>
    </row>
    <row r="27" spans="1:68" ht="16.5">
      <c r="A27" s="86" t="s">
        <v>26</v>
      </c>
      <c r="B27" s="86" t="s">
        <v>31</v>
      </c>
      <c r="C27" s="92" t="s">
        <v>38</v>
      </c>
      <c r="D27" s="91"/>
      <c r="E27" s="91"/>
      <c r="F27" s="85"/>
      <c r="G27" s="85"/>
      <c r="H27" s="85"/>
      <c r="I27" s="85"/>
      <c r="J27" s="98"/>
      <c r="K27" s="98"/>
      <c r="L27" s="98"/>
      <c r="M27" s="98"/>
      <c r="N27" s="85"/>
      <c r="O27" s="85"/>
      <c r="P27" s="95"/>
      <c r="Q27" s="95"/>
      <c r="R27" s="91"/>
      <c r="S27" s="91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95"/>
      <c r="AE27" s="95"/>
      <c r="AF27" s="91"/>
      <c r="AG27" s="91"/>
      <c r="AH27" s="96"/>
      <c r="AI27" s="96"/>
      <c r="AJ27" s="85"/>
      <c r="AK27" s="85"/>
      <c r="AL27" s="85"/>
      <c r="AM27" s="85"/>
      <c r="AN27" s="85"/>
      <c r="AO27" s="85"/>
      <c r="AP27" s="85"/>
      <c r="AQ27" s="85"/>
      <c r="AR27" s="95"/>
      <c r="AS27" s="95"/>
      <c r="AT27" s="91"/>
      <c r="AU27" s="91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95"/>
      <c r="BG27" s="95"/>
      <c r="BH27" s="91"/>
      <c r="BI27" s="91"/>
      <c r="BJ27" s="85"/>
      <c r="BK27" s="85"/>
      <c r="BL27" s="98"/>
      <c r="BM27" s="98"/>
      <c r="BN27" s="85">
        <f>SUM(IF(AND(D27&lt;&gt;"",WEEKDAY(D$1,2)&lt;6),1,0),IF(AND(F27&lt;&gt;"",WEEKDAY(F$1,2)&lt;6),1,0),IF(AND(H27&lt;&gt;"",WEEKDAY(H$1,2)&lt;6),1,0),IF(AND(J27&lt;&gt;"",WEEKDAY(J$1,2)&lt;6),1,0),IF(AND(L27&lt;&gt;"",WEEKDAY(L$1,2)&lt;6),1,0),IF(AND(N27&lt;&gt;"",WEEKDAY(N$1,2)&lt;6),1,0),IF(AND(P27&lt;&gt;"",WEEKDAY(P$1,2)&lt;6),1,0),IF(AND(R27&lt;&gt;"",WEEKDAY(R$1,2)&lt;6),1,0),IF(AND(T27&lt;&gt;"",WEEKDAY(T$1,2)&lt;6),1,0),IF(AND(V27&lt;&gt;"",WEEKDAY(V$1,2)&lt;6),1,0),IF(AND(X27&lt;&gt;"",WEEKDAY(X$1,2)&lt;6),1,0),IF(AND(Z27&lt;&gt;"",WEEKDAY(Z$1,2)&lt;6),1,0),IF(AND(AB27&lt;&gt;"",WEEKDAY(AB$1,2)&lt;6),1,0),IF(AND(AD27&lt;&gt;"",WEEKDAY(AD$1,2)&lt;6),1,0),IF(AND(AF27&lt;&gt;"",WEEKDAY(AF$1,2)&lt;6),1,0),IF(AND(AH27&lt;&gt;"",WEEKDAY(AH$1,2)&lt;6),1,0),IF(AND(AJ27&lt;&gt;"",WEEKDAY(AJ$1,2)&lt;6),1,0),IF(AND(AL27&lt;&gt;"",WEEKDAY(AL$1,2)&lt;6),1,0),IF(AND(AN27&lt;&gt;"",WEEKDAY(AN$1,2)&lt;6),1,0),IF(AND(AP27&lt;&gt;"",WEEKDAY(AP$1,2)&lt;6),1,0),IF(AND(AR27&lt;&gt;"",WEEKDAY(AR$1,2)&lt;6),1,0),IF(AND(AT27&lt;&gt;"",WEEKDAY(AT$1,2)&lt;6),1,0),IF(AND(AV27&lt;&gt;"",WEEKDAY(AV$1,2)&lt;6),1,0),IF(AND(AX27&lt;&gt;"",WEEKDAY(AX$1,2)&lt;6),1,0),IF(AND(AZ27&lt;&gt;"",WEEKDAY(AZ$1,2)&lt;6),1,0),IF(AND(BB27&lt;&gt;"",WEEKDAY(BB$1,2)&lt;6),1,0),IF(AND(BD27&lt;&gt;"",WEEKDAY(BD$1,2)&lt;6),1,0),IF(AND(BF27&lt;&gt;"",WEEKDAY(BF$1,2)&lt;6),1,0),IF(AND(BH27&lt;&gt;"",WEEKDAY(BH$1,2)&lt;6),1,0),IF(AND(BJ27&lt;&gt;"",WEEKDAY(BJ$1,2)&lt;6),1,0),IF(AND(BL27&lt;&gt;"",WEEKDAY(BL$1,2)&lt;6),1,0))</f>
        <v>0</v>
      </c>
      <c r="BO27" s="85">
        <f>SUM(IF(AND(E27&lt;&gt;"",WEEKDAY(D$1,2)&lt;6),1,0),IF(AND(G27&lt;&gt;"",WEEKDAY(F$1,2)&lt;6),1,0),IF(AND(I27&lt;&gt;"",WEEKDAY(H$1,2)&lt;6),1,0),IF(AND(K27&lt;&gt;"",WEEKDAY(J$1,2)&lt;6),1,0),IF(AND(M27&lt;&gt;"",WEEKDAY(L$1,2)&lt;6),1,0),IF(AND(O27&lt;&gt;"",WEEKDAY(N$1,2)&lt;6),1,0),IF(AND(Q27&lt;&gt;"",WEEKDAY(P$1,2)&lt;6),1,0),IF(AND(S27&lt;&gt;"",WEEKDAY(R$1,2)&lt;6),1,0),IF(AND(U27&lt;&gt;"",WEEKDAY(T$1,2)&lt;6),1,0),IF(AND(W27&lt;&gt;"",WEEKDAY(V$1,2)&lt;6),1,0),IF(AND(Y27&lt;&gt;"",WEEKDAY(X$1,2)&lt;6),1,0),IF(AND(AA27&lt;&gt;"",WEEKDAY(Z$1,2)&lt;6),1,0),IF(AND(AC27&lt;&gt;"",WEEKDAY(AB$1,2)&lt;6),1,0),IF(AND(AE27&lt;&gt;"",WEEKDAY(AD$1,2)&lt;6),1,0),IF(AND(AG27&lt;&gt;"",WEEKDAY(AF$1,2)&lt;6),1,0),IF(AND(AI27&lt;&gt;"",WEEKDAY(AH$1,2)&lt;6),1,0),IF(AND(AK27&lt;&gt;"",WEEKDAY(AJ$1,2)&lt;6),1,0),IF(AND(AM27&lt;&gt;"",WEEKDAY(AL$1,2)&lt;6),1,0),IF(AND(AO27&lt;&gt;"",WEEKDAY(AN$1,2)&lt;6),1,0),IF(AND(AQ27&lt;&gt;"",WEEKDAY(AP$1,2)&lt;6),1,0),IF(AND(AS27&lt;&gt;"",WEEKDAY(AR$1,2)&lt;6),1,0),IF(AND(AU27&lt;&gt;"",WEEKDAY(AT$1,2)&lt;6),1,0),IF(AND(AW27&lt;&gt;"",WEEKDAY(AV$1,2)&lt;6),1,0),IF(AND(AY27&lt;&gt;"",WEEKDAY(AX$1,2)&lt;6),1,0),IF(AND(BA27&lt;&gt;"",WEEKDAY(AZ$1,2)&lt;6),1,0),IF(AND(BC27&lt;&gt;"",WEEKDAY(BB$1,2)&lt;6),1,0),IF(AND(BE27&lt;&gt;"",WEEKDAY(BD$1,2)&lt;6),1,0),IF(AND(BG27&lt;&gt;"",WEEKDAY(BF$1,2)&lt;6),1,0),IF(AND(BI27&lt;&gt;"",WEEKDAY(BH$1,2)&lt;6),1,0),IF(AND(BK27&lt;&gt;"",WEEKDAY(BJ$1,2)&lt;6),1,0),IF(AND(BM27&lt;&gt;"",WEEKDAY(BL$1,2)&lt;6),1,0))</f>
        <v>0</v>
      </c>
      <c r="BP27" s="85">
        <f>SUM(IF(AND((D27&lt;&gt;"")+(E27&lt;&gt;""),WEEKDAY(D$1,2)=6),1,0),IF(AND((F27&lt;&gt;"")+(G27&lt;&gt;""),WEEKDAY(F$1,2)=6),1,0),IF(AND((H27&lt;&gt;"")+(I27&lt;&gt;""),WEEKDAY(H$1,2)=6),1,0),IF(AND((J27&lt;&gt;"")+(K27&lt;&gt;""),WEEKDAY(J$1,2)=6),1,0),IF(AND((L27&lt;&gt;"")+(M27&lt;&gt;""),WEEKDAY(L$1,2)=6),1,0),IF(AND((N27&lt;&gt;"")+(O27&lt;&gt;""),WEEKDAY(N$1,2)=6),1,0),IF(AND((P27&lt;&gt;"")+(Q27&lt;&gt;""),WEEKDAY(P$1,2)=6),1,0),IF(AND((R27&lt;&gt;"")+(S27&lt;&gt;""),WEEKDAY(R$1,2)=6),1,0),IF(AND((T27&lt;&gt;"")+(U27&lt;&gt;""),WEEKDAY(T$1,2)=6),1,0),IF(AND((V27&lt;&gt;"")+(W27&lt;&gt;""),WEEKDAY(V$1,2)=6),1,0),IF(AND((X27&lt;&gt;"")+(Y27&lt;&gt;""),WEEKDAY(X$1,2)=6),1,0),IF(AND((Z27&lt;&gt;"")+(AA27&lt;&gt;""),WEEKDAY(Z$1,2)=6),1,0),IF(AND((AB27&lt;&gt;"")+(AC27&lt;&gt;""),WEEKDAY(AB$1,2)=6),1,0),IF(AND((AD27&lt;&gt;"")+(AE27&lt;&gt;""),WEEKDAY(AD$1,2)=6),1,0),IF(AND((AF27&lt;&gt;"")+(AG27&lt;&gt;""),WEEKDAY(AF$1,2)=6),1,0),IF(AND((AH27&lt;&gt;"")+(AI27&lt;&gt;""),WEEKDAY(AH$1,2)=6),1,0),IF(AND((AJ27&lt;&gt;"")+(AK27&lt;&gt;""),WEEKDAY(AJ$1,2)=6),1,0),IF(AND((AL27&lt;&gt;"")+(AM27&lt;&gt;""),WEEKDAY(AL$1,2)=6),1,0),IF(AND((AN27&lt;&gt;"")+(AO27&lt;&gt;""),WEEKDAY(AN$1,2)=6),1,0),IF(AND((AP27&lt;&gt;"")+(AQ27&lt;&gt;""),WEEKDAY(AP$1,2)=6),1,0),IF(AND((AR27&lt;&gt;"")+(AS27&lt;&gt;""),WEEKDAY(AR$1,2)=6),1,0),IF(AND((AT27&lt;&gt;"")+(AU27&lt;&gt;""),WEEKDAY(AT$1,2)=6),1,0),IF(AND((AV27&lt;&gt;"")+(AW27&lt;&gt;""),WEEKDAY(AV$1,2)=6),1,0),IF(AND((AX27&lt;&gt;"")+(AY27&lt;&gt;""),WEEKDAY(AX$1,2)=6),1,0),IF(AND((AZ27&lt;&gt;"")+(BA27&lt;&gt;""),WEEKDAY(AZ$1,2)=6),1,0),IF(AND((BB27&lt;&gt;"")+(BC27&lt;&gt;""),WEEKDAY(BB$1,2)=6),1,0),IF(AND((BD27&lt;&gt;"")+(BE27&lt;&gt;""),WEEKDAY(BD$1,2)=6),1,0),IF(AND((BF27&lt;&gt;"")+(BG27&lt;&gt;""),WEEKDAY(BF$1,2)=6),1,0),IF(AND((BH27&lt;&gt;"")+(BI27&lt;&gt;""),WEEKDAY(BH$1,2)=6),1,0),IF(AND((BJ27&lt;&gt;"")+(BK27&lt;&gt;""),WEEKDAY(BJ$1,2)=6),1,0),IF(AND((BL27&lt;&gt;"")+(BM27&lt;&gt;""),WEEKDAY(BL$1,2)=6),1,0))</f>
        <v>0</v>
      </c>
    </row>
    <row r="28" spans="1:68" ht="16.5">
      <c r="A28" s="86" t="s">
        <v>26</v>
      </c>
      <c r="B28" s="86" t="s">
        <v>39</v>
      </c>
      <c r="C28" s="92" t="s">
        <v>40</v>
      </c>
      <c r="D28" s="91"/>
      <c r="E28" s="91"/>
      <c r="F28" s="88">
        <v>0.38124999999999998</v>
      </c>
      <c r="G28" s="88">
        <v>0.14861111111111111</v>
      </c>
      <c r="H28" s="85"/>
      <c r="I28" s="88">
        <v>0.15763888888888888</v>
      </c>
      <c r="J28" s="99">
        <v>0.41388888888888886</v>
      </c>
      <c r="K28" s="98"/>
      <c r="L28" s="99">
        <v>0.38680555555555557</v>
      </c>
      <c r="M28" s="99">
        <v>0.18680555555555556</v>
      </c>
      <c r="N28" s="85"/>
      <c r="O28" s="88">
        <v>0.14861111111111111</v>
      </c>
      <c r="P28" s="102">
        <v>0.38750000000000001</v>
      </c>
      <c r="Q28" s="95"/>
      <c r="R28" s="91"/>
      <c r="S28" s="91"/>
      <c r="T28" s="88">
        <v>0.37013888888888891</v>
      </c>
      <c r="U28" s="88">
        <v>0.16805555555555557</v>
      </c>
      <c r="V28" s="88">
        <v>0.37708333333333333</v>
      </c>
      <c r="W28" s="88">
        <v>0.16805555555555557</v>
      </c>
      <c r="X28" s="88">
        <v>0.38333333333333336</v>
      </c>
      <c r="Y28" s="88">
        <v>0.15833333333333333</v>
      </c>
      <c r="Z28" s="88">
        <v>0.38819444444444445</v>
      </c>
      <c r="AA28" s="88">
        <v>0.16944444444444445</v>
      </c>
      <c r="AB28" s="88">
        <v>0.39583333333333331</v>
      </c>
      <c r="AC28" s="88">
        <v>0.12708333333333333</v>
      </c>
      <c r="AD28" s="95"/>
      <c r="AE28" s="95"/>
      <c r="AF28" s="91"/>
      <c r="AG28" s="91"/>
      <c r="AH28" s="96"/>
      <c r="AI28" s="96"/>
      <c r="AJ28" s="88">
        <v>0.38263888888888886</v>
      </c>
      <c r="AK28" s="85"/>
      <c r="AL28" s="88">
        <v>0.37152777777777779</v>
      </c>
      <c r="AM28" s="88">
        <v>0.16041666666666668</v>
      </c>
      <c r="AN28" s="88">
        <v>0.39097222222222222</v>
      </c>
      <c r="AO28" s="88">
        <v>0.1701388888888889</v>
      </c>
      <c r="AP28" s="85"/>
      <c r="AQ28" s="88">
        <v>0.18194444444444444</v>
      </c>
      <c r="AR28" s="102">
        <v>0.38680555555555557</v>
      </c>
      <c r="AS28" s="95"/>
      <c r="AT28" s="91"/>
      <c r="AU28" s="91"/>
      <c r="AV28" s="88">
        <v>0.37916666666666665</v>
      </c>
      <c r="AW28" s="88">
        <v>0.14791666666666667</v>
      </c>
      <c r="AX28" s="88">
        <v>0.39166666666666666</v>
      </c>
      <c r="AY28" s="88">
        <v>0.11527777777777778</v>
      </c>
      <c r="AZ28" s="88">
        <v>0.38263888888888886</v>
      </c>
      <c r="BA28" s="88">
        <v>0.16805555555555557</v>
      </c>
      <c r="BB28" s="88">
        <v>0.39097222222222222</v>
      </c>
      <c r="BC28" s="88">
        <v>0.15</v>
      </c>
      <c r="BD28" s="88">
        <v>0.37847222222222221</v>
      </c>
      <c r="BE28" s="85"/>
      <c r="BF28" s="95"/>
      <c r="BG28" s="95"/>
      <c r="BH28" s="91"/>
      <c r="BI28" s="91"/>
      <c r="BJ28" s="88">
        <v>0.39027777777777778</v>
      </c>
      <c r="BK28" s="88">
        <v>0.14861111111111111</v>
      </c>
      <c r="BL28" s="99">
        <v>0.38472222222222224</v>
      </c>
      <c r="BM28" s="99">
        <v>0.20347222222222222</v>
      </c>
      <c r="BN28" s="85">
        <f>SUM(IF(AND(D28&lt;&gt;"",WEEKDAY(D$1,2)&lt;6),1,0),IF(AND(F28&lt;&gt;"",WEEKDAY(F$1,2)&lt;6),1,0),IF(AND(H28&lt;&gt;"",WEEKDAY(H$1,2)&lt;6),1,0),IF(AND(J28&lt;&gt;"",WEEKDAY(J$1,2)&lt;6),1,0),IF(AND(L28&lt;&gt;"",WEEKDAY(L$1,2)&lt;6),1,0),IF(AND(N28&lt;&gt;"",WEEKDAY(N$1,2)&lt;6),1,0),IF(AND(P28&lt;&gt;"",WEEKDAY(P$1,2)&lt;6),1,0),IF(AND(R28&lt;&gt;"",WEEKDAY(R$1,2)&lt;6),1,0),IF(AND(T28&lt;&gt;"",WEEKDAY(T$1,2)&lt;6),1,0),IF(AND(V28&lt;&gt;"",WEEKDAY(V$1,2)&lt;6),1,0),IF(AND(X28&lt;&gt;"",WEEKDAY(X$1,2)&lt;6),1,0),IF(AND(Z28&lt;&gt;"",WEEKDAY(Z$1,2)&lt;6),1,0),IF(AND(AB28&lt;&gt;"",WEEKDAY(AB$1,2)&lt;6),1,0),IF(AND(AD28&lt;&gt;"",WEEKDAY(AD$1,2)&lt;6),1,0),IF(AND(AF28&lt;&gt;"",WEEKDAY(AF$1,2)&lt;6),1,0),IF(AND(AH28&lt;&gt;"",WEEKDAY(AH$1,2)&lt;6),1,0),IF(AND(AJ28&lt;&gt;"",WEEKDAY(AJ$1,2)&lt;6),1,0),IF(AND(AL28&lt;&gt;"",WEEKDAY(AL$1,2)&lt;6),1,0),IF(AND(AN28&lt;&gt;"",WEEKDAY(AN$1,2)&lt;6),1,0),IF(AND(AP28&lt;&gt;"",WEEKDAY(AP$1,2)&lt;6),1,0),IF(AND(AR28&lt;&gt;"",WEEKDAY(AR$1,2)&lt;6),1,0),IF(AND(AT28&lt;&gt;"",WEEKDAY(AT$1,2)&lt;6),1,0),IF(AND(AV28&lt;&gt;"",WEEKDAY(AV$1,2)&lt;6),1,0),IF(AND(AX28&lt;&gt;"",WEEKDAY(AX$1,2)&lt;6),1,0),IF(AND(AZ28&lt;&gt;"",WEEKDAY(AZ$1,2)&lt;6),1,0),IF(AND(BB28&lt;&gt;"",WEEKDAY(BB$1,2)&lt;6),1,0),IF(AND(BD28&lt;&gt;"",WEEKDAY(BD$1,2)&lt;6),1,0),IF(AND(BF28&lt;&gt;"",WEEKDAY(BF$1,2)&lt;6),1,0),IF(AND(BH28&lt;&gt;"",WEEKDAY(BH$1,2)&lt;6),1,0),IF(AND(BJ28&lt;&gt;"",WEEKDAY(BJ$1,2)&lt;6),1,0),IF(AND(BL28&lt;&gt;"",WEEKDAY(BL$1,2)&lt;6),1,0))</f>
        <v>18</v>
      </c>
      <c r="BO28" s="85">
        <f>SUM(IF(AND(E28&lt;&gt;"",WEEKDAY(D$1,2)&lt;6),1,0),IF(AND(G28&lt;&gt;"",WEEKDAY(F$1,2)&lt;6),1,0),IF(AND(I28&lt;&gt;"",WEEKDAY(H$1,2)&lt;6),1,0),IF(AND(K28&lt;&gt;"",WEEKDAY(J$1,2)&lt;6),1,0),IF(AND(M28&lt;&gt;"",WEEKDAY(L$1,2)&lt;6),1,0),IF(AND(O28&lt;&gt;"",WEEKDAY(N$1,2)&lt;6),1,0),IF(AND(Q28&lt;&gt;"",WEEKDAY(P$1,2)&lt;6),1,0),IF(AND(S28&lt;&gt;"",WEEKDAY(R$1,2)&lt;6),1,0),IF(AND(U28&lt;&gt;"",WEEKDAY(T$1,2)&lt;6),1,0),IF(AND(W28&lt;&gt;"",WEEKDAY(V$1,2)&lt;6),1,0),IF(AND(Y28&lt;&gt;"",WEEKDAY(X$1,2)&lt;6),1,0),IF(AND(AA28&lt;&gt;"",WEEKDAY(Z$1,2)&lt;6),1,0),IF(AND(AC28&lt;&gt;"",WEEKDAY(AB$1,2)&lt;6),1,0),IF(AND(AE28&lt;&gt;"",WEEKDAY(AD$1,2)&lt;6),1,0),IF(AND(AG28&lt;&gt;"",WEEKDAY(AF$1,2)&lt;6),1,0),IF(AND(AI28&lt;&gt;"",WEEKDAY(AH$1,2)&lt;6),1,0),IF(AND(AK28&lt;&gt;"",WEEKDAY(AJ$1,2)&lt;6),1,0),IF(AND(AM28&lt;&gt;"",WEEKDAY(AL$1,2)&lt;6),1,0),IF(AND(AO28&lt;&gt;"",WEEKDAY(AN$1,2)&lt;6),1,0),IF(AND(AQ28&lt;&gt;"",WEEKDAY(AP$1,2)&lt;6),1,0),IF(AND(AS28&lt;&gt;"",WEEKDAY(AR$1,2)&lt;6),1,0),IF(AND(AU28&lt;&gt;"",WEEKDAY(AT$1,2)&lt;6),1,0),IF(AND(AW28&lt;&gt;"",WEEKDAY(AV$1,2)&lt;6),1,0),IF(AND(AY28&lt;&gt;"",WEEKDAY(AX$1,2)&lt;6),1,0),IF(AND(BA28&lt;&gt;"",WEEKDAY(AZ$1,2)&lt;6),1,0),IF(AND(BC28&lt;&gt;"",WEEKDAY(BB$1,2)&lt;6),1,0),IF(AND(BE28&lt;&gt;"",WEEKDAY(BD$1,2)&lt;6),1,0),IF(AND(BG28&lt;&gt;"",WEEKDAY(BF$1,2)&lt;6),1,0),IF(AND(BI28&lt;&gt;"",WEEKDAY(BH$1,2)&lt;6),1,0),IF(AND(BK28&lt;&gt;"",WEEKDAY(BJ$1,2)&lt;6),1,0),IF(AND(BM28&lt;&gt;"",WEEKDAY(BL$1,2)&lt;6),1,0))</f>
        <v>18</v>
      </c>
      <c r="BP28" s="85">
        <f>SUM(IF(AND((D28&lt;&gt;"")+(E28&lt;&gt;""),WEEKDAY(D$1,2)=6),1,0),IF(AND((F28&lt;&gt;"")+(G28&lt;&gt;""),WEEKDAY(F$1,2)=6),1,0),IF(AND((H28&lt;&gt;"")+(I28&lt;&gt;""),WEEKDAY(H$1,2)=6),1,0),IF(AND((J28&lt;&gt;"")+(K28&lt;&gt;""),WEEKDAY(J$1,2)=6),1,0),IF(AND((L28&lt;&gt;"")+(M28&lt;&gt;""),WEEKDAY(L$1,2)=6),1,0),IF(AND((N28&lt;&gt;"")+(O28&lt;&gt;""),WEEKDAY(N$1,2)=6),1,0),IF(AND((P28&lt;&gt;"")+(Q28&lt;&gt;""),WEEKDAY(P$1,2)=6),1,0),IF(AND((R28&lt;&gt;"")+(S28&lt;&gt;""),WEEKDAY(R$1,2)=6),1,0),IF(AND((T28&lt;&gt;"")+(U28&lt;&gt;""),WEEKDAY(T$1,2)=6),1,0),IF(AND((V28&lt;&gt;"")+(W28&lt;&gt;""),WEEKDAY(V$1,2)=6),1,0),IF(AND((X28&lt;&gt;"")+(Y28&lt;&gt;""),WEEKDAY(X$1,2)=6),1,0),IF(AND((Z28&lt;&gt;"")+(AA28&lt;&gt;""),WEEKDAY(Z$1,2)=6),1,0),IF(AND((AB28&lt;&gt;"")+(AC28&lt;&gt;""),WEEKDAY(AB$1,2)=6),1,0),IF(AND((AD28&lt;&gt;"")+(AE28&lt;&gt;""),WEEKDAY(AD$1,2)=6),1,0),IF(AND((AF28&lt;&gt;"")+(AG28&lt;&gt;""),WEEKDAY(AF$1,2)=6),1,0),IF(AND((AH28&lt;&gt;"")+(AI28&lt;&gt;""),WEEKDAY(AH$1,2)=6),1,0),IF(AND((AJ28&lt;&gt;"")+(AK28&lt;&gt;""),WEEKDAY(AJ$1,2)=6),1,0),IF(AND((AL28&lt;&gt;"")+(AM28&lt;&gt;""),WEEKDAY(AL$1,2)=6),1,0),IF(AND((AN28&lt;&gt;"")+(AO28&lt;&gt;""),WEEKDAY(AN$1,2)=6),1,0),IF(AND((AP28&lt;&gt;"")+(AQ28&lt;&gt;""),WEEKDAY(AP$1,2)=6),1,0),IF(AND((AR28&lt;&gt;"")+(AS28&lt;&gt;""),WEEKDAY(AR$1,2)=6),1,0),IF(AND((AT28&lt;&gt;"")+(AU28&lt;&gt;""),WEEKDAY(AT$1,2)=6),1,0),IF(AND((AV28&lt;&gt;"")+(AW28&lt;&gt;""),WEEKDAY(AV$1,2)=6),1,0),IF(AND((AX28&lt;&gt;"")+(AY28&lt;&gt;""),WEEKDAY(AX$1,2)=6),1,0),IF(AND((AZ28&lt;&gt;"")+(BA28&lt;&gt;""),WEEKDAY(AZ$1,2)=6),1,0),IF(AND((BB28&lt;&gt;"")+(BC28&lt;&gt;""),WEEKDAY(BB$1,2)=6),1,0),IF(AND((BD28&lt;&gt;"")+(BE28&lt;&gt;""),WEEKDAY(BD$1,2)=6),1,0),IF(AND((BF28&lt;&gt;"")+(BG28&lt;&gt;""),WEEKDAY(BF$1,2)=6),1,0),IF(AND((BH28&lt;&gt;"")+(BI28&lt;&gt;""),WEEKDAY(BH$1,2)=6),1,0),IF(AND((BJ28&lt;&gt;"")+(BK28&lt;&gt;""),WEEKDAY(BJ$1,2)=6),1,0),IF(AND((BL28&lt;&gt;"")+(BM28&lt;&gt;""),WEEKDAY(BL$1,2)=6),1,0))</f>
        <v>2</v>
      </c>
    </row>
    <row r="29" spans="1:68" ht="16.5">
      <c r="A29" s="86" t="s">
        <v>26</v>
      </c>
      <c r="B29" s="86" t="s">
        <v>41</v>
      </c>
      <c r="C29" s="92" t="s">
        <v>42</v>
      </c>
      <c r="D29" s="91"/>
      <c r="E29" s="91"/>
      <c r="F29" s="88">
        <v>0.37777777777777777</v>
      </c>
      <c r="G29" s="85"/>
      <c r="H29" s="88">
        <v>0.38194444444444442</v>
      </c>
      <c r="I29" s="88"/>
      <c r="J29" s="99">
        <v>0.41111111111111109</v>
      </c>
      <c r="K29" s="98"/>
      <c r="L29" s="98"/>
      <c r="M29" s="98"/>
      <c r="N29" s="88">
        <v>0.37430555555555556</v>
      </c>
      <c r="O29" s="88">
        <v>0.15833333333333333</v>
      </c>
      <c r="P29" s="102">
        <v>0.37986111111111109</v>
      </c>
      <c r="Q29" s="95"/>
      <c r="R29" s="91"/>
      <c r="S29" s="91"/>
      <c r="T29" s="88">
        <v>0.37708333333333333</v>
      </c>
      <c r="U29" s="88">
        <v>0.16180555555555556</v>
      </c>
      <c r="V29" s="88">
        <v>0.37083333333333335</v>
      </c>
      <c r="W29" s="88">
        <v>0.21111111111111111</v>
      </c>
      <c r="X29" s="88">
        <v>0.37847222222222221</v>
      </c>
      <c r="Y29" s="88">
        <v>0.2</v>
      </c>
      <c r="Z29" s="88">
        <v>0.40069444444444446</v>
      </c>
      <c r="AA29" s="88">
        <v>0.15208333333333332</v>
      </c>
      <c r="AB29" s="88">
        <v>0.38680555555555557</v>
      </c>
      <c r="AC29" s="88">
        <v>0.12986111111111112</v>
      </c>
      <c r="AD29" s="95"/>
      <c r="AE29" s="95"/>
      <c r="AF29" s="91"/>
      <c r="AG29" s="91"/>
      <c r="AH29" s="96"/>
      <c r="AI29" s="96"/>
      <c r="AJ29" s="88">
        <v>0.38541666666666669</v>
      </c>
      <c r="AK29" s="88">
        <v>0.16666666666666666</v>
      </c>
      <c r="AL29" s="88">
        <v>0.37361111111111112</v>
      </c>
      <c r="AM29" s="85"/>
      <c r="AN29" s="88">
        <v>0.39374999999999999</v>
      </c>
      <c r="AO29" s="85"/>
      <c r="AP29" s="88">
        <v>0.3659722222222222</v>
      </c>
      <c r="AQ29" s="88">
        <v>0.14791666666666667</v>
      </c>
      <c r="AR29" s="102">
        <v>0.41666666666666669</v>
      </c>
      <c r="AS29" s="95"/>
      <c r="AT29" s="91"/>
      <c r="AU29" s="91"/>
      <c r="AV29" s="88">
        <v>0.34513888888888888</v>
      </c>
      <c r="AW29" s="88">
        <v>0.16666666666666666</v>
      </c>
      <c r="AX29" s="88">
        <v>0.36319444444444443</v>
      </c>
      <c r="AY29" s="85"/>
      <c r="AZ29" s="88">
        <v>0.43055555555555558</v>
      </c>
      <c r="BA29" s="88">
        <v>0.18124999999999999</v>
      </c>
      <c r="BB29" s="88">
        <v>0.39513888888888887</v>
      </c>
      <c r="BC29" s="88">
        <v>0.17847222222222223</v>
      </c>
      <c r="BD29" s="88">
        <v>0.37569444444444444</v>
      </c>
      <c r="BE29" s="85"/>
      <c r="BF29" s="95"/>
      <c r="BG29" s="95"/>
      <c r="BH29" s="91"/>
      <c r="BI29" s="91"/>
      <c r="BJ29" s="88">
        <v>0.36805555555555558</v>
      </c>
      <c r="BK29" s="88">
        <v>0.16319444444444445</v>
      </c>
      <c r="BL29" s="99">
        <v>0.38333333333333336</v>
      </c>
      <c r="BM29" s="99">
        <v>0.14930555555555555</v>
      </c>
      <c r="BN29" s="85">
        <f>SUM(IF(AND(D29&lt;&gt;"",WEEKDAY(D$1,2)&lt;6),1,0),IF(AND(F29&lt;&gt;"",WEEKDAY(F$1,2)&lt;6),1,0),IF(AND(H29&lt;&gt;"",WEEKDAY(H$1,2)&lt;6),1,0),IF(AND(J29&lt;&gt;"",WEEKDAY(J$1,2)&lt;6),1,0),IF(AND(L29&lt;&gt;"",WEEKDAY(L$1,2)&lt;6),1,0),IF(AND(N29&lt;&gt;"",WEEKDAY(N$1,2)&lt;6),1,0),IF(AND(P29&lt;&gt;"",WEEKDAY(P$1,2)&lt;6),1,0),IF(AND(R29&lt;&gt;"",WEEKDAY(R$1,2)&lt;6),1,0),IF(AND(T29&lt;&gt;"",WEEKDAY(T$1,2)&lt;6),1,0),IF(AND(V29&lt;&gt;"",WEEKDAY(V$1,2)&lt;6),1,0),IF(AND(X29&lt;&gt;"",WEEKDAY(X$1,2)&lt;6),1,0),IF(AND(Z29&lt;&gt;"",WEEKDAY(Z$1,2)&lt;6),1,0),IF(AND(AB29&lt;&gt;"",WEEKDAY(AB$1,2)&lt;6),1,0),IF(AND(AD29&lt;&gt;"",WEEKDAY(AD$1,2)&lt;6),1,0),IF(AND(AF29&lt;&gt;"",WEEKDAY(AF$1,2)&lt;6),1,0),IF(AND(AH29&lt;&gt;"",WEEKDAY(AH$1,2)&lt;6),1,0),IF(AND(AJ29&lt;&gt;"",WEEKDAY(AJ$1,2)&lt;6),1,0),IF(AND(AL29&lt;&gt;"",WEEKDAY(AL$1,2)&lt;6),1,0),IF(AND(AN29&lt;&gt;"",WEEKDAY(AN$1,2)&lt;6),1,0),IF(AND(AP29&lt;&gt;"",WEEKDAY(AP$1,2)&lt;6),1,0),IF(AND(AR29&lt;&gt;"",WEEKDAY(AR$1,2)&lt;6),1,0),IF(AND(AT29&lt;&gt;"",WEEKDAY(AT$1,2)&lt;6),1,0),IF(AND(AV29&lt;&gt;"",WEEKDAY(AV$1,2)&lt;6),1,0),IF(AND(AX29&lt;&gt;"",WEEKDAY(AX$1,2)&lt;6),1,0),IF(AND(AZ29&lt;&gt;"",WEEKDAY(AZ$1,2)&lt;6),1,0),IF(AND(BB29&lt;&gt;"",WEEKDAY(BB$1,2)&lt;6),1,0),IF(AND(BD29&lt;&gt;"",WEEKDAY(BD$1,2)&lt;6),1,0),IF(AND(BF29&lt;&gt;"",WEEKDAY(BF$1,2)&lt;6),1,0),IF(AND(BH29&lt;&gt;"",WEEKDAY(BH$1,2)&lt;6),1,0),IF(AND(BJ29&lt;&gt;"",WEEKDAY(BJ$1,2)&lt;6),1,0),IF(AND(BL29&lt;&gt;"",WEEKDAY(BL$1,2)&lt;6),1,0))</f>
        <v>20</v>
      </c>
      <c r="BO29" s="85">
        <f>SUM(IF(AND(E29&lt;&gt;"",WEEKDAY(D$1,2)&lt;6),1,0),IF(AND(G29&lt;&gt;"",WEEKDAY(F$1,2)&lt;6),1,0),IF(AND(I29&lt;&gt;"",WEEKDAY(H$1,2)&lt;6),1,0),IF(AND(K29&lt;&gt;"",WEEKDAY(J$1,2)&lt;6),1,0),IF(AND(M29&lt;&gt;"",WEEKDAY(L$1,2)&lt;6),1,0),IF(AND(O29&lt;&gt;"",WEEKDAY(N$1,2)&lt;6),1,0),IF(AND(Q29&lt;&gt;"",WEEKDAY(P$1,2)&lt;6),1,0),IF(AND(S29&lt;&gt;"",WEEKDAY(R$1,2)&lt;6),1,0),IF(AND(U29&lt;&gt;"",WEEKDAY(T$1,2)&lt;6),1,0),IF(AND(W29&lt;&gt;"",WEEKDAY(V$1,2)&lt;6),1,0),IF(AND(Y29&lt;&gt;"",WEEKDAY(X$1,2)&lt;6),1,0),IF(AND(AA29&lt;&gt;"",WEEKDAY(Z$1,2)&lt;6),1,0),IF(AND(AC29&lt;&gt;"",WEEKDAY(AB$1,2)&lt;6),1,0),IF(AND(AE29&lt;&gt;"",WEEKDAY(AD$1,2)&lt;6),1,0),IF(AND(AG29&lt;&gt;"",WEEKDAY(AF$1,2)&lt;6),1,0),IF(AND(AI29&lt;&gt;"",WEEKDAY(AH$1,2)&lt;6),1,0),IF(AND(AK29&lt;&gt;"",WEEKDAY(AJ$1,2)&lt;6),1,0),IF(AND(AM29&lt;&gt;"",WEEKDAY(AL$1,2)&lt;6),1,0),IF(AND(AO29&lt;&gt;"",WEEKDAY(AN$1,2)&lt;6),1,0),IF(AND(AQ29&lt;&gt;"",WEEKDAY(AP$1,2)&lt;6),1,0),IF(AND(AS29&lt;&gt;"",WEEKDAY(AR$1,2)&lt;6),1,0),IF(AND(AU29&lt;&gt;"",WEEKDAY(AT$1,2)&lt;6),1,0),IF(AND(AW29&lt;&gt;"",WEEKDAY(AV$1,2)&lt;6),1,0),IF(AND(AY29&lt;&gt;"",WEEKDAY(AX$1,2)&lt;6),1,0),IF(AND(BA29&lt;&gt;"",WEEKDAY(AZ$1,2)&lt;6),1,0),IF(AND(BC29&lt;&gt;"",WEEKDAY(BB$1,2)&lt;6),1,0),IF(AND(BE29&lt;&gt;"",WEEKDAY(BD$1,2)&lt;6),1,0),IF(AND(BG29&lt;&gt;"",WEEKDAY(BF$1,2)&lt;6),1,0),IF(AND(BI29&lt;&gt;"",WEEKDAY(BH$1,2)&lt;6),1,0),IF(AND(BK29&lt;&gt;"",WEEKDAY(BJ$1,2)&lt;6),1,0),IF(AND(BM29&lt;&gt;"",WEEKDAY(BL$1,2)&lt;6),1,0))</f>
        <v>13</v>
      </c>
      <c r="BP29" s="85">
        <f>SUM(IF(AND((D29&lt;&gt;"")+(E29&lt;&gt;""),WEEKDAY(D$1,2)=6),1,0),IF(AND((F29&lt;&gt;"")+(G29&lt;&gt;""),WEEKDAY(F$1,2)=6),1,0),IF(AND((H29&lt;&gt;"")+(I29&lt;&gt;""),WEEKDAY(H$1,2)=6),1,0),IF(AND((J29&lt;&gt;"")+(K29&lt;&gt;""),WEEKDAY(J$1,2)=6),1,0),IF(AND((L29&lt;&gt;"")+(M29&lt;&gt;""),WEEKDAY(L$1,2)=6),1,0),IF(AND((N29&lt;&gt;"")+(O29&lt;&gt;""),WEEKDAY(N$1,2)=6),1,0),IF(AND((P29&lt;&gt;"")+(Q29&lt;&gt;""),WEEKDAY(P$1,2)=6),1,0),IF(AND((R29&lt;&gt;"")+(S29&lt;&gt;""),WEEKDAY(R$1,2)=6),1,0),IF(AND((T29&lt;&gt;"")+(U29&lt;&gt;""),WEEKDAY(T$1,2)=6),1,0),IF(AND((V29&lt;&gt;"")+(W29&lt;&gt;""),WEEKDAY(V$1,2)=6),1,0),IF(AND((X29&lt;&gt;"")+(Y29&lt;&gt;""),WEEKDAY(X$1,2)=6),1,0),IF(AND((Z29&lt;&gt;"")+(AA29&lt;&gt;""),WEEKDAY(Z$1,2)=6),1,0),IF(AND((AB29&lt;&gt;"")+(AC29&lt;&gt;""),WEEKDAY(AB$1,2)=6),1,0),IF(AND((AD29&lt;&gt;"")+(AE29&lt;&gt;""),WEEKDAY(AD$1,2)=6),1,0),IF(AND((AF29&lt;&gt;"")+(AG29&lt;&gt;""),WEEKDAY(AF$1,2)=6),1,0),IF(AND((AH29&lt;&gt;"")+(AI29&lt;&gt;""),WEEKDAY(AH$1,2)=6),1,0),IF(AND((AJ29&lt;&gt;"")+(AK29&lt;&gt;""),WEEKDAY(AJ$1,2)=6),1,0),IF(AND((AL29&lt;&gt;"")+(AM29&lt;&gt;""),WEEKDAY(AL$1,2)=6),1,0),IF(AND((AN29&lt;&gt;"")+(AO29&lt;&gt;""),WEEKDAY(AN$1,2)=6),1,0),IF(AND((AP29&lt;&gt;"")+(AQ29&lt;&gt;""),WEEKDAY(AP$1,2)=6),1,0),IF(AND((AR29&lt;&gt;"")+(AS29&lt;&gt;""),WEEKDAY(AR$1,2)=6),1,0),IF(AND((AT29&lt;&gt;"")+(AU29&lt;&gt;""),WEEKDAY(AT$1,2)=6),1,0),IF(AND((AV29&lt;&gt;"")+(AW29&lt;&gt;""),WEEKDAY(AV$1,2)=6),1,0),IF(AND((AX29&lt;&gt;"")+(AY29&lt;&gt;""),WEEKDAY(AX$1,2)=6),1,0),IF(AND((AZ29&lt;&gt;"")+(BA29&lt;&gt;""),WEEKDAY(AZ$1,2)=6),1,0),IF(AND((BB29&lt;&gt;"")+(BC29&lt;&gt;""),WEEKDAY(BB$1,2)=6),1,0),IF(AND((BD29&lt;&gt;"")+(BE29&lt;&gt;""),WEEKDAY(BD$1,2)=6),1,0),IF(AND((BF29&lt;&gt;"")+(BG29&lt;&gt;""),WEEKDAY(BF$1,2)=6),1,0),IF(AND((BH29&lt;&gt;"")+(BI29&lt;&gt;""),WEEKDAY(BH$1,2)=6),1,0),IF(AND((BJ29&lt;&gt;"")+(BK29&lt;&gt;""),WEEKDAY(BJ$1,2)=6),1,0),IF(AND((BL29&lt;&gt;"")+(BM29&lt;&gt;""),WEEKDAY(BL$1,2)=6),1,0))</f>
        <v>2</v>
      </c>
    </row>
    <row r="30" spans="1:68" ht="16.5">
      <c r="A30" s="86" t="s">
        <v>43</v>
      </c>
      <c r="B30" s="86" t="s">
        <v>44</v>
      </c>
      <c r="C30" s="92" t="s">
        <v>45</v>
      </c>
      <c r="D30" s="91"/>
      <c r="E30" s="91"/>
      <c r="F30" s="88">
        <v>0.35347222222222224</v>
      </c>
      <c r="G30" s="88">
        <v>0.14861111111111111</v>
      </c>
      <c r="H30" s="88">
        <v>0.44027777777777777</v>
      </c>
      <c r="I30" s="88">
        <v>0.12986111111111112</v>
      </c>
      <c r="J30" s="99">
        <v>0.35833333333333334</v>
      </c>
      <c r="K30" s="99">
        <v>0.12916666666666668</v>
      </c>
      <c r="L30" s="99">
        <v>0.35694444444444445</v>
      </c>
      <c r="M30" s="99">
        <v>0.13541666666666666</v>
      </c>
      <c r="N30" s="88">
        <v>0.36180555555555555</v>
      </c>
      <c r="O30" s="88">
        <v>0.13541666666666666</v>
      </c>
      <c r="P30" s="102">
        <v>0.37430555555555556</v>
      </c>
      <c r="Q30" s="95"/>
      <c r="R30" s="91"/>
      <c r="S30" s="91"/>
      <c r="T30" s="88">
        <v>0.35347222222222224</v>
      </c>
      <c r="U30" s="88">
        <v>0.14027777777777778</v>
      </c>
      <c r="V30" s="88">
        <v>0.35902777777777778</v>
      </c>
      <c r="W30" s="88">
        <v>0.12986111111111112</v>
      </c>
      <c r="X30" s="88">
        <v>0.3527777777777778</v>
      </c>
      <c r="Y30" s="88">
        <v>0.13750000000000001</v>
      </c>
      <c r="Z30" s="88">
        <v>0.35</v>
      </c>
      <c r="AA30" s="88">
        <v>0.15416666666666667</v>
      </c>
      <c r="AB30" s="88">
        <v>0.36666666666666664</v>
      </c>
      <c r="AC30" s="88">
        <v>0.12638888888888888</v>
      </c>
      <c r="AD30" s="95"/>
      <c r="AE30" s="95"/>
      <c r="AF30" s="91"/>
      <c r="AG30" s="91"/>
      <c r="AH30" s="96"/>
      <c r="AI30" s="96"/>
      <c r="AJ30" s="88">
        <v>0.41944444444444445</v>
      </c>
      <c r="AK30" s="88">
        <v>0.12847222222222221</v>
      </c>
      <c r="AL30" s="88">
        <v>0.34930555555555554</v>
      </c>
      <c r="AM30" s="88">
        <v>0.12916666666666668</v>
      </c>
      <c r="AN30" s="88">
        <v>0.35069444444444442</v>
      </c>
      <c r="AO30" s="88">
        <v>0.13680555555555557</v>
      </c>
      <c r="AP30" s="88">
        <v>0.34791666666666665</v>
      </c>
      <c r="AQ30" s="88">
        <v>0.16180555555555556</v>
      </c>
      <c r="AR30" s="95"/>
      <c r="AS30" s="95"/>
      <c r="AT30" s="91"/>
      <c r="AU30" s="91"/>
      <c r="AV30" s="88">
        <v>0.35069444444444442</v>
      </c>
      <c r="AW30" s="88">
        <v>0.16180555555555556</v>
      </c>
      <c r="AX30" s="88">
        <v>0.35208333333333336</v>
      </c>
      <c r="AY30" s="88">
        <v>0.15972222222222221</v>
      </c>
      <c r="AZ30" s="88">
        <v>0.35833333333333334</v>
      </c>
      <c r="BA30" s="88">
        <v>0.18958333333333333</v>
      </c>
      <c r="BB30" s="88">
        <v>0.35208333333333336</v>
      </c>
      <c r="BC30" s="88">
        <v>0.17847222222222223</v>
      </c>
      <c r="BD30" s="88">
        <v>0.35347222222222224</v>
      </c>
      <c r="BE30" s="85"/>
      <c r="BF30" s="95"/>
      <c r="BG30" s="95"/>
      <c r="BH30" s="91"/>
      <c r="BI30" s="91"/>
      <c r="BJ30" s="88">
        <v>0.35416666666666669</v>
      </c>
      <c r="BK30" s="88">
        <v>0.14930555555555555</v>
      </c>
      <c r="BL30" s="99">
        <v>0.3527777777777778</v>
      </c>
      <c r="BM30" s="99">
        <v>0.15763888888888888</v>
      </c>
      <c r="BN30" s="85">
        <f>SUM(IF(AND(D30&lt;&gt;"",WEEKDAY(D$1,2)&lt;6),1,0),IF(AND(F30&lt;&gt;"",WEEKDAY(F$1,2)&lt;6),1,0),IF(AND(H30&lt;&gt;"",WEEKDAY(H$1,2)&lt;6),1,0),IF(AND(J30&lt;&gt;"",WEEKDAY(J$1,2)&lt;6),1,0),IF(AND(L30&lt;&gt;"",WEEKDAY(L$1,2)&lt;6),1,0),IF(AND(N30&lt;&gt;"",WEEKDAY(N$1,2)&lt;6),1,0),IF(AND(P30&lt;&gt;"",WEEKDAY(P$1,2)&lt;6),1,0),IF(AND(R30&lt;&gt;"",WEEKDAY(R$1,2)&lt;6),1,0),IF(AND(T30&lt;&gt;"",WEEKDAY(T$1,2)&lt;6),1,0),IF(AND(V30&lt;&gt;"",WEEKDAY(V$1,2)&lt;6),1,0),IF(AND(X30&lt;&gt;"",WEEKDAY(X$1,2)&lt;6),1,0),IF(AND(Z30&lt;&gt;"",WEEKDAY(Z$1,2)&lt;6),1,0),IF(AND(AB30&lt;&gt;"",WEEKDAY(AB$1,2)&lt;6),1,0),IF(AND(AD30&lt;&gt;"",WEEKDAY(AD$1,2)&lt;6),1,0),IF(AND(AF30&lt;&gt;"",WEEKDAY(AF$1,2)&lt;6),1,0),IF(AND(AH30&lt;&gt;"",WEEKDAY(AH$1,2)&lt;6),1,0),IF(AND(AJ30&lt;&gt;"",WEEKDAY(AJ$1,2)&lt;6),1,0),IF(AND(AL30&lt;&gt;"",WEEKDAY(AL$1,2)&lt;6),1,0),IF(AND(AN30&lt;&gt;"",WEEKDAY(AN$1,2)&lt;6),1,0),IF(AND(AP30&lt;&gt;"",WEEKDAY(AP$1,2)&lt;6),1,0),IF(AND(AR30&lt;&gt;"",WEEKDAY(AR$1,2)&lt;6),1,0),IF(AND(AT30&lt;&gt;"",WEEKDAY(AT$1,2)&lt;6),1,0),IF(AND(AV30&lt;&gt;"",WEEKDAY(AV$1,2)&lt;6),1,0),IF(AND(AX30&lt;&gt;"",WEEKDAY(AX$1,2)&lt;6),1,0),IF(AND(AZ30&lt;&gt;"",WEEKDAY(AZ$1,2)&lt;6),1,0),IF(AND(BB30&lt;&gt;"",WEEKDAY(BB$1,2)&lt;6),1,0),IF(AND(BD30&lt;&gt;"",WEEKDAY(BD$1,2)&lt;6),1,0),IF(AND(BF30&lt;&gt;"",WEEKDAY(BF$1,2)&lt;6),1,0),IF(AND(BH30&lt;&gt;"",WEEKDAY(BH$1,2)&lt;6),1,0),IF(AND(BJ30&lt;&gt;"",WEEKDAY(BJ$1,2)&lt;6),1,0),IF(AND(BL30&lt;&gt;"",WEEKDAY(BL$1,2)&lt;6),1,0))</f>
        <v>21</v>
      </c>
      <c r="BO30" s="85">
        <f>SUM(IF(AND(E30&lt;&gt;"",WEEKDAY(D$1,2)&lt;6),1,0),IF(AND(G30&lt;&gt;"",WEEKDAY(F$1,2)&lt;6),1,0),IF(AND(I30&lt;&gt;"",WEEKDAY(H$1,2)&lt;6),1,0),IF(AND(K30&lt;&gt;"",WEEKDAY(J$1,2)&lt;6),1,0),IF(AND(M30&lt;&gt;"",WEEKDAY(L$1,2)&lt;6),1,0),IF(AND(O30&lt;&gt;"",WEEKDAY(N$1,2)&lt;6),1,0),IF(AND(Q30&lt;&gt;"",WEEKDAY(P$1,2)&lt;6),1,0),IF(AND(S30&lt;&gt;"",WEEKDAY(R$1,2)&lt;6),1,0),IF(AND(U30&lt;&gt;"",WEEKDAY(T$1,2)&lt;6),1,0),IF(AND(W30&lt;&gt;"",WEEKDAY(V$1,2)&lt;6),1,0),IF(AND(Y30&lt;&gt;"",WEEKDAY(X$1,2)&lt;6),1,0),IF(AND(AA30&lt;&gt;"",WEEKDAY(Z$1,2)&lt;6),1,0),IF(AND(AC30&lt;&gt;"",WEEKDAY(AB$1,2)&lt;6),1,0),IF(AND(AE30&lt;&gt;"",WEEKDAY(AD$1,2)&lt;6),1,0),IF(AND(AG30&lt;&gt;"",WEEKDAY(AF$1,2)&lt;6),1,0),IF(AND(AI30&lt;&gt;"",WEEKDAY(AH$1,2)&lt;6),1,0),IF(AND(AK30&lt;&gt;"",WEEKDAY(AJ$1,2)&lt;6),1,0),IF(AND(AM30&lt;&gt;"",WEEKDAY(AL$1,2)&lt;6),1,0),IF(AND(AO30&lt;&gt;"",WEEKDAY(AN$1,2)&lt;6),1,0),IF(AND(AQ30&lt;&gt;"",WEEKDAY(AP$1,2)&lt;6),1,0),IF(AND(AS30&lt;&gt;"",WEEKDAY(AR$1,2)&lt;6),1,0),IF(AND(AU30&lt;&gt;"",WEEKDAY(AT$1,2)&lt;6),1,0),IF(AND(AW30&lt;&gt;"",WEEKDAY(AV$1,2)&lt;6),1,0),IF(AND(AY30&lt;&gt;"",WEEKDAY(AX$1,2)&lt;6),1,0),IF(AND(BA30&lt;&gt;"",WEEKDAY(AZ$1,2)&lt;6),1,0),IF(AND(BC30&lt;&gt;"",WEEKDAY(BB$1,2)&lt;6),1,0),IF(AND(BE30&lt;&gt;"",WEEKDAY(BD$1,2)&lt;6),1,0),IF(AND(BG30&lt;&gt;"",WEEKDAY(BF$1,2)&lt;6),1,0),IF(AND(BI30&lt;&gt;"",WEEKDAY(BH$1,2)&lt;6),1,0),IF(AND(BK30&lt;&gt;"",WEEKDAY(BJ$1,2)&lt;6),1,0),IF(AND(BM30&lt;&gt;"",WEEKDAY(BL$1,2)&lt;6),1,0))</f>
        <v>20</v>
      </c>
      <c r="BP30" s="85">
        <f>SUM(IF(AND((D30&lt;&gt;"")+(E30&lt;&gt;""),WEEKDAY(D$1,2)=6),1,0),IF(AND((F30&lt;&gt;"")+(G30&lt;&gt;""),WEEKDAY(F$1,2)=6),1,0),IF(AND((H30&lt;&gt;"")+(I30&lt;&gt;""),WEEKDAY(H$1,2)=6),1,0),IF(AND((J30&lt;&gt;"")+(K30&lt;&gt;""),WEEKDAY(J$1,2)=6),1,0),IF(AND((L30&lt;&gt;"")+(M30&lt;&gt;""),WEEKDAY(L$1,2)=6),1,0),IF(AND((N30&lt;&gt;"")+(O30&lt;&gt;""),WEEKDAY(N$1,2)=6),1,0),IF(AND((P30&lt;&gt;"")+(Q30&lt;&gt;""),WEEKDAY(P$1,2)=6),1,0),IF(AND((R30&lt;&gt;"")+(S30&lt;&gt;""),WEEKDAY(R$1,2)=6),1,0),IF(AND((T30&lt;&gt;"")+(U30&lt;&gt;""),WEEKDAY(T$1,2)=6),1,0),IF(AND((V30&lt;&gt;"")+(W30&lt;&gt;""),WEEKDAY(V$1,2)=6),1,0),IF(AND((X30&lt;&gt;"")+(Y30&lt;&gt;""),WEEKDAY(X$1,2)=6),1,0),IF(AND((Z30&lt;&gt;"")+(AA30&lt;&gt;""),WEEKDAY(Z$1,2)=6),1,0),IF(AND((AB30&lt;&gt;"")+(AC30&lt;&gt;""),WEEKDAY(AB$1,2)=6),1,0),IF(AND((AD30&lt;&gt;"")+(AE30&lt;&gt;""),WEEKDAY(AD$1,2)=6),1,0),IF(AND((AF30&lt;&gt;"")+(AG30&lt;&gt;""),WEEKDAY(AF$1,2)=6),1,0),IF(AND((AH30&lt;&gt;"")+(AI30&lt;&gt;""),WEEKDAY(AH$1,2)=6),1,0),IF(AND((AJ30&lt;&gt;"")+(AK30&lt;&gt;""),WEEKDAY(AJ$1,2)=6),1,0),IF(AND((AL30&lt;&gt;"")+(AM30&lt;&gt;""),WEEKDAY(AL$1,2)=6),1,0),IF(AND((AN30&lt;&gt;"")+(AO30&lt;&gt;""),WEEKDAY(AN$1,2)=6),1,0),IF(AND((AP30&lt;&gt;"")+(AQ30&lt;&gt;""),WEEKDAY(AP$1,2)=6),1,0),IF(AND((AR30&lt;&gt;"")+(AS30&lt;&gt;""),WEEKDAY(AR$1,2)=6),1,0),IF(AND((AT30&lt;&gt;"")+(AU30&lt;&gt;""),WEEKDAY(AT$1,2)=6),1,0),IF(AND((AV30&lt;&gt;"")+(AW30&lt;&gt;""),WEEKDAY(AV$1,2)=6),1,0),IF(AND((AX30&lt;&gt;"")+(AY30&lt;&gt;""),WEEKDAY(AX$1,2)=6),1,0),IF(AND((AZ30&lt;&gt;"")+(BA30&lt;&gt;""),WEEKDAY(AZ$1,2)=6),1,0),IF(AND((BB30&lt;&gt;"")+(BC30&lt;&gt;""),WEEKDAY(BB$1,2)=6),1,0),IF(AND((BD30&lt;&gt;"")+(BE30&lt;&gt;""),WEEKDAY(BD$1,2)=6),1,0),IF(AND((BF30&lt;&gt;"")+(BG30&lt;&gt;""),WEEKDAY(BF$1,2)=6),1,0),IF(AND((BH30&lt;&gt;"")+(BI30&lt;&gt;""),WEEKDAY(BH$1,2)=6),1,0),IF(AND((BJ30&lt;&gt;"")+(BK30&lt;&gt;""),WEEKDAY(BJ$1,2)=6),1,0),IF(AND((BL30&lt;&gt;"")+(BM30&lt;&gt;""),WEEKDAY(BL$1,2)=6),1,0))</f>
        <v>1</v>
      </c>
    </row>
    <row r="31" spans="1:68" ht="16.5">
      <c r="A31" s="86" t="s">
        <v>43</v>
      </c>
      <c r="B31" s="86" t="s">
        <v>46</v>
      </c>
      <c r="C31" s="92" t="s">
        <v>47</v>
      </c>
      <c r="D31" s="91"/>
      <c r="E31" s="91"/>
      <c r="F31" s="85"/>
      <c r="G31" s="85"/>
      <c r="H31" s="88">
        <v>0.4236111111111111</v>
      </c>
      <c r="I31" s="88">
        <v>0.15486111111111112</v>
      </c>
      <c r="J31" s="99">
        <v>0.36249999999999999</v>
      </c>
      <c r="K31" s="99">
        <v>0.14861111111111111</v>
      </c>
      <c r="L31" s="99">
        <v>0.35902777777777778</v>
      </c>
      <c r="M31" s="99">
        <v>0.12986111111111112</v>
      </c>
      <c r="N31" s="88">
        <v>0.35972222222222222</v>
      </c>
      <c r="O31" s="88">
        <v>0.15208333333333332</v>
      </c>
      <c r="P31" s="102">
        <v>0.38958333333333334</v>
      </c>
      <c r="Q31" s="95"/>
      <c r="R31" s="91"/>
      <c r="S31" s="91"/>
      <c r="T31" s="88">
        <v>0.35972222222222222</v>
      </c>
      <c r="U31" s="88">
        <v>0.14166666666666666</v>
      </c>
      <c r="V31" s="88">
        <v>0.36319444444444443</v>
      </c>
      <c r="W31" s="88">
        <v>0.12916666666666668</v>
      </c>
      <c r="X31" s="88">
        <v>0.35555555555555557</v>
      </c>
      <c r="Y31" s="88">
        <v>0.11527777777777778</v>
      </c>
      <c r="Z31" s="88">
        <v>0.36180555555555555</v>
      </c>
      <c r="AA31" s="88">
        <v>0.13819444444444445</v>
      </c>
      <c r="AB31" s="88">
        <v>0.35972222222222222</v>
      </c>
      <c r="AC31" s="88">
        <v>0.13125000000000001</v>
      </c>
      <c r="AD31" s="95"/>
      <c r="AE31" s="95"/>
      <c r="AF31" s="91"/>
      <c r="AG31" s="91"/>
      <c r="AH31" s="96"/>
      <c r="AI31" s="96"/>
      <c r="AJ31" s="88">
        <v>0.35902777777777778</v>
      </c>
      <c r="AK31" s="88">
        <v>0.14027777777777778</v>
      </c>
      <c r="AL31" s="88">
        <v>0.35833333333333334</v>
      </c>
      <c r="AM31" s="88">
        <v>0.15069444444444444</v>
      </c>
      <c r="AN31" s="88">
        <v>0.35833333333333334</v>
      </c>
      <c r="AO31" s="88">
        <v>0.17291666666666666</v>
      </c>
      <c r="AP31" s="88">
        <v>0.3576388888888889</v>
      </c>
      <c r="AQ31" s="88">
        <v>0.13819444444444445</v>
      </c>
      <c r="AR31" s="102">
        <v>0.38263888888888886</v>
      </c>
      <c r="AS31" s="95"/>
      <c r="AT31" s="91"/>
      <c r="AU31" s="91"/>
      <c r="AV31" s="88">
        <v>0.38472222222222224</v>
      </c>
      <c r="AW31" s="88">
        <v>0.1451388888888889</v>
      </c>
      <c r="AX31" s="88">
        <v>0.3576388888888889</v>
      </c>
      <c r="AY31" s="88">
        <v>0.11597222222222223</v>
      </c>
      <c r="AZ31" s="88">
        <v>0.36458333333333331</v>
      </c>
      <c r="BA31" s="88">
        <v>0.15069444444444444</v>
      </c>
      <c r="BB31" s="88">
        <v>0.3576388888888889</v>
      </c>
      <c r="BC31" s="88">
        <v>0.16597222222222222</v>
      </c>
      <c r="BD31" s="88">
        <v>0.35486111111111113</v>
      </c>
      <c r="BE31" s="85"/>
      <c r="BF31" s="95"/>
      <c r="BG31" s="95"/>
      <c r="BH31" s="91"/>
      <c r="BI31" s="91"/>
      <c r="BJ31" s="88">
        <v>0.36388888888888887</v>
      </c>
      <c r="BK31" s="88">
        <v>0.13680555555555557</v>
      </c>
      <c r="BL31" s="99">
        <v>0.36388888888888887</v>
      </c>
      <c r="BM31" s="99">
        <v>0</v>
      </c>
      <c r="BN31" s="85">
        <f>SUM(IF(AND(D31&lt;&gt;"",WEEKDAY(D$1,2)&lt;6),1,0),IF(AND(F31&lt;&gt;"",WEEKDAY(F$1,2)&lt;6),1,0),IF(AND(H31&lt;&gt;"",WEEKDAY(H$1,2)&lt;6),1,0),IF(AND(J31&lt;&gt;"",WEEKDAY(J$1,2)&lt;6),1,0),IF(AND(L31&lt;&gt;"",WEEKDAY(L$1,2)&lt;6),1,0),IF(AND(N31&lt;&gt;"",WEEKDAY(N$1,2)&lt;6),1,0),IF(AND(P31&lt;&gt;"",WEEKDAY(P$1,2)&lt;6),1,0),IF(AND(R31&lt;&gt;"",WEEKDAY(R$1,2)&lt;6),1,0),IF(AND(T31&lt;&gt;"",WEEKDAY(T$1,2)&lt;6),1,0),IF(AND(V31&lt;&gt;"",WEEKDAY(V$1,2)&lt;6),1,0),IF(AND(X31&lt;&gt;"",WEEKDAY(X$1,2)&lt;6),1,0),IF(AND(Z31&lt;&gt;"",WEEKDAY(Z$1,2)&lt;6),1,0),IF(AND(AB31&lt;&gt;"",WEEKDAY(AB$1,2)&lt;6),1,0),IF(AND(AD31&lt;&gt;"",WEEKDAY(AD$1,2)&lt;6),1,0),IF(AND(AF31&lt;&gt;"",WEEKDAY(AF$1,2)&lt;6),1,0),IF(AND(AH31&lt;&gt;"",WEEKDAY(AH$1,2)&lt;6),1,0),IF(AND(AJ31&lt;&gt;"",WEEKDAY(AJ$1,2)&lt;6),1,0),IF(AND(AL31&lt;&gt;"",WEEKDAY(AL$1,2)&lt;6),1,0),IF(AND(AN31&lt;&gt;"",WEEKDAY(AN$1,2)&lt;6),1,0),IF(AND(AP31&lt;&gt;"",WEEKDAY(AP$1,2)&lt;6),1,0),IF(AND(AR31&lt;&gt;"",WEEKDAY(AR$1,2)&lt;6),1,0),IF(AND(AT31&lt;&gt;"",WEEKDAY(AT$1,2)&lt;6),1,0),IF(AND(AV31&lt;&gt;"",WEEKDAY(AV$1,2)&lt;6),1,0),IF(AND(AX31&lt;&gt;"",WEEKDAY(AX$1,2)&lt;6),1,0),IF(AND(AZ31&lt;&gt;"",WEEKDAY(AZ$1,2)&lt;6),1,0),IF(AND(BB31&lt;&gt;"",WEEKDAY(BB$1,2)&lt;6),1,0),IF(AND(BD31&lt;&gt;"",WEEKDAY(BD$1,2)&lt;6),1,0),IF(AND(BF31&lt;&gt;"",WEEKDAY(BF$1,2)&lt;6),1,0),IF(AND(BH31&lt;&gt;"",WEEKDAY(BH$1,2)&lt;6),1,0),IF(AND(BJ31&lt;&gt;"",WEEKDAY(BJ$1,2)&lt;6),1,0),IF(AND(BL31&lt;&gt;"",WEEKDAY(BL$1,2)&lt;6),1,0))</f>
        <v>20</v>
      </c>
      <c r="BO31" s="85">
        <f>SUM(IF(AND(E31&lt;&gt;"",WEEKDAY(D$1,2)&lt;6),1,0),IF(AND(G31&lt;&gt;"",WEEKDAY(F$1,2)&lt;6),1,0),IF(AND(I31&lt;&gt;"",WEEKDAY(H$1,2)&lt;6),1,0),IF(AND(K31&lt;&gt;"",WEEKDAY(J$1,2)&lt;6),1,0),IF(AND(M31&lt;&gt;"",WEEKDAY(L$1,2)&lt;6),1,0),IF(AND(O31&lt;&gt;"",WEEKDAY(N$1,2)&lt;6),1,0),IF(AND(Q31&lt;&gt;"",WEEKDAY(P$1,2)&lt;6),1,0),IF(AND(S31&lt;&gt;"",WEEKDAY(R$1,2)&lt;6),1,0),IF(AND(U31&lt;&gt;"",WEEKDAY(T$1,2)&lt;6),1,0),IF(AND(W31&lt;&gt;"",WEEKDAY(V$1,2)&lt;6),1,0),IF(AND(Y31&lt;&gt;"",WEEKDAY(X$1,2)&lt;6),1,0),IF(AND(AA31&lt;&gt;"",WEEKDAY(Z$1,2)&lt;6),1,0),IF(AND(AC31&lt;&gt;"",WEEKDAY(AB$1,2)&lt;6),1,0),IF(AND(AE31&lt;&gt;"",WEEKDAY(AD$1,2)&lt;6),1,0),IF(AND(AG31&lt;&gt;"",WEEKDAY(AF$1,2)&lt;6),1,0),IF(AND(AI31&lt;&gt;"",WEEKDAY(AH$1,2)&lt;6),1,0),IF(AND(AK31&lt;&gt;"",WEEKDAY(AJ$1,2)&lt;6),1,0),IF(AND(AM31&lt;&gt;"",WEEKDAY(AL$1,2)&lt;6),1,0),IF(AND(AO31&lt;&gt;"",WEEKDAY(AN$1,2)&lt;6),1,0),IF(AND(AQ31&lt;&gt;"",WEEKDAY(AP$1,2)&lt;6),1,0),IF(AND(AS31&lt;&gt;"",WEEKDAY(AR$1,2)&lt;6),1,0),IF(AND(AU31&lt;&gt;"",WEEKDAY(AT$1,2)&lt;6),1,0),IF(AND(AW31&lt;&gt;"",WEEKDAY(AV$1,2)&lt;6),1,0),IF(AND(AY31&lt;&gt;"",WEEKDAY(AX$1,2)&lt;6),1,0),IF(AND(BA31&lt;&gt;"",WEEKDAY(AZ$1,2)&lt;6),1,0),IF(AND(BC31&lt;&gt;"",WEEKDAY(BB$1,2)&lt;6),1,0),IF(AND(BE31&lt;&gt;"",WEEKDAY(BD$1,2)&lt;6),1,0),IF(AND(BG31&lt;&gt;"",WEEKDAY(BF$1,2)&lt;6),1,0),IF(AND(BI31&lt;&gt;"",WEEKDAY(BH$1,2)&lt;6),1,0),IF(AND(BK31&lt;&gt;"",WEEKDAY(BJ$1,2)&lt;6),1,0),IF(AND(BM31&lt;&gt;"",WEEKDAY(BL$1,2)&lt;6),1,0))</f>
        <v>19</v>
      </c>
      <c r="BP31" s="85">
        <f>SUM(IF(AND((D31&lt;&gt;"")+(E31&lt;&gt;""),WEEKDAY(D$1,2)=6),1,0),IF(AND((F31&lt;&gt;"")+(G31&lt;&gt;""),WEEKDAY(F$1,2)=6),1,0),IF(AND((H31&lt;&gt;"")+(I31&lt;&gt;""),WEEKDAY(H$1,2)=6),1,0),IF(AND((J31&lt;&gt;"")+(K31&lt;&gt;""),WEEKDAY(J$1,2)=6),1,0),IF(AND((L31&lt;&gt;"")+(M31&lt;&gt;""),WEEKDAY(L$1,2)=6),1,0),IF(AND((N31&lt;&gt;"")+(O31&lt;&gt;""),WEEKDAY(N$1,2)=6),1,0),IF(AND((P31&lt;&gt;"")+(Q31&lt;&gt;""),WEEKDAY(P$1,2)=6),1,0),IF(AND((R31&lt;&gt;"")+(S31&lt;&gt;""),WEEKDAY(R$1,2)=6),1,0),IF(AND((T31&lt;&gt;"")+(U31&lt;&gt;""),WEEKDAY(T$1,2)=6),1,0),IF(AND((V31&lt;&gt;"")+(W31&lt;&gt;""),WEEKDAY(V$1,2)=6),1,0),IF(AND((X31&lt;&gt;"")+(Y31&lt;&gt;""),WEEKDAY(X$1,2)=6),1,0),IF(AND((Z31&lt;&gt;"")+(AA31&lt;&gt;""),WEEKDAY(Z$1,2)=6),1,0),IF(AND((AB31&lt;&gt;"")+(AC31&lt;&gt;""),WEEKDAY(AB$1,2)=6),1,0),IF(AND((AD31&lt;&gt;"")+(AE31&lt;&gt;""),WEEKDAY(AD$1,2)=6),1,0),IF(AND((AF31&lt;&gt;"")+(AG31&lt;&gt;""),WEEKDAY(AF$1,2)=6),1,0),IF(AND((AH31&lt;&gt;"")+(AI31&lt;&gt;""),WEEKDAY(AH$1,2)=6),1,0),IF(AND((AJ31&lt;&gt;"")+(AK31&lt;&gt;""),WEEKDAY(AJ$1,2)=6),1,0),IF(AND((AL31&lt;&gt;"")+(AM31&lt;&gt;""),WEEKDAY(AL$1,2)=6),1,0),IF(AND((AN31&lt;&gt;"")+(AO31&lt;&gt;""),WEEKDAY(AN$1,2)=6),1,0),IF(AND((AP31&lt;&gt;"")+(AQ31&lt;&gt;""),WEEKDAY(AP$1,2)=6),1,0),IF(AND((AR31&lt;&gt;"")+(AS31&lt;&gt;""),WEEKDAY(AR$1,2)=6),1,0),IF(AND((AT31&lt;&gt;"")+(AU31&lt;&gt;""),WEEKDAY(AT$1,2)=6),1,0),IF(AND((AV31&lt;&gt;"")+(AW31&lt;&gt;""),WEEKDAY(AV$1,2)=6),1,0),IF(AND((AX31&lt;&gt;"")+(AY31&lt;&gt;""),WEEKDAY(AX$1,2)=6),1,0),IF(AND((AZ31&lt;&gt;"")+(BA31&lt;&gt;""),WEEKDAY(AZ$1,2)=6),1,0),IF(AND((BB31&lt;&gt;"")+(BC31&lt;&gt;""),WEEKDAY(BB$1,2)=6),1,0),IF(AND((BD31&lt;&gt;"")+(BE31&lt;&gt;""),WEEKDAY(BD$1,2)=6),1,0),IF(AND((BF31&lt;&gt;"")+(BG31&lt;&gt;""),WEEKDAY(BF$1,2)=6),1,0),IF(AND((BH31&lt;&gt;"")+(BI31&lt;&gt;""),WEEKDAY(BH$1,2)=6),1,0),IF(AND((BJ31&lt;&gt;"")+(BK31&lt;&gt;""),WEEKDAY(BJ$1,2)=6),1,0),IF(AND((BL31&lt;&gt;"")+(BM31&lt;&gt;""),WEEKDAY(BL$1,2)=6),1,0))</f>
        <v>2</v>
      </c>
    </row>
    <row r="32" spans="1:68" ht="16.5">
      <c r="A32" s="86" t="s">
        <v>43</v>
      </c>
      <c r="B32" s="86" t="s">
        <v>48</v>
      </c>
      <c r="C32" s="92" t="s">
        <v>49</v>
      </c>
      <c r="D32" s="91"/>
      <c r="E32" s="91"/>
      <c r="F32" s="88">
        <v>0.36666666666666664</v>
      </c>
      <c r="G32" s="88">
        <v>0.15763888888888888</v>
      </c>
      <c r="H32" s="85" t="s">
        <v>644</v>
      </c>
      <c r="I32" s="88">
        <v>0.15625</v>
      </c>
      <c r="J32" s="99">
        <v>0.38472222222222224</v>
      </c>
      <c r="K32" s="98"/>
      <c r="L32" s="99">
        <v>0.3659722222222222</v>
      </c>
      <c r="M32" s="99">
        <v>0.15555555555555556</v>
      </c>
      <c r="N32" s="85"/>
      <c r="O32" s="88">
        <v>0.1361111111111111</v>
      </c>
      <c r="P32" s="95"/>
      <c r="Q32" s="95"/>
      <c r="R32" s="91"/>
      <c r="S32" s="91"/>
      <c r="T32" s="88">
        <v>0.38750000000000001</v>
      </c>
      <c r="U32" s="88">
        <v>0.15277777777777779</v>
      </c>
      <c r="V32" s="88">
        <v>0.37430555555555556</v>
      </c>
      <c r="W32" s="88">
        <v>0.15416666666666667</v>
      </c>
      <c r="X32" s="85"/>
      <c r="Y32" s="88">
        <v>0.15972222222222221</v>
      </c>
      <c r="Z32" s="88">
        <v>0.37708333333333333</v>
      </c>
      <c r="AA32" s="88">
        <v>0.13194444444444445</v>
      </c>
      <c r="AB32" s="88">
        <v>0.42569444444444443</v>
      </c>
      <c r="AC32" s="85"/>
      <c r="AD32" s="95"/>
      <c r="AE32" s="95"/>
      <c r="AF32" s="91"/>
      <c r="AG32" s="91"/>
      <c r="AH32" s="96"/>
      <c r="AI32" s="96"/>
      <c r="AJ32" s="88">
        <v>0.37430555555555556</v>
      </c>
      <c r="AK32" s="88">
        <v>0.17083333333333334</v>
      </c>
      <c r="AL32" s="88">
        <v>0.35972222222222222</v>
      </c>
      <c r="AM32" s="88">
        <v>0.17986111111111111</v>
      </c>
      <c r="AN32" s="88">
        <v>0.375</v>
      </c>
      <c r="AO32" s="88">
        <v>0.18124999999999999</v>
      </c>
      <c r="AP32" s="88">
        <v>0.4</v>
      </c>
      <c r="AQ32" s="85"/>
      <c r="AR32" s="95"/>
      <c r="AS32" s="95"/>
      <c r="AT32" s="91"/>
      <c r="AU32" s="91"/>
      <c r="AV32" s="88">
        <v>0.37361111111111112</v>
      </c>
      <c r="AW32" s="88">
        <v>0.16458333333333333</v>
      </c>
      <c r="AX32" s="88">
        <v>0.37152777777777779</v>
      </c>
      <c r="AY32" s="88">
        <v>0.16458333333333333</v>
      </c>
      <c r="AZ32" s="88">
        <v>0.36388888888888887</v>
      </c>
      <c r="BA32" s="88">
        <v>0.16527777777777777</v>
      </c>
      <c r="BB32" s="88">
        <v>0.35833333333333334</v>
      </c>
      <c r="BC32" s="88">
        <v>0.18541666666666667</v>
      </c>
      <c r="BD32" s="88">
        <v>0.38333333333333336</v>
      </c>
      <c r="BE32" s="85"/>
      <c r="BF32" s="95"/>
      <c r="BG32" s="95"/>
      <c r="BH32" s="91"/>
      <c r="BI32" s="91"/>
      <c r="BJ32" s="99">
        <v>0</v>
      </c>
      <c r="BK32" s="99">
        <v>0</v>
      </c>
      <c r="BL32" s="99">
        <v>0</v>
      </c>
      <c r="BM32" s="99">
        <v>0</v>
      </c>
      <c r="BN32" s="85">
        <f>SUM(IF(AND(D32&lt;&gt;"",WEEKDAY(D$1,2)&lt;6),1,0),IF(AND(F32&lt;&gt;"",WEEKDAY(F$1,2)&lt;6),1,0),IF(AND(H32&lt;&gt;"",WEEKDAY(H$1,2)&lt;6),1,0),IF(AND(J32&lt;&gt;"",WEEKDAY(J$1,2)&lt;6),1,0),IF(AND(L32&lt;&gt;"",WEEKDAY(L$1,2)&lt;6),1,0),IF(AND(N32&lt;&gt;"",WEEKDAY(N$1,2)&lt;6),1,0),IF(AND(P32&lt;&gt;"",WEEKDAY(P$1,2)&lt;6),1,0),IF(AND(R32&lt;&gt;"",WEEKDAY(R$1,2)&lt;6),1,0),IF(AND(T32&lt;&gt;"",WEEKDAY(T$1,2)&lt;6),1,0),IF(AND(V32&lt;&gt;"",WEEKDAY(V$1,2)&lt;6),1,0),IF(AND(X32&lt;&gt;"",WEEKDAY(X$1,2)&lt;6),1,0),IF(AND(Z32&lt;&gt;"",WEEKDAY(Z$1,2)&lt;6),1,0),IF(AND(AB32&lt;&gt;"",WEEKDAY(AB$1,2)&lt;6),1,0),IF(AND(AD32&lt;&gt;"",WEEKDAY(AD$1,2)&lt;6),1,0),IF(AND(AF32&lt;&gt;"",WEEKDAY(AF$1,2)&lt;6),1,0),IF(AND(AH32&lt;&gt;"",WEEKDAY(AH$1,2)&lt;6),1,0),IF(AND(AJ32&lt;&gt;"",WEEKDAY(AJ$1,2)&lt;6),1,0),IF(AND(AL32&lt;&gt;"",WEEKDAY(AL$1,2)&lt;6),1,0),IF(AND(AN32&lt;&gt;"",WEEKDAY(AN$1,2)&lt;6),1,0),IF(AND(AP32&lt;&gt;"",WEEKDAY(AP$1,2)&lt;6),1,0),IF(AND(AR32&lt;&gt;"",WEEKDAY(AR$1,2)&lt;6),1,0),IF(AND(AT32&lt;&gt;"",WEEKDAY(AT$1,2)&lt;6),1,0),IF(AND(AV32&lt;&gt;"",WEEKDAY(AV$1,2)&lt;6),1,0),IF(AND(AX32&lt;&gt;"",WEEKDAY(AX$1,2)&lt;6),1,0),IF(AND(AZ32&lt;&gt;"",WEEKDAY(AZ$1,2)&lt;6),1,0),IF(AND(BB32&lt;&gt;"",WEEKDAY(BB$1,2)&lt;6),1,0),IF(AND(BD32&lt;&gt;"",WEEKDAY(BD$1,2)&lt;6),1,0),IF(AND(BF32&lt;&gt;"",WEEKDAY(BF$1,2)&lt;6),1,0),IF(AND(BH32&lt;&gt;"",WEEKDAY(BH$1,2)&lt;6),1,0),IF(AND(BJ32&lt;&gt;"",WEEKDAY(BJ$1,2)&lt;6),1,0),IF(AND(BL32&lt;&gt;"",WEEKDAY(BL$1,2)&lt;6),1,0))</f>
        <v>19</v>
      </c>
      <c r="BO32" s="85">
        <f>SUM(IF(AND(E32&lt;&gt;"",WEEKDAY(D$1,2)&lt;6),1,0),IF(AND(G32&lt;&gt;"",WEEKDAY(F$1,2)&lt;6),1,0),IF(AND(I32&lt;&gt;"",WEEKDAY(H$1,2)&lt;6),1,0),IF(AND(K32&lt;&gt;"",WEEKDAY(J$1,2)&lt;6),1,0),IF(AND(M32&lt;&gt;"",WEEKDAY(L$1,2)&lt;6),1,0),IF(AND(O32&lt;&gt;"",WEEKDAY(N$1,2)&lt;6),1,0),IF(AND(Q32&lt;&gt;"",WEEKDAY(P$1,2)&lt;6),1,0),IF(AND(S32&lt;&gt;"",WEEKDAY(R$1,2)&lt;6),1,0),IF(AND(U32&lt;&gt;"",WEEKDAY(T$1,2)&lt;6),1,0),IF(AND(W32&lt;&gt;"",WEEKDAY(V$1,2)&lt;6),1,0),IF(AND(Y32&lt;&gt;"",WEEKDAY(X$1,2)&lt;6),1,0),IF(AND(AA32&lt;&gt;"",WEEKDAY(Z$1,2)&lt;6),1,0),IF(AND(AC32&lt;&gt;"",WEEKDAY(AB$1,2)&lt;6),1,0),IF(AND(AE32&lt;&gt;"",WEEKDAY(AD$1,2)&lt;6),1,0),IF(AND(AG32&lt;&gt;"",WEEKDAY(AF$1,2)&lt;6),1,0),IF(AND(AI32&lt;&gt;"",WEEKDAY(AH$1,2)&lt;6),1,0),IF(AND(AK32&lt;&gt;"",WEEKDAY(AJ$1,2)&lt;6),1,0),IF(AND(AM32&lt;&gt;"",WEEKDAY(AL$1,2)&lt;6),1,0),IF(AND(AO32&lt;&gt;"",WEEKDAY(AN$1,2)&lt;6),1,0),IF(AND(AQ32&lt;&gt;"",WEEKDAY(AP$1,2)&lt;6),1,0),IF(AND(AS32&lt;&gt;"",WEEKDAY(AR$1,2)&lt;6),1,0),IF(AND(AU32&lt;&gt;"",WEEKDAY(AT$1,2)&lt;6),1,0),IF(AND(AW32&lt;&gt;"",WEEKDAY(AV$1,2)&lt;6),1,0),IF(AND(AY32&lt;&gt;"",WEEKDAY(AX$1,2)&lt;6),1,0),IF(AND(BA32&lt;&gt;"",WEEKDAY(AZ$1,2)&lt;6),1,0),IF(AND(BC32&lt;&gt;"",WEEKDAY(BB$1,2)&lt;6),1,0),IF(AND(BE32&lt;&gt;"",WEEKDAY(BD$1,2)&lt;6),1,0),IF(AND(BG32&lt;&gt;"",WEEKDAY(BF$1,2)&lt;6),1,0),IF(AND(BI32&lt;&gt;"",WEEKDAY(BH$1,2)&lt;6),1,0),IF(AND(BK32&lt;&gt;"",WEEKDAY(BJ$1,2)&lt;6),1,0),IF(AND(BM32&lt;&gt;"",WEEKDAY(BL$1,2)&lt;6),1,0))</f>
        <v>17</v>
      </c>
      <c r="BP32" s="85">
        <f>SUM(IF(AND((D32&lt;&gt;"")+(E32&lt;&gt;""),WEEKDAY(D$1,2)=6),1,0),IF(AND((F32&lt;&gt;"")+(G32&lt;&gt;""),WEEKDAY(F$1,2)=6),1,0),IF(AND((H32&lt;&gt;"")+(I32&lt;&gt;""),WEEKDAY(H$1,2)=6),1,0),IF(AND((J32&lt;&gt;"")+(K32&lt;&gt;""),WEEKDAY(J$1,2)=6),1,0),IF(AND((L32&lt;&gt;"")+(M32&lt;&gt;""),WEEKDAY(L$1,2)=6),1,0),IF(AND((N32&lt;&gt;"")+(O32&lt;&gt;""),WEEKDAY(N$1,2)=6),1,0),IF(AND((P32&lt;&gt;"")+(Q32&lt;&gt;""),WEEKDAY(P$1,2)=6),1,0),IF(AND((R32&lt;&gt;"")+(S32&lt;&gt;""),WEEKDAY(R$1,2)=6),1,0),IF(AND((T32&lt;&gt;"")+(U32&lt;&gt;""),WEEKDAY(T$1,2)=6),1,0),IF(AND((V32&lt;&gt;"")+(W32&lt;&gt;""),WEEKDAY(V$1,2)=6),1,0),IF(AND((X32&lt;&gt;"")+(Y32&lt;&gt;""),WEEKDAY(X$1,2)=6),1,0),IF(AND((Z32&lt;&gt;"")+(AA32&lt;&gt;""),WEEKDAY(Z$1,2)=6),1,0),IF(AND((AB32&lt;&gt;"")+(AC32&lt;&gt;""),WEEKDAY(AB$1,2)=6),1,0),IF(AND((AD32&lt;&gt;"")+(AE32&lt;&gt;""),WEEKDAY(AD$1,2)=6),1,0),IF(AND((AF32&lt;&gt;"")+(AG32&lt;&gt;""),WEEKDAY(AF$1,2)=6),1,0),IF(AND((AH32&lt;&gt;"")+(AI32&lt;&gt;""),WEEKDAY(AH$1,2)=6),1,0),IF(AND((AJ32&lt;&gt;"")+(AK32&lt;&gt;""),WEEKDAY(AJ$1,2)=6),1,0),IF(AND((AL32&lt;&gt;"")+(AM32&lt;&gt;""),WEEKDAY(AL$1,2)=6),1,0),IF(AND((AN32&lt;&gt;"")+(AO32&lt;&gt;""),WEEKDAY(AN$1,2)=6),1,0),IF(AND((AP32&lt;&gt;"")+(AQ32&lt;&gt;""),WEEKDAY(AP$1,2)=6),1,0),IF(AND((AR32&lt;&gt;"")+(AS32&lt;&gt;""),WEEKDAY(AR$1,2)=6),1,0),IF(AND((AT32&lt;&gt;"")+(AU32&lt;&gt;""),WEEKDAY(AT$1,2)=6),1,0),IF(AND((AV32&lt;&gt;"")+(AW32&lt;&gt;""),WEEKDAY(AV$1,2)=6),1,0),IF(AND((AX32&lt;&gt;"")+(AY32&lt;&gt;""),WEEKDAY(AX$1,2)=6),1,0),IF(AND((AZ32&lt;&gt;"")+(BA32&lt;&gt;""),WEEKDAY(AZ$1,2)=6),1,0),IF(AND((BB32&lt;&gt;"")+(BC32&lt;&gt;""),WEEKDAY(BB$1,2)=6),1,0),IF(AND((BD32&lt;&gt;"")+(BE32&lt;&gt;""),WEEKDAY(BD$1,2)=6),1,0),IF(AND((BF32&lt;&gt;"")+(BG32&lt;&gt;""),WEEKDAY(BF$1,2)=6),1,0),IF(AND((BH32&lt;&gt;"")+(BI32&lt;&gt;""),WEEKDAY(BH$1,2)=6),1,0),IF(AND((BJ32&lt;&gt;"")+(BK32&lt;&gt;""),WEEKDAY(BJ$1,2)=6),1,0),IF(AND((BL32&lt;&gt;"")+(BM32&lt;&gt;""),WEEKDAY(BL$1,2)=6),1,0))</f>
        <v>0</v>
      </c>
    </row>
    <row r="33" spans="1:68" ht="16.5">
      <c r="A33" s="86" t="s">
        <v>43</v>
      </c>
      <c r="B33" s="86" t="s">
        <v>48</v>
      </c>
      <c r="C33" s="92" t="s">
        <v>50</v>
      </c>
      <c r="D33" s="91"/>
      <c r="E33" s="91"/>
      <c r="F33" s="85"/>
      <c r="G33" s="85"/>
      <c r="H33" s="85"/>
      <c r="I33" s="85"/>
      <c r="J33" s="98"/>
      <c r="K33" s="98"/>
      <c r="L33" s="98"/>
      <c r="M33" s="98"/>
      <c r="N33" s="85"/>
      <c r="O33" s="85"/>
      <c r="P33" s="95"/>
      <c r="Q33" s="95"/>
      <c r="R33" s="91"/>
      <c r="S33" s="91"/>
      <c r="T33" s="85"/>
      <c r="U33" s="85"/>
      <c r="V33" s="85"/>
      <c r="W33" s="85"/>
      <c r="X33" s="88">
        <v>0.38958333333333334</v>
      </c>
      <c r="Y33" s="85"/>
      <c r="Z33" s="85"/>
      <c r="AA33" s="85"/>
      <c r="AB33" s="85"/>
      <c r="AC33" s="85"/>
      <c r="AD33" s="95"/>
      <c r="AE33" s="95"/>
      <c r="AF33" s="91"/>
      <c r="AG33" s="91"/>
      <c r="AH33" s="96"/>
      <c r="AI33" s="96"/>
      <c r="AJ33" s="85"/>
      <c r="AK33" s="85"/>
      <c r="AL33" s="85"/>
      <c r="AM33" s="85"/>
      <c r="AN33" s="85"/>
      <c r="AO33" s="85"/>
      <c r="AP33" s="85"/>
      <c r="AQ33" s="88">
        <v>0.14583333333333334</v>
      </c>
      <c r="AR33" s="95"/>
      <c r="AS33" s="95"/>
      <c r="AT33" s="91"/>
      <c r="AU33" s="91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95"/>
      <c r="BG33" s="95"/>
      <c r="BH33" s="91"/>
      <c r="BI33" s="91"/>
      <c r="BJ33" s="85"/>
      <c r="BK33" s="85"/>
      <c r="BL33" s="98"/>
      <c r="BM33" s="98"/>
      <c r="BN33" s="85">
        <f>SUM(IF(AND(D33&lt;&gt;"",WEEKDAY(D$1,2)&lt;6),1,0),IF(AND(F33&lt;&gt;"",WEEKDAY(F$1,2)&lt;6),1,0),IF(AND(H33&lt;&gt;"",WEEKDAY(H$1,2)&lt;6),1,0),IF(AND(J33&lt;&gt;"",WEEKDAY(J$1,2)&lt;6),1,0),IF(AND(L33&lt;&gt;"",WEEKDAY(L$1,2)&lt;6),1,0),IF(AND(N33&lt;&gt;"",WEEKDAY(N$1,2)&lt;6),1,0),IF(AND(P33&lt;&gt;"",WEEKDAY(P$1,2)&lt;6),1,0),IF(AND(R33&lt;&gt;"",WEEKDAY(R$1,2)&lt;6),1,0),IF(AND(T33&lt;&gt;"",WEEKDAY(T$1,2)&lt;6),1,0),IF(AND(V33&lt;&gt;"",WEEKDAY(V$1,2)&lt;6),1,0),IF(AND(X33&lt;&gt;"",WEEKDAY(X$1,2)&lt;6),1,0),IF(AND(Z33&lt;&gt;"",WEEKDAY(Z$1,2)&lt;6),1,0),IF(AND(AB33&lt;&gt;"",WEEKDAY(AB$1,2)&lt;6),1,0),IF(AND(AD33&lt;&gt;"",WEEKDAY(AD$1,2)&lt;6),1,0),IF(AND(AF33&lt;&gt;"",WEEKDAY(AF$1,2)&lt;6),1,0),IF(AND(AH33&lt;&gt;"",WEEKDAY(AH$1,2)&lt;6),1,0),IF(AND(AJ33&lt;&gt;"",WEEKDAY(AJ$1,2)&lt;6),1,0),IF(AND(AL33&lt;&gt;"",WEEKDAY(AL$1,2)&lt;6),1,0),IF(AND(AN33&lt;&gt;"",WEEKDAY(AN$1,2)&lt;6),1,0),IF(AND(AP33&lt;&gt;"",WEEKDAY(AP$1,2)&lt;6),1,0),IF(AND(AR33&lt;&gt;"",WEEKDAY(AR$1,2)&lt;6),1,0),IF(AND(AT33&lt;&gt;"",WEEKDAY(AT$1,2)&lt;6),1,0),IF(AND(AV33&lt;&gt;"",WEEKDAY(AV$1,2)&lt;6),1,0),IF(AND(AX33&lt;&gt;"",WEEKDAY(AX$1,2)&lt;6),1,0),IF(AND(AZ33&lt;&gt;"",WEEKDAY(AZ$1,2)&lt;6),1,0),IF(AND(BB33&lt;&gt;"",WEEKDAY(BB$1,2)&lt;6),1,0),IF(AND(BD33&lt;&gt;"",WEEKDAY(BD$1,2)&lt;6),1,0),IF(AND(BF33&lt;&gt;"",WEEKDAY(BF$1,2)&lt;6),1,0),IF(AND(BH33&lt;&gt;"",WEEKDAY(BH$1,2)&lt;6),1,0),IF(AND(BJ33&lt;&gt;"",WEEKDAY(BJ$1,2)&lt;6),1,0),IF(AND(BL33&lt;&gt;"",WEEKDAY(BL$1,2)&lt;6),1,0))</f>
        <v>1</v>
      </c>
      <c r="BO33" s="85">
        <f>SUM(IF(AND(E33&lt;&gt;"",WEEKDAY(D$1,2)&lt;6),1,0),IF(AND(G33&lt;&gt;"",WEEKDAY(F$1,2)&lt;6),1,0),IF(AND(I33&lt;&gt;"",WEEKDAY(H$1,2)&lt;6),1,0),IF(AND(K33&lt;&gt;"",WEEKDAY(J$1,2)&lt;6),1,0),IF(AND(M33&lt;&gt;"",WEEKDAY(L$1,2)&lt;6),1,0),IF(AND(O33&lt;&gt;"",WEEKDAY(N$1,2)&lt;6),1,0),IF(AND(Q33&lt;&gt;"",WEEKDAY(P$1,2)&lt;6),1,0),IF(AND(S33&lt;&gt;"",WEEKDAY(R$1,2)&lt;6),1,0),IF(AND(U33&lt;&gt;"",WEEKDAY(T$1,2)&lt;6),1,0),IF(AND(W33&lt;&gt;"",WEEKDAY(V$1,2)&lt;6),1,0),IF(AND(Y33&lt;&gt;"",WEEKDAY(X$1,2)&lt;6),1,0),IF(AND(AA33&lt;&gt;"",WEEKDAY(Z$1,2)&lt;6),1,0),IF(AND(AC33&lt;&gt;"",WEEKDAY(AB$1,2)&lt;6),1,0),IF(AND(AE33&lt;&gt;"",WEEKDAY(AD$1,2)&lt;6),1,0),IF(AND(AG33&lt;&gt;"",WEEKDAY(AF$1,2)&lt;6),1,0),IF(AND(AI33&lt;&gt;"",WEEKDAY(AH$1,2)&lt;6),1,0),IF(AND(AK33&lt;&gt;"",WEEKDAY(AJ$1,2)&lt;6),1,0),IF(AND(AM33&lt;&gt;"",WEEKDAY(AL$1,2)&lt;6),1,0),IF(AND(AO33&lt;&gt;"",WEEKDAY(AN$1,2)&lt;6),1,0),IF(AND(AQ33&lt;&gt;"",WEEKDAY(AP$1,2)&lt;6),1,0),IF(AND(AS33&lt;&gt;"",WEEKDAY(AR$1,2)&lt;6),1,0),IF(AND(AU33&lt;&gt;"",WEEKDAY(AT$1,2)&lt;6),1,0),IF(AND(AW33&lt;&gt;"",WEEKDAY(AV$1,2)&lt;6),1,0),IF(AND(AY33&lt;&gt;"",WEEKDAY(AX$1,2)&lt;6),1,0),IF(AND(BA33&lt;&gt;"",WEEKDAY(AZ$1,2)&lt;6),1,0),IF(AND(BC33&lt;&gt;"",WEEKDAY(BB$1,2)&lt;6),1,0),IF(AND(BE33&lt;&gt;"",WEEKDAY(BD$1,2)&lt;6),1,0),IF(AND(BG33&lt;&gt;"",WEEKDAY(BF$1,2)&lt;6),1,0),IF(AND(BI33&lt;&gt;"",WEEKDAY(BH$1,2)&lt;6),1,0),IF(AND(BK33&lt;&gt;"",WEEKDAY(BJ$1,2)&lt;6),1,0),IF(AND(BM33&lt;&gt;"",WEEKDAY(BL$1,2)&lt;6),1,0))</f>
        <v>1</v>
      </c>
      <c r="BP33" s="85">
        <f>SUM(IF(AND((D33&lt;&gt;"")+(E33&lt;&gt;""),WEEKDAY(D$1,2)=6),1,0),IF(AND((F33&lt;&gt;"")+(G33&lt;&gt;""),WEEKDAY(F$1,2)=6),1,0),IF(AND((H33&lt;&gt;"")+(I33&lt;&gt;""),WEEKDAY(H$1,2)=6),1,0),IF(AND((J33&lt;&gt;"")+(K33&lt;&gt;""),WEEKDAY(J$1,2)=6),1,0),IF(AND((L33&lt;&gt;"")+(M33&lt;&gt;""),WEEKDAY(L$1,2)=6),1,0),IF(AND((N33&lt;&gt;"")+(O33&lt;&gt;""),WEEKDAY(N$1,2)=6),1,0),IF(AND((P33&lt;&gt;"")+(Q33&lt;&gt;""),WEEKDAY(P$1,2)=6),1,0),IF(AND((R33&lt;&gt;"")+(S33&lt;&gt;""),WEEKDAY(R$1,2)=6),1,0),IF(AND((T33&lt;&gt;"")+(U33&lt;&gt;""),WEEKDAY(T$1,2)=6),1,0),IF(AND((V33&lt;&gt;"")+(W33&lt;&gt;""),WEEKDAY(V$1,2)=6),1,0),IF(AND((X33&lt;&gt;"")+(Y33&lt;&gt;""),WEEKDAY(X$1,2)=6),1,0),IF(AND((Z33&lt;&gt;"")+(AA33&lt;&gt;""),WEEKDAY(Z$1,2)=6),1,0),IF(AND((AB33&lt;&gt;"")+(AC33&lt;&gt;""),WEEKDAY(AB$1,2)=6),1,0),IF(AND((AD33&lt;&gt;"")+(AE33&lt;&gt;""),WEEKDAY(AD$1,2)=6),1,0),IF(AND((AF33&lt;&gt;"")+(AG33&lt;&gt;""),WEEKDAY(AF$1,2)=6),1,0),IF(AND((AH33&lt;&gt;"")+(AI33&lt;&gt;""),WEEKDAY(AH$1,2)=6),1,0),IF(AND((AJ33&lt;&gt;"")+(AK33&lt;&gt;""),WEEKDAY(AJ$1,2)=6),1,0),IF(AND((AL33&lt;&gt;"")+(AM33&lt;&gt;""),WEEKDAY(AL$1,2)=6),1,0),IF(AND((AN33&lt;&gt;"")+(AO33&lt;&gt;""),WEEKDAY(AN$1,2)=6),1,0),IF(AND((AP33&lt;&gt;"")+(AQ33&lt;&gt;""),WEEKDAY(AP$1,2)=6),1,0),IF(AND((AR33&lt;&gt;"")+(AS33&lt;&gt;""),WEEKDAY(AR$1,2)=6),1,0),IF(AND((AT33&lt;&gt;"")+(AU33&lt;&gt;""),WEEKDAY(AT$1,2)=6),1,0),IF(AND((AV33&lt;&gt;"")+(AW33&lt;&gt;""),WEEKDAY(AV$1,2)=6),1,0),IF(AND((AX33&lt;&gt;"")+(AY33&lt;&gt;""),WEEKDAY(AX$1,2)=6),1,0),IF(AND((AZ33&lt;&gt;"")+(BA33&lt;&gt;""),WEEKDAY(AZ$1,2)=6),1,0),IF(AND((BB33&lt;&gt;"")+(BC33&lt;&gt;""),WEEKDAY(BB$1,2)=6),1,0),IF(AND((BD33&lt;&gt;"")+(BE33&lt;&gt;""),WEEKDAY(BD$1,2)=6),1,0),IF(AND((BF33&lt;&gt;"")+(BG33&lt;&gt;""),WEEKDAY(BF$1,2)=6),1,0),IF(AND((BH33&lt;&gt;"")+(BI33&lt;&gt;""),WEEKDAY(BH$1,2)=6),1,0),IF(AND((BJ33&lt;&gt;"")+(BK33&lt;&gt;""),WEEKDAY(BJ$1,2)=6),1,0),IF(AND((BL33&lt;&gt;"")+(BM33&lt;&gt;""),WEEKDAY(BL$1,2)=6),1,0))</f>
        <v>0</v>
      </c>
    </row>
    <row r="34" spans="1:68" ht="16.5">
      <c r="A34" s="86" t="s">
        <v>43</v>
      </c>
      <c r="B34" s="86" t="s">
        <v>51</v>
      </c>
      <c r="C34" s="92" t="s">
        <v>52</v>
      </c>
      <c r="D34" s="91"/>
      <c r="E34" s="91"/>
      <c r="F34" s="88">
        <v>0.35208333333333336</v>
      </c>
      <c r="G34" s="88">
        <v>0.13263888888888889</v>
      </c>
      <c r="H34" s="88">
        <v>0.35069444444444442</v>
      </c>
      <c r="I34" s="88">
        <v>0.14166666666666666</v>
      </c>
      <c r="J34" s="99">
        <v>0.39305555555555555</v>
      </c>
      <c r="K34" s="98"/>
      <c r="L34" s="99">
        <v>0.34861111111111109</v>
      </c>
      <c r="M34" s="98"/>
      <c r="N34" s="85"/>
      <c r="O34" s="88">
        <v>0.12986111111111112</v>
      </c>
      <c r="P34" s="95"/>
      <c r="Q34" s="95"/>
      <c r="R34" s="91"/>
      <c r="S34" s="91"/>
      <c r="T34" s="88">
        <v>0.36041666666666666</v>
      </c>
      <c r="U34" s="85"/>
      <c r="V34" s="88">
        <v>0.36388888888888887</v>
      </c>
      <c r="W34" s="88">
        <v>0.14930555555555555</v>
      </c>
      <c r="X34" s="85"/>
      <c r="Y34" s="88">
        <v>0.11597222222222223</v>
      </c>
      <c r="Z34" s="88">
        <v>0.36666666666666664</v>
      </c>
      <c r="AA34" s="85"/>
      <c r="AB34" s="88">
        <v>0.34930555555555554</v>
      </c>
      <c r="AC34" s="85"/>
      <c r="AD34" s="102">
        <v>0.3840277777777778</v>
      </c>
      <c r="AE34" s="95"/>
      <c r="AF34" s="91"/>
      <c r="AG34" s="91"/>
      <c r="AH34" s="96"/>
      <c r="AI34" s="96"/>
      <c r="AJ34" s="88">
        <v>0.34722222222222221</v>
      </c>
      <c r="AK34" s="88">
        <v>0.18333333333333332</v>
      </c>
      <c r="AL34" s="88">
        <v>0.3611111111111111</v>
      </c>
      <c r="AM34" s="85"/>
      <c r="AN34" s="88">
        <v>0.35833333333333334</v>
      </c>
      <c r="AO34" s="88">
        <v>0.19652777777777777</v>
      </c>
      <c r="AP34" s="88">
        <v>0.34513888888888888</v>
      </c>
      <c r="AQ34" s="85"/>
      <c r="AR34" s="95"/>
      <c r="AS34" s="95"/>
      <c r="AT34" s="91"/>
      <c r="AU34" s="91"/>
      <c r="AV34" s="88">
        <v>0.37152777777777779</v>
      </c>
      <c r="AW34" s="88">
        <v>0.14722222222222223</v>
      </c>
      <c r="AX34" s="88">
        <v>0.3611111111111111</v>
      </c>
      <c r="AY34" s="88">
        <v>0.12777777777777777</v>
      </c>
      <c r="AZ34" s="85"/>
      <c r="BA34" s="88">
        <v>0.18263888888888888</v>
      </c>
      <c r="BB34" s="85"/>
      <c r="BC34" s="88">
        <v>0.16250000000000001</v>
      </c>
      <c r="BD34" s="85"/>
      <c r="BE34" s="85"/>
      <c r="BF34" s="95"/>
      <c r="BG34" s="95"/>
      <c r="BH34" s="91"/>
      <c r="BI34" s="91"/>
      <c r="BJ34" s="88">
        <v>0.3527777777777778</v>
      </c>
      <c r="BK34" s="88">
        <v>0.16111111111111112</v>
      </c>
      <c r="BL34" s="99">
        <v>0.34652777777777777</v>
      </c>
      <c r="BM34" s="99">
        <v>0.20902777777777778</v>
      </c>
      <c r="BN34" s="85">
        <f>SUM(IF(AND(D34&lt;&gt;"",WEEKDAY(D$1,2)&lt;6),1,0),IF(AND(F34&lt;&gt;"",WEEKDAY(F$1,2)&lt;6),1,0),IF(AND(H34&lt;&gt;"",WEEKDAY(H$1,2)&lt;6),1,0),IF(AND(J34&lt;&gt;"",WEEKDAY(J$1,2)&lt;6),1,0),IF(AND(L34&lt;&gt;"",WEEKDAY(L$1,2)&lt;6),1,0),IF(AND(N34&lt;&gt;"",WEEKDAY(N$1,2)&lt;6),1,0),IF(AND(P34&lt;&gt;"",WEEKDAY(P$1,2)&lt;6),1,0),IF(AND(R34&lt;&gt;"",WEEKDAY(R$1,2)&lt;6),1,0),IF(AND(T34&lt;&gt;"",WEEKDAY(T$1,2)&lt;6),1,0),IF(AND(V34&lt;&gt;"",WEEKDAY(V$1,2)&lt;6),1,0),IF(AND(X34&lt;&gt;"",WEEKDAY(X$1,2)&lt;6),1,0),IF(AND(Z34&lt;&gt;"",WEEKDAY(Z$1,2)&lt;6),1,0),IF(AND(AB34&lt;&gt;"",WEEKDAY(AB$1,2)&lt;6),1,0),IF(AND(AD34&lt;&gt;"",WEEKDAY(AD$1,2)&lt;6),1,0),IF(AND(AF34&lt;&gt;"",WEEKDAY(AF$1,2)&lt;6),1,0),IF(AND(AH34&lt;&gt;"",WEEKDAY(AH$1,2)&lt;6),1,0),IF(AND(AJ34&lt;&gt;"",WEEKDAY(AJ$1,2)&lt;6),1,0),IF(AND(AL34&lt;&gt;"",WEEKDAY(AL$1,2)&lt;6),1,0),IF(AND(AN34&lt;&gt;"",WEEKDAY(AN$1,2)&lt;6),1,0),IF(AND(AP34&lt;&gt;"",WEEKDAY(AP$1,2)&lt;6),1,0),IF(AND(AR34&lt;&gt;"",WEEKDAY(AR$1,2)&lt;6),1,0),IF(AND(AT34&lt;&gt;"",WEEKDAY(AT$1,2)&lt;6),1,0),IF(AND(AV34&lt;&gt;"",WEEKDAY(AV$1,2)&lt;6),1,0),IF(AND(AX34&lt;&gt;"",WEEKDAY(AX$1,2)&lt;6),1,0),IF(AND(AZ34&lt;&gt;"",WEEKDAY(AZ$1,2)&lt;6),1,0),IF(AND(BB34&lt;&gt;"",WEEKDAY(BB$1,2)&lt;6),1,0),IF(AND(BD34&lt;&gt;"",WEEKDAY(BD$1,2)&lt;6),1,0),IF(AND(BF34&lt;&gt;"",WEEKDAY(BF$1,2)&lt;6),1,0),IF(AND(BH34&lt;&gt;"",WEEKDAY(BH$1,2)&lt;6),1,0),IF(AND(BJ34&lt;&gt;"",WEEKDAY(BJ$1,2)&lt;6),1,0),IF(AND(BL34&lt;&gt;"",WEEKDAY(BL$1,2)&lt;6),1,0))</f>
        <v>16</v>
      </c>
      <c r="BO34" s="85">
        <f>SUM(IF(AND(E34&lt;&gt;"",WEEKDAY(D$1,2)&lt;6),1,0),IF(AND(G34&lt;&gt;"",WEEKDAY(F$1,2)&lt;6),1,0),IF(AND(I34&lt;&gt;"",WEEKDAY(H$1,2)&lt;6),1,0),IF(AND(K34&lt;&gt;"",WEEKDAY(J$1,2)&lt;6),1,0),IF(AND(M34&lt;&gt;"",WEEKDAY(L$1,2)&lt;6),1,0),IF(AND(O34&lt;&gt;"",WEEKDAY(N$1,2)&lt;6),1,0),IF(AND(Q34&lt;&gt;"",WEEKDAY(P$1,2)&lt;6),1,0),IF(AND(S34&lt;&gt;"",WEEKDAY(R$1,2)&lt;6),1,0),IF(AND(U34&lt;&gt;"",WEEKDAY(T$1,2)&lt;6),1,0),IF(AND(W34&lt;&gt;"",WEEKDAY(V$1,2)&lt;6),1,0),IF(AND(Y34&lt;&gt;"",WEEKDAY(X$1,2)&lt;6),1,0),IF(AND(AA34&lt;&gt;"",WEEKDAY(Z$1,2)&lt;6),1,0),IF(AND(AC34&lt;&gt;"",WEEKDAY(AB$1,2)&lt;6),1,0),IF(AND(AE34&lt;&gt;"",WEEKDAY(AD$1,2)&lt;6),1,0),IF(AND(AG34&lt;&gt;"",WEEKDAY(AF$1,2)&lt;6),1,0),IF(AND(AI34&lt;&gt;"",WEEKDAY(AH$1,2)&lt;6),1,0),IF(AND(AK34&lt;&gt;"",WEEKDAY(AJ$1,2)&lt;6),1,0),IF(AND(AM34&lt;&gt;"",WEEKDAY(AL$1,2)&lt;6),1,0),IF(AND(AO34&lt;&gt;"",WEEKDAY(AN$1,2)&lt;6),1,0),IF(AND(AQ34&lt;&gt;"",WEEKDAY(AP$1,2)&lt;6),1,0),IF(AND(AS34&lt;&gt;"",WEEKDAY(AR$1,2)&lt;6),1,0),IF(AND(AU34&lt;&gt;"",WEEKDAY(AT$1,2)&lt;6),1,0),IF(AND(AW34&lt;&gt;"",WEEKDAY(AV$1,2)&lt;6),1,0),IF(AND(AY34&lt;&gt;"",WEEKDAY(AX$1,2)&lt;6),1,0),IF(AND(BA34&lt;&gt;"",WEEKDAY(AZ$1,2)&lt;6),1,0),IF(AND(BC34&lt;&gt;"",WEEKDAY(BB$1,2)&lt;6),1,0),IF(AND(BE34&lt;&gt;"",WEEKDAY(BD$1,2)&lt;6),1,0),IF(AND(BG34&lt;&gt;"",WEEKDAY(BF$1,2)&lt;6),1,0),IF(AND(BI34&lt;&gt;"",WEEKDAY(BH$1,2)&lt;6),1,0),IF(AND(BK34&lt;&gt;"",WEEKDAY(BJ$1,2)&lt;6),1,0),IF(AND(BM34&lt;&gt;"",WEEKDAY(BL$1,2)&lt;6),1,0))</f>
        <v>13</v>
      </c>
      <c r="BP34" s="85">
        <f>SUM(IF(AND((D34&lt;&gt;"")+(E34&lt;&gt;""),WEEKDAY(D$1,2)=6),1,0),IF(AND((F34&lt;&gt;"")+(G34&lt;&gt;""),WEEKDAY(F$1,2)=6),1,0),IF(AND((H34&lt;&gt;"")+(I34&lt;&gt;""),WEEKDAY(H$1,2)=6),1,0),IF(AND((J34&lt;&gt;"")+(K34&lt;&gt;""),WEEKDAY(J$1,2)=6),1,0),IF(AND((L34&lt;&gt;"")+(M34&lt;&gt;""),WEEKDAY(L$1,2)=6),1,0),IF(AND((N34&lt;&gt;"")+(O34&lt;&gt;""),WEEKDAY(N$1,2)=6),1,0),IF(AND((P34&lt;&gt;"")+(Q34&lt;&gt;""),WEEKDAY(P$1,2)=6),1,0),IF(AND((R34&lt;&gt;"")+(S34&lt;&gt;""),WEEKDAY(R$1,2)=6),1,0),IF(AND((T34&lt;&gt;"")+(U34&lt;&gt;""),WEEKDAY(T$1,2)=6),1,0),IF(AND((V34&lt;&gt;"")+(W34&lt;&gt;""),WEEKDAY(V$1,2)=6),1,0),IF(AND((X34&lt;&gt;"")+(Y34&lt;&gt;""),WEEKDAY(X$1,2)=6),1,0),IF(AND((Z34&lt;&gt;"")+(AA34&lt;&gt;""),WEEKDAY(Z$1,2)=6),1,0),IF(AND((AB34&lt;&gt;"")+(AC34&lt;&gt;""),WEEKDAY(AB$1,2)=6),1,0),IF(AND((AD34&lt;&gt;"")+(AE34&lt;&gt;""),WEEKDAY(AD$1,2)=6),1,0),IF(AND((AF34&lt;&gt;"")+(AG34&lt;&gt;""),WEEKDAY(AF$1,2)=6),1,0),IF(AND((AH34&lt;&gt;"")+(AI34&lt;&gt;""),WEEKDAY(AH$1,2)=6),1,0),IF(AND((AJ34&lt;&gt;"")+(AK34&lt;&gt;""),WEEKDAY(AJ$1,2)=6),1,0),IF(AND((AL34&lt;&gt;"")+(AM34&lt;&gt;""),WEEKDAY(AL$1,2)=6),1,0),IF(AND((AN34&lt;&gt;"")+(AO34&lt;&gt;""),WEEKDAY(AN$1,2)=6),1,0),IF(AND((AP34&lt;&gt;"")+(AQ34&lt;&gt;""),WEEKDAY(AP$1,2)=6),1,0),IF(AND((AR34&lt;&gt;"")+(AS34&lt;&gt;""),WEEKDAY(AR$1,2)=6),1,0),IF(AND((AT34&lt;&gt;"")+(AU34&lt;&gt;""),WEEKDAY(AT$1,2)=6),1,0),IF(AND((AV34&lt;&gt;"")+(AW34&lt;&gt;""),WEEKDAY(AV$1,2)=6),1,0),IF(AND((AX34&lt;&gt;"")+(AY34&lt;&gt;""),WEEKDAY(AX$1,2)=6),1,0),IF(AND((AZ34&lt;&gt;"")+(BA34&lt;&gt;""),WEEKDAY(AZ$1,2)=6),1,0),IF(AND((BB34&lt;&gt;"")+(BC34&lt;&gt;""),WEEKDAY(BB$1,2)=6),1,0),IF(AND((BD34&lt;&gt;"")+(BE34&lt;&gt;""),WEEKDAY(BD$1,2)=6),1,0),IF(AND((BF34&lt;&gt;"")+(BG34&lt;&gt;""),WEEKDAY(BF$1,2)=6),1,0),IF(AND((BH34&lt;&gt;"")+(BI34&lt;&gt;""),WEEKDAY(BH$1,2)=6),1,0),IF(AND((BJ34&lt;&gt;"")+(BK34&lt;&gt;""),WEEKDAY(BJ$1,2)=6),1,0),IF(AND((BL34&lt;&gt;"")+(BM34&lt;&gt;""),WEEKDAY(BL$1,2)=6),1,0))</f>
        <v>1</v>
      </c>
    </row>
    <row r="35" spans="1:68" ht="16.5">
      <c r="A35" s="86" t="s">
        <v>43</v>
      </c>
      <c r="B35" s="86" t="s">
        <v>51</v>
      </c>
      <c r="C35" s="92" t="s">
        <v>53</v>
      </c>
      <c r="D35" s="91"/>
      <c r="E35" s="91"/>
      <c r="F35" s="85"/>
      <c r="G35" s="85"/>
      <c r="H35" s="85"/>
      <c r="I35" s="85"/>
      <c r="J35" s="98"/>
      <c r="K35" s="98"/>
      <c r="L35" s="98"/>
      <c r="M35" s="98"/>
      <c r="N35" s="88">
        <v>0.35486111111111113</v>
      </c>
      <c r="O35" s="85"/>
      <c r="P35" s="95"/>
      <c r="Q35" s="95"/>
      <c r="R35" s="91"/>
      <c r="S35" s="91"/>
      <c r="T35" s="85"/>
      <c r="U35" s="88">
        <v>0.13958333333333334</v>
      </c>
      <c r="V35" s="85"/>
      <c r="W35" s="85"/>
      <c r="X35" s="88">
        <v>0.36875000000000002</v>
      </c>
      <c r="Y35" s="85"/>
      <c r="Z35" s="85"/>
      <c r="AA35" s="85"/>
      <c r="AB35" s="85"/>
      <c r="AC35" s="85"/>
      <c r="AD35" s="95"/>
      <c r="AE35" s="95"/>
      <c r="AF35" s="91"/>
      <c r="AG35" s="91"/>
      <c r="AH35" s="96"/>
      <c r="AI35" s="96"/>
      <c r="AJ35" s="85"/>
      <c r="AK35" s="85"/>
      <c r="AL35" s="85"/>
      <c r="AM35" s="85"/>
      <c r="AN35" s="85"/>
      <c r="AO35" s="85"/>
      <c r="AP35" s="85"/>
      <c r="AQ35" s="85"/>
      <c r="AR35" s="95"/>
      <c r="AS35" s="95"/>
      <c r="AT35" s="91"/>
      <c r="AU35" s="91"/>
      <c r="AV35" s="85"/>
      <c r="AW35" s="85"/>
      <c r="AX35" s="85"/>
      <c r="AY35" s="85"/>
      <c r="AZ35" s="88">
        <v>0.37847222222222221</v>
      </c>
      <c r="BA35" s="85"/>
      <c r="BB35" s="88">
        <v>0.35555555555555557</v>
      </c>
      <c r="BC35" s="85"/>
      <c r="BD35" s="88">
        <v>0.34444444444444444</v>
      </c>
      <c r="BE35" s="85"/>
      <c r="BF35" s="95"/>
      <c r="BG35" s="95"/>
      <c r="BH35" s="91"/>
      <c r="BI35" s="91"/>
      <c r="BJ35" s="85"/>
      <c r="BK35" s="85"/>
      <c r="BL35" s="98"/>
      <c r="BM35" s="98"/>
      <c r="BN35" s="85">
        <f>SUM(IF(AND(D35&lt;&gt;"",WEEKDAY(D$1,2)&lt;6),1,0),IF(AND(F35&lt;&gt;"",WEEKDAY(F$1,2)&lt;6),1,0),IF(AND(H35&lt;&gt;"",WEEKDAY(H$1,2)&lt;6),1,0),IF(AND(J35&lt;&gt;"",WEEKDAY(J$1,2)&lt;6),1,0),IF(AND(L35&lt;&gt;"",WEEKDAY(L$1,2)&lt;6),1,0),IF(AND(N35&lt;&gt;"",WEEKDAY(N$1,2)&lt;6),1,0),IF(AND(P35&lt;&gt;"",WEEKDAY(P$1,2)&lt;6),1,0),IF(AND(R35&lt;&gt;"",WEEKDAY(R$1,2)&lt;6),1,0),IF(AND(T35&lt;&gt;"",WEEKDAY(T$1,2)&lt;6),1,0),IF(AND(V35&lt;&gt;"",WEEKDAY(V$1,2)&lt;6),1,0),IF(AND(X35&lt;&gt;"",WEEKDAY(X$1,2)&lt;6),1,0),IF(AND(Z35&lt;&gt;"",WEEKDAY(Z$1,2)&lt;6),1,0),IF(AND(AB35&lt;&gt;"",WEEKDAY(AB$1,2)&lt;6),1,0),IF(AND(AD35&lt;&gt;"",WEEKDAY(AD$1,2)&lt;6),1,0),IF(AND(AF35&lt;&gt;"",WEEKDAY(AF$1,2)&lt;6),1,0),IF(AND(AH35&lt;&gt;"",WEEKDAY(AH$1,2)&lt;6),1,0),IF(AND(AJ35&lt;&gt;"",WEEKDAY(AJ$1,2)&lt;6),1,0),IF(AND(AL35&lt;&gt;"",WEEKDAY(AL$1,2)&lt;6),1,0),IF(AND(AN35&lt;&gt;"",WEEKDAY(AN$1,2)&lt;6),1,0),IF(AND(AP35&lt;&gt;"",WEEKDAY(AP$1,2)&lt;6),1,0),IF(AND(AR35&lt;&gt;"",WEEKDAY(AR$1,2)&lt;6),1,0),IF(AND(AT35&lt;&gt;"",WEEKDAY(AT$1,2)&lt;6),1,0),IF(AND(AV35&lt;&gt;"",WEEKDAY(AV$1,2)&lt;6),1,0),IF(AND(AX35&lt;&gt;"",WEEKDAY(AX$1,2)&lt;6),1,0),IF(AND(AZ35&lt;&gt;"",WEEKDAY(AZ$1,2)&lt;6),1,0),IF(AND(BB35&lt;&gt;"",WEEKDAY(BB$1,2)&lt;6),1,0),IF(AND(BD35&lt;&gt;"",WEEKDAY(BD$1,2)&lt;6),1,0),IF(AND(BF35&lt;&gt;"",WEEKDAY(BF$1,2)&lt;6),1,0),IF(AND(BH35&lt;&gt;"",WEEKDAY(BH$1,2)&lt;6),1,0),IF(AND(BJ35&lt;&gt;"",WEEKDAY(BJ$1,2)&lt;6),1,0),IF(AND(BL35&lt;&gt;"",WEEKDAY(BL$1,2)&lt;6),1,0))</f>
        <v>5</v>
      </c>
      <c r="BO35" s="85">
        <f>SUM(IF(AND(E35&lt;&gt;"",WEEKDAY(D$1,2)&lt;6),1,0),IF(AND(G35&lt;&gt;"",WEEKDAY(F$1,2)&lt;6),1,0),IF(AND(I35&lt;&gt;"",WEEKDAY(H$1,2)&lt;6),1,0),IF(AND(K35&lt;&gt;"",WEEKDAY(J$1,2)&lt;6),1,0),IF(AND(M35&lt;&gt;"",WEEKDAY(L$1,2)&lt;6),1,0),IF(AND(O35&lt;&gt;"",WEEKDAY(N$1,2)&lt;6),1,0),IF(AND(Q35&lt;&gt;"",WEEKDAY(P$1,2)&lt;6),1,0),IF(AND(S35&lt;&gt;"",WEEKDAY(R$1,2)&lt;6),1,0),IF(AND(U35&lt;&gt;"",WEEKDAY(T$1,2)&lt;6),1,0),IF(AND(W35&lt;&gt;"",WEEKDAY(V$1,2)&lt;6),1,0),IF(AND(Y35&lt;&gt;"",WEEKDAY(X$1,2)&lt;6),1,0),IF(AND(AA35&lt;&gt;"",WEEKDAY(Z$1,2)&lt;6),1,0),IF(AND(AC35&lt;&gt;"",WEEKDAY(AB$1,2)&lt;6),1,0),IF(AND(AE35&lt;&gt;"",WEEKDAY(AD$1,2)&lt;6),1,0),IF(AND(AG35&lt;&gt;"",WEEKDAY(AF$1,2)&lt;6),1,0),IF(AND(AI35&lt;&gt;"",WEEKDAY(AH$1,2)&lt;6),1,0),IF(AND(AK35&lt;&gt;"",WEEKDAY(AJ$1,2)&lt;6),1,0),IF(AND(AM35&lt;&gt;"",WEEKDAY(AL$1,2)&lt;6),1,0),IF(AND(AO35&lt;&gt;"",WEEKDAY(AN$1,2)&lt;6),1,0),IF(AND(AQ35&lt;&gt;"",WEEKDAY(AP$1,2)&lt;6),1,0),IF(AND(AS35&lt;&gt;"",WEEKDAY(AR$1,2)&lt;6),1,0),IF(AND(AU35&lt;&gt;"",WEEKDAY(AT$1,2)&lt;6),1,0),IF(AND(AW35&lt;&gt;"",WEEKDAY(AV$1,2)&lt;6),1,0),IF(AND(AY35&lt;&gt;"",WEEKDAY(AX$1,2)&lt;6),1,0),IF(AND(BA35&lt;&gt;"",WEEKDAY(AZ$1,2)&lt;6),1,0),IF(AND(BC35&lt;&gt;"",WEEKDAY(BB$1,2)&lt;6),1,0),IF(AND(BE35&lt;&gt;"",WEEKDAY(BD$1,2)&lt;6),1,0),IF(AND(BG35&lt;&gt;"",WEEKDAY(BF$1,2)&lt;6),1,0),IF(AND(BI35&lt;&gt;"",WEEKDAY(BH$1,2)&lt;6),1,0),IF(AND(BK35&lt;&gt;"",WEEKDAY(BJ$1,2)&lt;6),1,0),IF(AND(BM35&lt;&gt;"",WEEKDAY(BL$1,2)&lt;6),1,0))</f>
        <v>1</v>
      </c>
      <c r="BP35" s="85">
        <f>SUM(IF(AND((D35&lt;&gt;"")+(E35&lt;&gt;""),WEEKDAY(D$1,2)=6),1,0),IF(AND((F35&lt;&gt;"")+(G35&lt;&gt;""),WEEKDAY(F$1,2)=6),1,0),IF(AND((H35&lt;&gt;"")+(I35&lt;&gt;""),WEEKDAY(H$1,2)=6),1,0),IF(AND((J35&lt;&gt;"")+(K35&lt;&gt;""),WEEKDAY(J$1,2)=6),1,0),IF(AND((L35&lt;&gt;"")+(M35&lt;&gt;""),WEEKDAY(L$1,2)=6),1,0),IF(AND((N35&lt;&gt;"")+(O35&lt;&gt;""),WEEKDAY(N$1,2)=6),1,0),IF(AND((P35&lt;&gt;"")+(Q35&lt;&gt;""),WEEKDAY(P$1,2)=6),1,0),IF(AND((R35&lt;&gt;"")+(S35&lt;&gt;""),WEEKDAY(R$1,2)=6),1,0),IF(AND((T35&lt;&gt;"")+(U35&lt;&gt;""),WEEKDAY(T$1,2)=6),1,0),IF(AND((V35&lt;&gt;"")+(W35&lt;&gt;""),WEEKDAY(V$1,2)=6),1,0),IF(AND((X35&lt;&gt;"")+(Y35&lt;&gt;""),WEEKDAY(X$1,2)=6),1,0),IF(AND((Z35&lt;&gt;"")+(AA35&lt;&gt;""),WEEKDAY(Z$1,2)=6),1,0),IF(AND((AB35&lt;&gt;"")+(AC35&lt;&gt;""),WEEKDAY(AB$1,2)=6),1,0),IF(AND((AD35&lt;&gt;"")+(AE35&lt;&gt;""),WEEKDAY(AD$1,2)=6),1,0),IF(AND((AF35&lt;&gt;"")+(AG35&lt;&gt;""),WEEKDAY(AF$1,2)=6),1,0),IF(AND((AH35&lt;&gt;"")+(AI35&lt;&gt;""),WEEKDAY(AH$1,2)=6),1,0),IF(AND((AJ35&lt;&gt;"")+(AK35&lt;&gt;""),WEEKDAY(AJ$1,2)=6),1,0),IF(AND((AL35&lt;&gt;"")+(AM35&lt;&gt;""),WEEKDAY(AL$1,2)=6),1,0),IF(AND((AN35&lt;&gt;"")+(AO35&lt;&gt;""),WEEKDAY(AN$1,2)=6),1,0),IF(AND((AP35&lt;&gt;"")+(AQ35&lt;&gt;""),WEEKDAY(AP$1,2)=6),1,0),IF(AND((AR35&lt;&gt;"")+(AS35&lt;&gt;""),WEEKDAY(AR$1,2)=6),1,0),IF(AND((AT35&lt;&gt;"")+(AU35&lt;&gt;""),WEEKDAY(AT$1,2)=6),1,0),IF(AND((AV35&lt;&gt;"")+(AW35&lt;&gt;""),WEEKDAY(AV$1,2)=6),1,0),IF(AND((AX35&lt;&gt;"")+(AY35&lt;&gt;""),WEEKDAY(AX$1,2)=6),1,0),IF(AND((AZ35&lt;&gt;"")+(BA35&lt;&gt;""),WEEKDAY(AZ$1,2)=6),1,0),IF(AND((BB35&lt;&gt;"")+(BC35&lt;&gt;""),WEEKDAY(BB$1,2)=6),1,0),IF(AND((BD35&lt;&gt;"")+(BE35&lt;&gt;""),WEEKDAY(BD$1,2)=6),1,0),IF(AND((BF35&lt;&gt;"")+(BG35&lt;&gt;""),WEEKDAY(BF$1,2)=6),1,0),IF(AND((BH35&lt;&gt;"")+(BI35&lt;&gt;""),WEEKDAY(BH$1,2)=6),1,0),IF(AND((BJ35&lt;&gt;"")+(BK35&lt;&gt;""),WEEKDAY(BJ$1,2)=6),1,0),IF(AND((BL35&lt;&gt;"")+(BM35&lt;&gt;""),WEEKDAY(BL$1,2)=6),1,0))</f>
        <v>0</v>
      </c>
    </row>
    <row r="36" spans="1:68" ht="16.5">
      <c r="A36" s="86" t="s">
        <v>43</v>
      </c>
      <c r="B36" s="86" t="s">
        <v>54</v>
      </c>
      <c r="C36" s="92" t="s">
        <v>55</v>
      </c>
      <c r="D36" s="91"/>
      <c r="E36" s="91"/>
      <c r="F36" s="88">
        <v>0.34722222222222221</v>
      </c>
      <c r="G36" s="88">
        <v>0.13680555555555557</v>
      </c>
      <c r="H36" s="88">
        <v>0.39305555555555555</v>
      </c>
      <c r="I36" s="99">
        <v>0.17291666666666666</v>
      </c>
      <c r="J36" s="99">
        <v>0.36180555555555555</v>
      </c>
      <c r="K36" s="99">
        <v>0.14305555555555555</v>
      </c>
      <c r="L36" s="99">
        <v>0.35972222222222222</v>
      </c>
      <c r="M36" s="99">
        <v>0.14166666666666666</v>
      </c>
      <c r="N36" s="88">
        <v>0.35555555555555557</v>
      </c>
      <c r="O36" s="88">
        <v>0.14166666666666666</v>
      </c>
      <c r="P36" s="102">
        <v>0.40972222222222221</v>
      </c>
      <c r="Q36" s="95"/>
      <c r="R36" s="91"/>
      <c r="S36" s="91"/>
      <c r="T36" s="88">
        <v>0.36805555555555558</v>
      </c>
      <c r="U36" s="88">
        <v>0.12777777777777777</v>
      </c>
      <c r="V36" s="88">
        <v>0.35416666666666669</v>
      </c>
      <c r="W36" s="88">
        <v>0.17569444444444443</v>
      </c>
      <c r="X36" s="88">
        <v>0.35416666666666669</v>
      </c>
      <c r="Y36" s="88">
        <v>0.14305555555555555</v>
      </c>
      <c r="Z36" s="88">
        <v>0.35902777777777778</v>
      </c>
      <c r="AA36" s="88">
        <v>0.15</v>
      </c>
      <c r="AB36" s="88">
        <v>0.36458333333333331</v>
      </c>
      <c r="AC36" s="88">
        <v>0.11944444444444445</v>
      </c>
      <c r="AD36" s="95"/>
      <c r="AE36" s="95"/>
      <c r="AF36" s="91"/>
      <c r="AG36" s="91"/>
      <c r="AH36" s="96"/>
      <c r="AI36" s="96"/>
      <c r="AJ36" s="88">
        <v>0.35833333333333334</v>
      </c>
      <c r="AK36" s="88">
        <v>0.14444444444444443</v>
      </c>
      <c r="AL36" s="88">
        <v>0.34166666666666667</v>
      </c>
      <c r="AM36" s="88">
        <v>0.14652777777777778</v>
      </c>
      <c r="AN36" s="88">
        <v>0.3527777777777778</v>
      </c>
      <c r="AO36" s="88">
        <v>0.13333333333333333</v>
      </c>
      <c r="AP36" s="88">
        <v>0.3576388888888889</v>
      </c>
      <c r="AQ36" s="88">
        <v>0.12708333333333333</v>
      </c>
      <c r="AR36" s="102">
        <v>0.40625</v>
      </c>
      <c r="AS36" s="95"/>
      <c r="AT36" s="91"/>
      <c r="AU36" s="91"/>
      <c r="AV36" s="88">
        <v>0.35972222222222222</v>
      </c>
      <c r="AW36" s="88">
        <v>0.1451388888888889</v>
      </c>
      <c r="AX36" s="88">
        <v>0.35972222222222222</v>
      </c>
      <c r="AY36" s="88">
        <v>0.18263888888888888</v>
      </c>
      <c r="AZ36" s="88">
        <v>0.36319444444444443</v>
      </c>
      <c r="BA36" s="88">
        <v>0.17430555555555555</v>
      </c>
      <c r="BB36" s="88">
        <v>0.35486111111111113</v>
      </c>
      <c r="BC36" s="88">
        <v>0.12291666666666666</v>
      </c>
      <c r="BD36" s="88">
        <v>0.35972222222222222</v>
      </c>
      <c r="BE36" s="85"/>
      <c r="BF36" s="95"/>
      <c r="BG36" s="95"/>
      <c r="BH36" s="91"/>
      <c r="BI36" s="91"/>
      <c r="BJ36" s="88">
        <v>0.4597222222222222</v>
      </c>
      <c r="BK36" s="88">
        <v>0.15625</v>
      </c>
      <c r="BL36" s="99">
        <v>0</v>
      </c>
      <c r="BM36" s="99">
        <v>0</v>
      </c>
      <c r="BN36" s="85">
        <f>SUM(IF(AND(D36&lt;&gt;"",WEEKDAY(D$1,2)&lt;6),1,0),IF(AND(F36&lt;&gt;"",WEEKDAY(F$1,2)&lt;6),1,0),IF(AND(H36&lt;&gt;"",WEEKDAY(H$1,2)&lt;6),1,0),IF(AND(J36&lt;&gt;"",WEEKDAY(J$1,2)&lt;6),1,0),IF(AND(L36&lt;&gt;"",WEEKDAY(L$1,2)&lt;6),1,0),IF(AND(N36&lt;&gt;"",WEEKDAY(N$1,2)&lt;6),1,0),IF(AND(P36&lt;&gt;"",WEEKDAY(P$1,2)&lt;6),1,0),IF(AND(R36&lt;&gt;"",WEEKDAY(R$1,2)&lt;6),1,0),IF(AND(T36&lt;&gt;"",WEEKDAY(T$1,2)&lt;6),1,0),IF(AND(V36&lt;&gt;"",WEEKDAY(V$1,2)&lt;6),1,0),IF(AND(X36&lt;&gt;"",WEEKDAY(X$1,2)&lt;6),1,0),IF(AND(Z36&lt;&gt;"",WEEKDAY(Z$1,2)&lt;6),1,0),IF(AND(AB36&lt;&gt;"",WEEKDAY(AB$1,2)&lt;6),1,0),IF(AND(AD36&lt;&gt;"",WEEKDAY(AD$1,2)&lt;6),1,0),IF(AND(AF36&lt;&gt;"",WEEKDAY(AF$1,2)&lt;6),1,0),IF(AND(AH36&lt;&gt;"",WEEKDAY(AH$1,2)&lt;6),1,0),IF(AND(AJ36&lt;&gt;"",WEEKDAY(AJ$1,2)&lt;6),1,0),IF(AND(AL36&lt;&gt;"",WEEKDAY(AL$1,2)&lt;6),1,0),IF(AND(AN36&lt;&gt;"",WEEKDAY(AN$1,2)&lt;6),1,0),IF(AND(AP36&lt;&gt;"",WEEKDAY(AP$1,2)&lt;6),1,0),IF(AND(AR36&lt;&gt;"",WEEKDAY(AR$1,2)&lt;6),1,0),IF(AND(AT36&lt;&gt;"",WEEKDAY(AT$1,2)&lt;6),1,0),IF(AND(AV36&lt;&gt;"",WEEKDAY(AV$1,2)&lt;6),1,0),IF(AND(AX36&lt;&gt;"",WEEKDAY(AX$1,2)&lt;6),1,0),IF(AND(AZ36&lt;&gt;"",WEEKDAY(AZ$1,2)&lt;6),1,0),IF(AND(BB36&lt;&gt;"",WEEKDAY(BB$1,2)&lt;6),1,0),IF(AND(BD36&lt;&gt;"",WEEKDAY(BD$1,2)&lt;6),1,0),IF(AND(BF36&lt;&gt;"",WEEKDAY(BF$1,2)&lt;6),1,0),IF(AND(BH36&lt;&gt;"",WEEKDAY(BH$1,2)&lt;6),1,0),IF(AND(BJ36&lt;&gt;"",WEEKDAY(BJ$1,2)&lt;6),1,0),IF(AND(BL36&lt;&gt;"",WEEKDAY(BL$1,2)&lt;6),1,0))</f>
        <v>21</v>
      </c>
      <c r="BO36" s="85">
        <f>SUM(IF(AND(E36&lt;&gt;"",WEEKDAY(D$1,2)&lt;6),1,0),IF(AND(G36&lt;&gt;"",WEEKDAY(F$1,2)&lt;6),1,0),IF(AND(I36&lt;&gt;"",WEEKDAY(H$1,2)&lt;6),1,0),IF(AND(K36&lt;&gt;"",WEEKDAY(J$1,2)&lt;6),1,0),IF(AND(M36&lt;&gt;"",WEEKDAY(L$1,2)&lt;6),1,0),IF(AND(O36&lt;&gt;"",WEEKDAY(N$1,2)&lt;6),1,0),IF(AND(Q36&lt;&gt;"",WEEKDAY(P$1,2)&lt;6),1,0),IF(AND(S36&lt;&gt;"",WEEKDAY(R$1,2)&lt;6),1,0),IF(AND(U36&lt;&gt;"",WEEKDAY(T$1,2)&lt;6),1,0),IF(AND(W36&lt;&gt;"",WEEKDAY(V$1,2)&lt;6),1,0),IF(AND(Y36&lt;&gt;"",WEEKDAY(X$1,2)&lt;6),1,0),IF(AND(AA36&lt;&gt;"",WEEKDAY(Z$1,2)&lt;6),1,0),IF(AND(AC36&lt;&gt;"",WEEKDAY(AB$1,2)&lt;6),1,0),IF(AND(AE36&lt;&gt;"",WEEKDAY(AD$1,2)&lt;6),1,0),IF(AND(AG36&lt;&gt;"",WEEKDAY(AF$1,2)&lt;6),1,0),IF(AND(AI36&lt;&gt;"",WEEKDAY(AH$1,2)&lt;6),1,0),IF(AND(AK36&lt;&gt;"",WEEKDAY(AJ$1,2)&lt;6),1,0),IF(AND(AM36&lt;&gt;"",WEEKDAY(AL$1,2)&lt;6),1,0),IF(AND(AO36&lt;&gt;"",WEEKDAY(AN$1,2)&lt;6),1,0),IF(AND(AQ36&lt;&gt;"",WEEKDAY(AP$1,2)&lt;6),1,0),IF(AND(AS36&lt;&gt;"",WEEKDAY(AR$1,2)&lt;6),1,0),IF(AND(AU36&lt;&gt;"",WEEKDAY(AT$1,2)&lt;6),1,0),IF(AND(AW36&lt;&gt;"",WEEKDAY(AV$1,2)&lt;6),1,0),IF(AND(AY36&lt;&gt;"",WEEKDAY(AX$1,2)&lt;6),1,0),IF(AND(BA36&lt;&gt;"",WEEKDAY(AZ$1,2)&lt;6),1,0),IF(AND(BC36&lt;&gt;"",WEEKDAY(BB$1,2)&lt;6),1,0),IF(AND(BE36&lt;&gt;"",WEEKDAY(BD$1,2)&lt;6),1,0),IF(AND(BG36&lt;&gt;"",WEEKDAY(BF$1,2)&lt;6),1,0),IF(AND(BI36&lt;&gt;"",WEEKDAY(BH$1,2)&lt;6),1,0),IF(AND(BK36&lt;&gt;"",WEEKDAY(BJ$1,2)&lt;6),1,0),IF(AND(BM36&lt;&gt;"",WEEKDAY(BL$1,2)&lt;6),1,0))</f>
        <v>20</v>
      </c>
      <c r="BP36" s="85">
        <f>SUM(IF(AND((D36&lt;&gt;"")+(E36&lt;&gt;""),WEEKDAY(D$1,2)=6),1,0),IF(AND((F36&lt;&gt;"")+(G36&lt;&gt;""),WEEKDAY(F$1,2)=6),1,0),IF(AND((H36&lt;&gt;"")+(I36&lt;&gt;""),WEEKDAY(H$1,2)=6),1,0),IF(AND((J36&lt;&gt;"")+(K36&lt;&gt;""),WEEKDAY(J$1,2)=6),1,0),IF(AND((L36&lt;&gt;"")+(M36&lt;&gt;""),WEEKDAY(L$1,2)=6),1,0),IF(AND((N36&lt;&gt;"")+(O36&lt;&gt;""),WEEKDAY(N$1,2)=6),1,0),IF(AND((P36&lt;&gt;"")+(Q36&lt;&gt;""),WEEKDAY(P$1,2)=6),1,0),IF(AND((R36&lt;&gt;"")+(S36&lt;&gt;""),WEEKDAY(R$1,2)=6),1,0),IF(AND((T36&lt;&gt;"")+(U36&lt;&gt;""),WEEKDAY(T$1,2)=6),1,0),IF(AND((V36&lt;&gt;"")+(W36&lt;&gt;""),WEEKDAY(V$1,2)=6),1,0),IF(AND((X36&lt;&gt;"")+(Y36&lt;&gt;""),WEEKDAY(X$1,2)=6),1,0),IF(AND((Z36&lt;&gt;"")+(AA36&lt;&gt;""),WEEKDAY(Z$1,2)=6),1,0),IF(AND((AB36&lt;&gt;"")+(AC36&lt;&gt;""),WEEKDAY(AB$1,2)=6),1,0),IF(AND((AD36&lt;&gt;"")+(AE36&lt;&gt;""),WEEKDAY(AD$1,2)=6),1,0),IF(AND((AF36&lt;&gt;"")+(AG36&lt;&gt;""),WEEKDAY(AF$1,2)=6),1,0),IF(AND((AH36&lt;&gt;"")+(AI36&lt;&gt;""),WEEKDAY(AH$1,2)=6),1,0),IF(AND((AJ36&lt;&gt;"")+(AK36&lt;&gt;""),WEEKDAY(AJ$1,2)=6),1,0),IF(AND((AL36&lt;&gt;"")+(AM36&lt;&gt;""),WEEKDAY(AL$1,2)=6),1,0),IF(AND((AN36&lt;&gt;"")+(AO36&lt;&gt;""),WEEKDAY(AN$1,2)=6),1,0),IF(AND((AP36&lt;&gt;"")+(AQ36&lt;&gt;""),WEEKDAY(AP$1,2)=6),1,0),IF(AND((AR36&lt;&gt;"")+(AS36&lt;&gt;""),WEEKDAY(AR$1,2)=6),1,0),IF(AND((AT36&lt;&gt;"")+(AU36&lt;&gt;""),WEEKDAY(AT$1,2)=6),1,0),IF(AND((AV36&lt;&gt;"")+(AW36&lt;&gt;""),WEEKDAY(AV$1,2)=6),1,0),IF(AND((AX36&lt;&gt;"")+(AY36&lt;&gt;""),WEEKDAY(AX$1,2)=6),1,0),IF(AND((AZ36&lt;&gt;"")+(BA36&lt;&gt;""),WEEKDAY(AZ$1,2)=6),1,0),IF(AND((BB36&lt;&gt;"")+(BC36&lt;&gt;""),WEEKDAY(BB$1,2)=6),1,0),IF(AND((BD36&lt;&gt;"")+(BE36&lt;&gt;""),WEEKDAY(BD$1,2)=6),1,0),IF(AND((BF36&lt;&gt;"")+(BG36&lt;&gt;""),WEEKDAY(BF$1,2)=6),1,0),IF(AND((BH36&lt;&gt;"")+(BI36&lt;&gt;""),WEEKDAY(BH$1,2)=6),1,0),IF(AND((BJ36&lt;&gt;"")+(BK36&lt;&gt;""),WEEKDAY(BJ$1,2)=6),1,0),IF(AND((BL36&lt;&gt;"")+(BM36&lt;&gt;""),WEEKDAY(BL$1,2)=6),1,0))</f>
        <v>2</v>
      </c>
    </row>
    <row r="37" spans="1:68" ht="16.5">
      <c r="A37" s="86" t="s">
        <v>56</v>
      </c>
      <c r="B37" s="86" t="s">
        <v>57</v>
      </c>
      <c r="C37" s="92" t="s">
        <v>58</v>
      </c>
      <c r="D37" s="91"/>
      <c r="E37" s="91"/>
      <c r="F37" s="85"/>
      <c r="G37" s="85"/>
      <c r="H37" s="85"/>
      <c r="I37" s="85"/>
      <c r="J37" s="98"/>
      <c r="K37" s="98"/>
      <c r="L37" s="98"/>
      <c r="M37" s="98"/>
      <c r="N37" s="85"/>
      <c r="O37" s="85"/>
      <c r="P37" s="95"/>
      <c r="Q37" s="95"/>
      <c r="R37" s="91"/>
      <c r="S37" s="91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95"/>
      <c r="AE37" s="95"/>
      <c r="AF37" s="91"/>
      <c r="AG37" s="91"/>
      <c r="AH37" s="96"/>
      <c r="AI37" s="96"/>
      <c r="AJ37" s="85"/>
      <c r="AK37" s="85"/>
      <c r="AL37" s="85"/>
      <c r="AM37" s="85"/>
      <c r="AN37" s="85"/>
      <c r="AO37" s="85"/>
      <c r="AP37" s="85"/>
      <c r="AQ37" s="85"/>
      <c r="AR37" s="95"/>
      <c r="AS37" s="95"/>
      <c r="AT37" s="91"/>
      <c r="AU37" s="91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95"/>
      <c r="BG37" s="95"/>
      <c r="BH37" s="91"/>
      <c r="BI37" s="91"/>
      <c r="BJ37" s="85"/>
      <c r="BK37" s="85"/>
      <c r="BL37" s="98"/>
      <c r="BM37" s="98"/>
      <c r="BN37" s="85">
        <f>SUM(IF(AND(D37&lt;&gt;"",WEEKDAY(D$1,2)&lt;6),1,0),IF(AND(F37&lt;&gt;"",WEEKDAY(F$1,2)&lt;6),1,0),IF(AND(H37&lt;&gt;"",WEEKDAY(H$1,2)&lt;6),1,0),IF(AND(J37&lt;&gt;"",WEEKDAY(J$1,2)&lt;6),1,0),IF(AND(L37&lt;&gt;"",WEEKDAY(L$1,2)&lt;6),1,0),IF(AND(N37&lt;&gt;"",WEEKDAY(N$1,2)&lt;6),1,0),IF(AND(P37&lt;&gt;"",WEEKDAY(P$1,2)&lt;6),1,0),IF(AND(R37&lt;&gt;"",WEEKDAY(R$1,2)&lt;6),1,0),IF(AND(T37&lt;&gt;"",WEEKDAY(T$1,2)&lt;6),1,0),IF(AND(V37&lt;&gt;"",WEEKDAY(V$1,2)&lt;6),1,0),IF(AND(X37&lt;&gt;"",WEEKDAY(X$1,2)&lt;6),1,0),IF(AND(Z37&lt;&gt;"",WEEKDAY(Z$1,2)&lt;6),1,0),IF(AND(AB37&lt;&gt;"",WEEKDAY(AB$1,2)&lt;6),1,0),IF(AND(AD37&lt;&gt;"",WEEKDAY(AD$1,2)&lt;6),1,0),IF(AND(AF37&lt;&gt;"",WEEKDAY(AF$1,2)&lt;6),1,0),IF(AND(AH37&lt;&gt;"",WEEKDAY(AH$1,2)&lt;6),1,0),IF(AND(AJ37&lt;&gt;"",WEEKDAY(AJ$1,2)&lt;6),1,0),IF(AND(AL37&lt;&gt;"",WEEKDAY(AL$1,2)&lt;6),1,0),IF(AND(AN37&lt;&gt;"",WEEKDAY(AN$1,2)&lt;6),1,0),IF(AND(AP37&lt;&gt;"",WEEKDAY(AP$1,2)&lt;6),1,0),IF(AND(AR37&lt;&gt;"",WEEKDAY(AR$1,2)&lt;6),1,0),IF(AND(AT37&lt;&gt;"",WEEKDAY(AT$1,2)&lt;6),1,0),IF(AND(AV37&lt;&gt;"",WEEKDAY(AV$1,2)&lt;6),1,0),IF(AND(AX37&lt;&gt;"",WEEKDAY(AX$1,2)&lt;6),1,0),IF(AND(AZ37&lt;&gt;"",WEEKDAY(AZ$1,2)&lt;6),1,0),IF(AND(BB37&lt;&gt;"",WEEKDAY(BB$1,2)&lt;6),1,0),IF(AND(BD37&lt;&gt;"",WEEKDAY(BD$1,2)&lt;6),1,0),IF(AND(BF37&lt;&gt;"",WEEKDAY(BF$1,2)&lt;6),1,0),IF(AND(BH37&lt;&gt;"",WEEKDAY(BH$1,2)&lt;6),1,0),IF(AND(BJ37&lt;&gt;"",WEEKDAY(BJ$1,2)&lt;6),1,0),IF(AND(BL37&lt;&gt;"",WEEKDAY(BL$1,2)&lt;6),1,0))</f>
        <v>0</v>
      </c>
      <c r="BO37" s="85">
        <f>SUM(IF(AND(E37&lt;&gt;"",WEEKDAY(D$1,2)&lt;6),1,0),IF(AND(G37&lt;&gt;"",WEEKDAY(F$1,2)&lt;6),1,0),IF(AND(I37&lt;&gt;"",WEEKDAY(H$1,2)&lt;6),1,0),IF(AND(K37&lt;&gt;"",WEEKDAY(J$1,2)&lt;6),1,0),IF(AND(M37&lt;&gt;"",WEEKDAY(L$1,2)&lt;6),1,0),IF(AND(O37&lt;&gt;"",WEEKDAY(N$1,2)&lt;6),1,0),IF(AND(Q37&lt;&gt;"",WEEKDAY(P$1,2)&lt;6),1,0),IF(AND(S37&lt;&gt;"",WEEKDAY(R$1,2)&lt;6),1,0),IF(AND(U37&lt;&gt;"",WEEKDAY(T$1,2)&lt;6),1,0),IF(AND(W37&lt;&gt;"",WEEKDAY(V$1,2)&lt;6),1,0),IF(AND(Y37&lt;&gt;"",WEEKDAY(X$1,2)&lt;6),1,0),IF(AND(AA37&lt;&gt;"",WEEKDAY(Z$1,2)&lt;6),1,0),IF(AND(AC37&lt;&gt;"",WEEKDAY(AB$1,2)&lt;6),1,0),IF(AND(AE37&lt;&gt;"",WEEKDAY(AD$1,2)&lt;6),1,0),IF(AND(AG37&lt;&gt;"",WEEKDAY(AF$1,2)&lt;6),1,0),IF(AND(AI37&lt;&gt;"",WEEKDAY(AH$1,2)&lt;6),1,0),IF(AND(AK37&lt;&gt;"",WEEKDAY(AJ$1,2)&lt;6),1,0),IF(AND(AM37&lt;&gt;"",WEEKDAY(AL$1,2)&lt;6),1,0),IF(AND(AO37&lt;&gt;"",WEEKDAY(AN$1,2)&lt;6),1,0),IF(AND(AQ37&lt;&gt;"",WEEKDAY(AP$1,2)&lt;6),1,0),IF(AND(AS37&lt;&gt;"",WEEKDAY(AR$1,2)&lt;6),1,0),IF(AND(AU37&lt;&gt;"",WEEKDAY(AT$1,2)&lt;6),1,0),IF(AND(AW37&lt;&gt;"",WEEKDAY(AV$1,2)&lt;6),1,0),IF(AND(AY37&lt;&gt;"",WEEKDAY(AX$1,2)&lt;6),1,0),IF(AND(BA37&lt;&gt;"",WEEKDAY(AZ$1,2)&lt;6),1,0),IF(AND(BC37&lt;&gt;"",WEEKDAY(BB$1,2)&lt;6),1,0),IF(AND(BE37&lt;&gt;"",WEEKDAY(BD$1,2)&lt;6),1,0),IF(AND(BG37&lt;&gt;"",WEEKDAY(BF$1,2)&lt;6),1,0),IF(AND(BI37&lt;&gt;"",WEEKDAY(BH$1,2)&lt;6),1,0),IF(AND(BK37&lt;&gt;"",WEEKDAY(BJ$1,2)&lt;6),1,0),IF(AND(BM37&lt;&gt;"",WEEKDAY(BL$1,2)&lt;6),1,0))</f>
        <v>0</v>
      </c>
      <c r="BP37" s="85">
        <f>SUM(IF(AND((D37&lt;&gt;"")+(E37&lt;&gt;""),WEEKDAY(D$1,2)=6),1,0),IF(AND((F37&lt;&gt;"")+(G37&lt;&gt;""),WEEKDAY(F$1,2)=6),1,0),IF(AND((H37&lt;&gt;"")+(I37&lt;&gt;""),WEEKDAY(H$1,2)=6),1,0),IF(AND((J37&lt;&gt;"")+(K37&lt;&gt;""),WEEKDAY(J$1,2)=6),1,0),IF(AND((L37&lt;&gt;"")+(M37&lt;&gt;""),WEEKDAY(L$1,2)=6),1,0),IF(AND((N37&lt;&gt;"")+(O37&lt;&gt;""),WEEKDAY(N$1,2)=6),1,0),IF(AND((P37&lt;&gt;"")+(Q37&lt;&gt;""),WEEKDAY(P$1,2)=6),1,0),IF(AND((R37&lt;&gt;"")+(S37&lt;&gt;""),WEEKDAY(R$1,2)=6),1,0),IF(AND((T37&lt;&gt;"")+(U37&lt;&gt;""),WEEKDAY(T$1,2)=6),1,0),IF(AND((V37&lt;&gt;"")+(W37&lt;&gt;""),WEEKDAY(V$1,2)=6),1,0),IF(AND((X37&lt;&gt;"")+(Y37&lt;&gt;""),WEEKDAY(X$1,2)=6),1,0),IF(AND((Z37&lt;&gt;"")+(AA37&lt;&gt;""),WEEKDAY(Z$1,2)=6),1,0),IF(AND((AB37&lt;&gt;"")+(AC37&lt;&gt;""),WEEKDAY(AB$1,2)=6),1,0),IF(AND((AD37&lt;&gt;"")+(AE37&lt;&gt;""),WEEKDAY(AD$1,2)=6),1,0),IF(AND((AF37&lt;&gt;"")+(AG37&lt;&gt;""),WEEKDAY(AF$1,2)=6),1,0),IF(AND((AH37&lt;&gt;"")+(AI37&lt;&gt;""),WEEKDAY(AH$1,2)=6),1,0),IF(AND((AJ37&lt;&gt;"")+(AK37&lt;&gt;""),WEEKDAY(AJ$1,2)=6),1,0),IF(AND((AL37&lt;&gt;"")+(AM37&lt;&gt;""),WEEKDAY(AL$1,2)=6),1,0),IF(AND((AN37&lt;&gt;"")+(AO37&lt;&gt;""),WEEKDAY(AN$1,2)=6),1,0),IF(AND((AP37&lt;&gt;"")+(AQ37&lt;&gt;""),WEEKDAY(AP$1,2)=6),1,0),IF(AND((AR37&lt;&gt;"")+(AS37&lt;&gt;""),WEEKDAY(AR$1,2)=6),1,0),IF(AND((AT37&lt;&gt;"")+(AU37&lt;&gt;""),WEEKDAY(AT$1,2)=6),1,0),IF(AND((AV37&lt;&gt;"")+(AW37&lt;&gt;""),WEEKDAY(AV$1,2)=6),1,0),IF(AND((AX37&lt;&gt;"")+(AY37&lt;&gt;""),WEEKDAY(AX$1,2)=6),1,0),IF(AND((AZ37&lt;&gt;"")+(BA37&lt;&gt;""),WEEKDAY(AZ$1,2)=6),1,0),IF(AND((BB37&lt;&gt;"")+(BC37&lt;&gt;""),WEEKDAY(BB$1,2)=6),1,0),IF(AND((BD37&lt;&gt;"")+(BE37&lt;&gt;""),WEEKDAY(BD$1,2)=6),1,0),IF(AND((BF37&lt;&gt;"")+(BG37&lt;&gt;""),WEEKDAY(BF$1,2)=6),1,0),IF(AND((BH37&lt;&gt;"")+(BI37&lt;&gt;""),WEEKDAY(BH$1,2)=6),1,0),IF(AND((BJ37&lt;&gt;"")+(BK37&lt;&gt;""),WEEKDAY(BJ$1,2)=6),1,0),IF(AND((BL37&lt;&gt;"")+(BM37&lt;&gt;""),WEEKDAY(BL$1,2)=6),1,0))</f>
        <v>0</v>
      </c>
    </row>
    <row r="38" spans="1:68" ht="16.5">
      <c r="A38" s="86" t="s">
        <v>56</v>
      </c>
      <c r="B38" s="86" t="s">
        <v>57</v>
      </c>
      <c r="C38" s="92" t="s">
        <v>59</v>
      </c>
      <c r="D38" s="91"/>
      <c r="E38" s="91"/>
      <c r="F38" s="88">
        <v>0.37083333333333335</v>
      </c>
      <c r="G38" s="88">
        <v>0.15208333333333332</v>
      </c>
      <c r="H38" s="88">
        <v>0.38263888888888886</v>
      </c>
      <c r="I38" s="88">
        <v>0.15833333333333333</v>
      </c>
      <c r="J38" s="98"/>
      <c r="K38" s="99">
        <v>0.14791666666666667</v>
      </c>
      <c r="L38" s="99">
        <v>0.40972222222222221</v>
      </c>
      <c r="M38" s="99">
        <v>0.1423611111111111</v>
      </c>
      <c r="N38" s="88">
        <v>0.41041666666666665</v>
      </c>
      <c r="O38" s="88">
        <v>0.15625</v>
      </c>
      <c r="P38" s="102">
        <v>0.38124999999999998</v>
      </c>
      <c r="Q38" s="95"/>
      <c r="R38" s="91"/>
      <c r="S38" s="91"/>
      <c r="T38" s="88">
        <v>0.38750000000000001</v>
      </c>
      <c r="U38" s="88">
        <v>0.13194444444444445</v>
      </c>
      <c r="V38" s="88">
        <v>0.37152777777777779</v>
      </c>
      <c r="W38" s="88">
        <v>0.11527777777777778</v>
      </c>
      <c r="X38" s="88">
        <v>0.37152777777777779</v>
      </c>
      <c r="Y38" s="88">
        <v>0.16597222222222222</v>
      </c>
      <c r="Z38" s="88">
        <v>0</v>
      </c>
      <c r="AA38" s="88">
        <v>0.11944444444444445</v>
      </c>
      <c r="AB38" s="88">
        <v>0.40625</v>
      </c>
      <c r="AC38" s="88">
        <v>0.14027777777777778</v>
      </c>
      <c r="AD38" s="95"/>
      <c r="AE38" s="95"/>
      <c r="AF38" s="91"/>
      <c r="AG38" s="91"/>
      <c r="AH38" s="96"/>
      <c r="AI38" s="96"/>
      <c r="AJ38" s="85"/>
      <c r="AK38" s="88">
        <v>0.16875000000000001</v>
      </c>
      <c r="AL38" s="88">
        <v>0.38680555555555557</v>
      </c>
      <c r="AM38" s="85"/>
      <c r="AN38" s="88">
        <v>0.40416666666666667</v>
      </c>
      <c r="AO38" s="88">
        <v>0.16319444444444445</v>
      </c>
      <c r="AP38" s="88">
        <v>0.42777777777777776</v>
      </c>
      <c r="AQ38" s="88">
        <v>0.26597222222222222</v>
      </c>
      <c r="AR38" s="102">
        <v>0.39513888888888887</v>
      </c>
      <c r="AS38" s="102">
        <v>0.53611111111111109</v>
      </c>
      <c r="AT38" s="91"/>
      <c r="AU38" s="91"/>
      <c r="AV38" s="88">
        <v>0.40555555555555556</v>
      </c>
      <c r="AW38" s="88">
        <v>0.16388888888888889</v>
      </c>
      <c r="AX38" s="88">
        <v>0.42569444444444443</v>
      </c>
      <c r="AY38" s="85"/>
      <c r="AZ38" s="88">
        <v>0.36666666666666664</v>
      </c>
      <c r="BA38" s="88">
        <v>0.15416666666666667</v>
      </c>
      <c r="BB38" s="88">
        <v>0.37152777777777779</v>
      </c>
      <c r="BC38" s="88">
        <v>0.14722222222222223</v>
      </c>
      <c r="BD38" s="88">
        <v>0.36180555555555555</v>
      </c>
      <c r="BE38" s="85"/>
      <c r="BF38" s="95"/>
      <c r="BG38" s="95"/>
      <c r="BH38" s="91"/>
      <c r="BI38" s="91"/>
      <c r="BJ38" s="88">
        <v>0.44861111111111113</v>
      </c>
      <c r="BK38" s="88">
        <v>0.16319444444444445</v>
      </c>
      <c r="BL38" s="99">
        <v>0.40763888888888888</v>
      </c>
      <c r="BM38" s="99">
        <v>0</v>
      </c>
      <c r="BN38" s="85">
        <f>SUM(IF(AND(D38&lt;&gt;"",WEEKDAY(D$1,2)&lt;6),1,0),IF(AND(F38&lt;&gt;"",WEEKDAY(F$1,2)&lt;6),1,0),IF(AND(H38&lt;&gt;"",WEEKDAY(H$1,2)&lt;6),1,0),IF(AND(J38&lt;&gt;"",WEEKDAY(J$1,2)&lt;6),1,0),IF(AND(L38&lt;&gt;"",WEEKDAY(L$1,2)&lt;6),1,0),IF(AND(N38&lt;&gt;"",WEEKDAY(N$1,2)&lt;6),1,0),IF(AND(P38&lt;&gt;"",WEEKDAY(P$1,2)&lt;6),1,0),IF(AND(R38&lt;&gt;"",WEEKDAY(R$1,2)&lt;6),1,0),IF(AND(T38&lt;&gt;"",WEEKDAY(T$1,2)&lt;6),1,0),IF(AND(V38&lt;&gt;"",WEEKDAY(V$1,2)&lt;6),1,0),IF(AND(X38&lt;&gt;"",WEEKDAY(X$1,2)&lt;6),1,0),IF(AND(Z38&lt;&gt;"",WEEKDAY(Z$1,2)&lt;6),1,0),IF(AND(AB38&lt;&gt;"",WEEKDAY(AB$1,2)&lt;6),1,0),IF(AND(AD38&lt;&gt;"",WEEKDAY(AD$1,2)&lt;6),1,0),IF(AND(AF38&lt;&gt;"",WEEKDAY(AF$1,2)&lt;6),1,0),IF(AND(AH38&lt;&gt;"",WEEKDAY(AH$1,2)&lt;6),1,0),IF(AND(AJ38&lt;&gt;"",WEEKDAY(AJ$1,2)&lt;6),1,0),IF(AND(AL38&lt;&gt;"",WEEKDAY(AL$1,2)&lt;6),1,0),IF(AND(AN38&lt;&gt;"",WEEKDAY(AN$1,2)&lt;6),1,0),IF(AND(AP38&lt;&gt;"",WEEKDAY(AP$1,2)&lt;6),1,0),IF(AND(AR38&lt;&gt;"",WEEKDAY(AR$1,2)&lt;6),1,0),IF(AND(AT38&lt;&gt;"",WEEKDAY(AT$1,2)&lt;6),1,0),IF(AND(AV38&lt;&gt;"",WEEKDAY(AV$1,2)&lt;6),1,0),IF(AND(AX38&lt;&gt;"",WEEKDAY(AX$1,2)&lt;6),1,0),IF(AND(AZ38&lt;&gt;"",WEEKDAY(AZ$1,2)&lt;6),1,0),IF(AND(BB38&lt;&gt;"",WEEKDAY(BB$1,2)&lt;6),1,0),IF(AND(BD38&lt;&gt;"",WEEKDAY(BD$1,2)&lt;6),1,0),IF(AND(BF38&lt;&gt;"",WEEKDAY(BF$1,2)&lt;6),1,0),IF(AND(BH38&lt;&gt;"",WEEKDAY(BH$1,2)&lt;6),1,0),IF(AND(BJ38&lt;&gt;"",WEEKDAY(BJ$1,2)&lt;6),1,0),IF(AND(BL38&lt;&gt;"",WEEKDAY(BL$1,2)&lt;6),1,0))</f>
        <v>19</v>
      </c>
      <c r="BO38" s="85">
        <f>SUM(IF(AND(E38&lt;&gt;"",WEEKDAY(D$1,2)&lt;6),1,0),IF(AND(G38&lt;&gt;"",WEEKDAY(F$1,2)&lt;6),1,0),IF(AND(I38&lt;&gt;"",WEEKDAY(H$1,2)&lt;6),1,0),IF(AND(K38&lt;&gt;"",WEEKDAY(J$1,2)&lt;6),1,0),IF(AND(M38&lt;&gt;"",WEEKDAY(L$1,2)&lt;6),1,0),IF(AND(O38&lt;&gt;"",WEEKDAY(N$1,2)&lt;6),1,0),IF(AND(Q38&lt;&gt;"",WEEKDAY(P$1,2)&lt;6),1,0),IF(AND(S38&lt;&gt;"",WEEKDAY(R$1,2)&lt;6),1,0),IF(AND(U38&lt;&gt;"",WEEKDAY(T$1,2)&lt;6),1,0),IF(AND(W38&lt;&gt;"",WEEKDAY(V$1,2)&lt;6),1,0),IF(AND(Y38&lt;&gt;"",WEEKDAY(X$1,2)&lt;6),1,0),IF(AND(AA38&lt;&gt;"",WEEKDAY(Z$1,2)&lt;6),1,0),IF(AND(AC38&lt;&gt;"",WEEKDAY(AB$1,2)&lt;6),1,0),IF(AND(AE38&lt;&gt;"",WEEKDAY(AD$1,2)&lt;6),1,0),IF(AND(AG38&lt;&gt;"",WEEKDAY(AF$1,2)&lt;6),1,0),IF(AND(AI38&lt;&gt;"",WEEKDAY(AH$1,2)&lt;6),1,0),IF(AND(AK38&lt;&gt;"",WEEKDAY(AJ$1,2)&lt;6),1,0),IF(AND(AM38&lt;&gt;"",WEEKDAY(AL$1,2)&lt;6),1,0),IF(AND(AO38&lt;&gt;"",WEEKDAY(AN$1,2)&lt;6),1,0),IF(AND(AQ38&lt;&gt;"",WEEKDAY(AP$1,2)&lt;6),1,0),IF(AND(AS38&lt;&gt;"",WEEKDAY(AR$1,2)&lt;6),1,0),IF(AND(AU38&lt;&gt;"",WEEKDAY(AT$1,2)&lt;6),1,0),IF(AND(AW38&lt;&gt;"",WEEKDAY(AV$1,2)&lt;6),1,0),IF(AND(AY38&lt;&gt;"",WEEKDAY(AX$1,2)&lt;6),1,0),IF(AND(BA38&lt;&gt;"",WEEKDAY(AZ$1,2)&lt;6),1,0),IF(AND(BC38&lt;&gt;"",WEEKDAY(BB$1,2)&lt;6),1,0),IF(AND(BE38&lt;&gt;"",WEEKDAY(BD$1,2)&lt;6),1,0),IF(AND(BG38&lt;&gt;"",WEEKDAY(BF$1,2)&lt;6),1,0),IF(AND(BI38&lt;&gt;"",WEEKDAY(BH$1,2)&lt;6),1,0),IF(AND(BK38&lt;&gt;"",WEEKDAY(BJ$1,2)&lt;6),1,0),IF(AND(BM38&lt;&gt;"",WEEKDAY(BL$1,2)&lt;6),1,0))</f>
        <v>18</v>
      </c>
      <c r="BP38" s="85">
        <f>SUM(IF(AND((D38&lt;&gt;"")+(E38&lt;&gt;""),WEEKDAY(D$1,2)=6),1,0),IF(AND((F38&lt;&gt;"")+(G38&lt;&gt;""),WEEKDAY(F$1,2)=6),1,0),IF(AND((H38&lt;&gt;"")+(I38&lt;&gt;""),WEEKDAY(H$1,2)=6),1,0),IF(AND((J38&lt;&gt;"")+(K38&lt;&gt;""),WEEKDAY(J$1,2)=6),1,0),IF(AND((L38&lt;&gt;"")+(M38&lt;&gt;""),WEEKDAY(L$1,2)=6),1,0),IF(AND((N38&lt;&gt;"")+(O38&lt;&gt;""),WEEKDAY(N$1,2)=6),1,0),IF(AND((P38&lt;&gt;"")+(Q38&lt;&gt;""),WEEKDAY(P$1,2)=6),1,0),IF(AND((R38&lt;&gt;"")+(S38&lt;&gt;""),WEEKDAY(R$1,2)=6),1,0),IF(AND((T38&lt;&gt;"")+(U38&lt;&gt;""),WEEKDAY(T$1,2)=6),1,0),IF(AND((V38&lt;&gt;"")+(W38&lt;&gt;""),WEEKDAY(V$1,2)=6),1,0),IF(AND((X38&lt;&gt;"")+(Y38&lt;&gt;""),WEEKDAY(X$1,2)=6),1,0),IF(AND((Z38&lt;&gt;"")+(AA38&lt;&gt;""),WEEKDAY(Z$1,2)=6),1,0),IF(AND((AB38&lt;&gt;"")+(AC38&lt;&gt;""),WEEKDAY(AB$1,2)=6),1,0),IF(AND((AD38&lt;&gt;"")+(AE38&lt;&gt;""),WEEKDAY(AD$1,2)=6),1,0),IF(AND((AF38&lt;&gt;"")+(AG38&lt;&gt;""),WEEKDAY(AF$1,2)=6),1,0),IF(AND((AH38&lt;&gt;"")+(AI38&lt;&gt;""),WEEKDAY(AH$1,2)=6),1,0),IF(AND((AJ38&lt;&gt;"")+(AK38&lt;&gt;""),WEEKDAY(AJ$1,2)=6),1,0),IF(AND((AL38&lt;&gt;"")+(AM38&lt;&gt;""),WEEKDAY(AL$1,2)=6),1,0),IF(AND((AN38&lt;&gt;"")+(AO38&lt;&gt;""),WEEKDAY(AN$1,2)=6),1,0),IF(AND((AP38&lt;&gt;"")+(AQ38&lt;&gt;""),WEEKDAY(AP$1,2)=6),1,0),IF(AND((AR38&lt;&gt;"")+(AS38&lt;&gt;""),WEEKDAY(AR$1,2)=6),1,0),IF(AND((AT38&lt;&gt;"")+(AU38&lt;&gt;""),WEEKDAY(AT$1,2)=6),1,0),IF(AND((AV38&lt;&gt;"")+(AW38&lt;&gt;""),WEEKDAY(AV$1,2)=6),1,0),IF(AND((AX38&lt;&gt;"")+(AY38&lt;&gt;""),WEEKDAY(AX$1,2)=6),1,0),IF(AND((AZ38&lt;&gt;"")+(BA38&lt;&gt;""),WEEKDAY(AZ$1,2)=6),1,0),IF(AND((BB38&lt;&gt;"")+(BC38&lt;&gt;""),WEEKDAY(BB$1,2)=6),1,0),IF(AND((BD38&lt;&gt;"")+(BE38&lt;&gt;""),WEEKDAY(BD$1,2)=6),1,0),IF(AND((BF38&lt;&gt;"")+(BG38&lt;&gt;""),WEEKDAY(BF$1,2)=6),1,0),IF(AND((BH38&lt;&gt;"")+(BI38&lt;&gt;""),WEEKDAY(BH$1,2)=6),1,0),IF(AND((BJ38&lt;&gt;"")+(BK38&lt;&gt;""),WEEKDAY(BJ$1,2)=6),1,0),IF(AND((BL38&lt;&gt;"")+(BM38&lt;&gt;""),WEEKDAY(BL$1,2)=6),1,0))</f>
        <v>2</v>
      </c>
    </row>
    <row r="39" spans="1:68" ht="16.5">
      <c r="A39" s="86" t="s">
        <v>56</v>
      </c>
      <c r="B39" s="86" t="s">
        <v>60</v>
      </c>
      <c r="C39" s="92" t="s">
        <v>61</v>
      </c>
      <c r="D39" s="91"/>
      <c r="E39" s="91"/>
      <c r="F39" s="85"/>
      <c r="G39" s="85"/>
      <c r="H39" s="85"/>
      <c r="I39" s="85"/>
      <c r="J39" s="99">
        <v>0.35833333333333334</v>
      </c>
      <c r="K39" s="99">
        <v>0.1701388888888889</v>
      </c>
      <c r="L39" s="98"/>
      <c r="M39" s="98"/>
      <c r="N39" s="88">
        <v>0.37569444444444444</v>
      </c>
      <c r="O39" s="101">
        <v>0.15833333333333333</v>
      </c>
      <c r="P39" s="95"/>
      <c r="Q39" s="95"/>
      <c r="R39" s="91"/>
      <c r="S39" s="91"/>
      <c r="T39" s="85"/>
      <c r="U39" s="85"/>
      <c r="V39" s="88">
        <v>0.38472222222222224</v>
      </c>
      <c r="W39" s="88">
        <v>0.16666666666666666</v>
      </c>
      <c r="X39" s="85"/>
      <c r="Y39" s="85"/>
      <c r="Z39" s="88">
        <v>0.36388888888888887</v>
      </c>
      <c r="AA39" s="88">
        <v>0.16805555555555557</v>
      </c>
      <c r="AB39" s="85"/>
      <c r="AC39" s="85"/>
      <c r="AD39" s="95"/>
      <c r="AE39" s="95"/>
      <c r="AF39" s="91"/>
      <c r="AG39" s="91"/>
      <c r="AH39" s="96"/>
      <c r="AI39" s="96"/>
      <c r="AJ39" s="85"/>
      <c r="AK39" s="85"/>
      <c r="AL39" s="88">
        <v>0.37291666666666667</v>
      </c>
      <c r="AM39" s="88">
        <v>0.1701388888888889</v>
      </c>
      <c r="AN39" s="85"/>
      <c r="AO39" s="85"/>
      <c r="AP39" s="88">
        <v>0.37430555555555556</v>
      </c>
      <c r="AQ39" s="88">
        <v>0.15833333333333333</v>
      </c>
      <c r="AR39" s="95"/>
      <c r="AS39" s="95"/>
      <c r="AT39" s="91"/>
      <c r="AU39" s="91"/>
      <c r="AV39" s="85"/>
      <c r="AW39" s="85"/>
      <c r="AX39" s="88">
        <v>0.3659722222222222</v>
      </c>
      <c r="AY39" s="88">
        <v>0.15763888888888888</v>
      </c>
      <c r="AZ39" s="85"/>
      <c r="BA39" s="85"/>
      <c r="BB39" s="88">
        <v>0.375</v>
      </c>
      <c r="BC39" s="88">
        <v>0.17916666666666667</v>
      </c>
      <c r="BD39" s="85"/>
      <c r="BE39" s="85"/>
      <c r="BF39" s="95"/>
      <c r="BG39" s="95"/>
      <c r="BH39" s="91"/>
      <c r="BI39" s="91"/>
      <c r="BJ39" s="85"/>
      <c r="BK39" s="85"/>
      <c r="BL39" s="99">
        <v>0.3611111111111111</v>
      </c>
      <c r="BM39" s="99">
        <v>0.17569444444444443</v>
      </c>
      <c r="BN39" s="85">
        <f>SUM(IF(AND(D39&lt;&gt;"",WEEKDAY(D$1,2)&lt;6),1,0),IF(AND(F39&lt;&gt;"",WEEKDAY(F$1,2)&lt;6),1,0),IF(AND(H39&lt;&gt;"",WEEKDAY(H$1,2)&lt;6),1,0),IF(AND(J39&lt;&gt;"",WEEKDAY(J$1,2)&lt;6),1,0),IF(AND(L39&lt;&gt;"",WEEKDAY(L$1,2)&lt;6),1,0),IF(AND(N39&lt;&gt;"",WEEKDAY(N$1,2)&lt;6),1,0),IF(AND(P39&lt;&gt;"",WEEKDAY(P$1,2)&lt;6),1,0),IF(AND(R39&lt;&gt;"",WEEKDAY(R$1,2)&lt;6),1,0),IF(AND(T39&lt;&gt;"",WEEKDAY(T$1,2)&lt;6),1,0),IF(AND(V39&lt;&gt;"",WEEKDAY(V$1,2)&lt;6),1,0),IF(AND(X39&lt;&gt;"",WEEKDAY(X$1,2)&lt;6),1,0),IF(AND(Z39&lt;&gt;"",WEEKDAY(Z$1,2)&lt;6),1,0),IF(AND(AB39&lt;&gt;"",WEEKDAY(AB$1,2)&lt;6),1,0),IF(AND(AD39&lt;&gt;"",WEEKDAY(AD$1,2)&lt;6),1,0),IF(AND(AF39&lt;&gt;"",WEEKDAY(AF$1,2)&lt;6),1,0),IF(AND(AH39&lt;&gt;"",WEEKDAY(AH$1,2)&lt;6),1,0),IF(AND(AJ39&lt;&gt;"",WEEKDAY(AJ$1,2)&lt;6),1,0),IF(AND(AL39&lt;&gt;"",WEEKDAY(AL$1,2)&lt;6),1,0),IF(AND(AN39&lt;&gt;"",WEEKDAY(AN$1,2)&lt;6),1,0),IF(AND(AP39&lt;&gt;"",WEEKDAY(AP$1,2)&lt;6),1,0),IF(AND(AR39&lt;&gt;"",WEEKDAY(AR$1,2)&lt;6),1,0),IF(AND(AT39&lt;&gt;"",WEEKDAY(AT$1,2)&lt;6),1,0),IF(AND(AV39&lt;&gt;"",WEEKDAY(AV$1,2)&lt;6),1,0),IF(AND(AX39&lt;&gt;"",WEEKDAY(AX$1,2)&lt;6),1,0),IF(AND(AZ39&lt;&gt;"",WEEKDAY(AZ$1,2)&lt;6),1,0),IF(AND(BB39&lt;&gt;"",WEEKDAY(BB$1,2)&lt;6),1,0),IF(AND(BD39&lt;&gt;"",WEEKDAY(BD$1,2)&lt;6),1,0),IF(AND(BF39&lt;&gt;"",WEEKDAY(BF$1,2)&lt;6),1,0),IF(AND(BH39&lt;&gt;"",WEEKDAY(BH$1,2)&lt;6),1,0),IF(AND(BJ39&lt;&gt;"",WEEKDAY(BJ$1,2)&lt;6),1,0),IF(AND(BL39&lt;&gt;"",WEEKDAY(BL$1,2)&lt;6),1,0))</f>
        <v>9</v>
      </c>
      <c r="BO39" s="85">
        <f>SUM(IF(AND(E39&lt;&gt;"",WEEKDAY(D$1,2)&lt;6),1,0),IF(AND(G39&lt;&gt;"",WEEKDAY(F$1,2)&lt;6),1,0),IF(AND(I39&lt;&gt;"",WEEKDAY(H$1,2)&lt;6),1,0),IF(AND(K39&lt;&gt;"",WEEKDAY(J$1,2)&lt;6),1,0),IF(AND(M39&lt;&gt;"",WEEKDAY(L$1,2)&lt;6),1,0),IF(AND(O39&lt;&gt;"",WEEKDAY(N$1,2)&lt;6),1,0),IF(AND(Q39&lt;&gt;"",WEEKDAY(P$1,2)&lt;6),1,0),IF(AND(S39&lt;&gt;"",WEEKDAY(R$1,2)&lt;6),1,0),IF(AND(U39&lt;&gt;"",WEEKDAY(T$1,2)&lt;6),1,0),IF(AND(W39&lt;&gt;"",WEEKDAY(V$1,2)&lt;6),1,0),IF(AND(Y39&lt;&gt;"",WEEKDAY(X$1,2)&lt;6),1,0),IF(AND(AA39&lt;&gt;"",WEEKDAY(Z$1,2)&lt;6),1,0),IF(AND(AC39&lt;&gt;"",WEEKDAY(AB$1,2)&lt;6),1,0),IF(AND(AE39&lt;&gt;"",WEEKDAY(AD$1,2)&lt;6),1,0),IF(AND(AG39&lt;&gt;"",WEEKDAY(AF$1,2)&lt;6),1,0),IF(AND(AI39&lt;&gt;"",WEEKDAY(AH$1,2)&lt;6),1,0),IF(AND(AK39&lt;&gt;"",WEEKDAY(AJ$1,2)&lt;6),1,0),IF(AND(AM39&lt;&gt;"",WEEKDAY(AL$1,2)&lt;6),1,0),IF(AND(AO39&lt;&gt;"",WEEKDAY(AN$1,2)&lt;6),1,0),IF(AND(AQ39&lt;&gt;"",WEEKDAY(AP$1,2)&lt;6),1,0),IF(AND(AS39&lt;&gt;"",WEEKDAY(AR$1,2)&lt;6),1,0),IF(AND(AU39&lt;&gt;"",WEEKDAY(AT$1,2)&lt;6),1,0),IF(AND(AW39&lt;&gt;"",WEEKDAY(AV$1,2)&lt;6),1,0),IF(AND(AY39&lt;&gt;"",WEEKDAY(AX$1,2)&lt;6),1,0),IF(AND(BA39&lt;&gt;"",WEEKDAY(AZ$1,2)&lt;6),1,0),IF(AND(BC39&lt;&gt;"",WEEKDAY(BB$1,2)&lt;6),1,0),IF(AND(BE39&lt;&gt;"",WEEKDAY(BD$1,2)&lt;6),1,0),IF(AND(BG39&lt;&gt;"",WEEKDAY(BF$1,2)&lt;6),1,0),IF(AND(BI39&lt;&gt;"",WEEKDAY(BH$1,2)&lt;6),1,0),IF(AND(BK39&lt;&gt;"",WEEKDAY(BJ$1,2)&lt;6),1,0),IF(AND(BM39&lt;&gt;"",WEEKDAY(BL$1,2)&lt;6),1,0))</f>
        <v>9</v>
      </c>
      <c r="BP39" s="85">
        <f>SUM(IF(AND((D39&lt;&gt;"")+(E39&lt;&gt;""),WEEKDAY(D$1,2)=6),1,0),IF(AND((F39&lt;&gt;"")+(G39&lt;&gt;""),WEEKDAY(F$1,2)=6),1,0),IF(AND((H39&lt;&gt;"")+(I39&lt;&gt;""),WEEKDAY(H$1,2)=6),1,0),IF(AND((J39&lt;&gt;"")+(K39&lt;&gt;""),WEEKDAY(J$1,2)=6),1,0),IF(AND((L39&lt;&gt;"")+(M39&lt;&gt;""),WEEKDAY(L$1,2)=6),1,0),IF(AND((N39&lt;&gt;"")+(O39&lt;&gt;""),WEEKDAY(N$1,2)=6),1,0),IF(AND((P39&lt;&gt;"")+(Q39&lt;&gt;""),WEEKDAY(P$1,2)=6),1,0),IF(AND((R39&lt;&gt;"")+(S39&lt;&gt;""),WEEKDAY(R$1,2)=6),1,0),IF(AND((T39&lt;&gt;"")+(U39&lt;&gt;""),WEEKDAY(T$1,2)=6),1,0),IF(AND((V39&lt;&gt;"")+(W39&lt;&gt;""),WEEKDAY(V$1,2)=6),1,0),IF(AND((X39&lt;&gt;"")+(Y39&lt;&gt;""),WEEKDAY(X$1,2)=6),1,0),IF(AND((Z39&lt;&gt;"")+(AA39&lt;&gt;""),WEEKDAY(Z$1,2)=6),1,0),IF(AND((AB39&lt;&gt;"")+(AC39&lt;&gt;""),WEEKDAY(AB$1,2)=6),1,0),IF(AND((AD39&lt;&gt;"")+(AE39&lt;&gt;""),WEEKDAY(AD$1,2)=6),1,0),IF(AND((AF39&lt;&gt;"")+(AG39&lt;&gt;""),WEEKDAY(AF$1,2)=6),1,0),IF(AND((AH39&lt;&gt;"")+(AI39&lt;&gt;""),WEEKDAY(AH$1,2)=6),1,0),IF(AND((AJ39&lt;&gt;"")+(AK39&lt;&gt;""),WEEKDAY(AJ$1,2)=6),1,0),IF(AND((AL39&lt;&gt;"")+(AM39&lt;&gt;""),WEEKDAY(AL$1,2)=6),1,0),IF(AND((AN39&lt;&gt;"")+(AO39&lt;&gt;""),WEEKDAY(AN$1,2)=6),1,0),IF(AND((AP39&lt;&gt;"")+(AQ39&lt;&gt;""),WEEKDAY(AP$1,2)=6),1,0),IF(AND((AR39&lt;&gt;"")+(AS39&lt;&gt;""),WEEKDAY(AR$1,2)=6),1,0),IF(AND((AT39&lt;&gt;"")+(AU39&lt;&gt;""),WEEKDAY(AT$1,2)=6),1,0),IF(AND((AV39&lt;&gt;"")+(AW39&lt;&gt;""),WEEKDAY(AV$1,2)=6),1,0),IF(AND((AX39&lt;&gt;"")+(AY39&lt;&gt;""),WEEKDAY(AX$1,2)=6),1,0),IF(AND((AZ39&lt;&gt;"")+(BA39&lt;&gt;""),WEEKDAY(AZ$1,2)=6),1,0),IF(AND((BB39&lt;&gt;"")+(BC39&lt;&gt;""),WEEKDAY(BB$1,2)=6),1,0),IF(AND((BD39&lt;&gt;"")+(BE39&lt;&gt;""),WEEKDAY(BD$1,2)=6),1,0),IF(AND((BF39&lt;&gt;"")+(BG39&lt;&gt;""),WEEKDAY(BF$1,2)=6),1,0),IF(AND((BH39&lt;&gt;"")+(BI39&lt;&gt;""),WEEKDAY(BH$1,2)=6),1,0),IF(AND((BJ39&lt;&gt;"")+(BK39&lt;&gt;""),WEEKDAY(BJ$1,2)=6),1,0),IF(AND((BL39&lt;&gt;"")+(BM39&lt;&gt;""),WEEKDAY(BL$1,2)=6),1,0))</f>
        <v>0</v>
      </c>
    </row>
    <row r="40" spans="1:68" ht="16.5">
      <c r="A40" s="86" t="s">
        <v>56</v>
      </c>
      <c r="B40" s="86" t="s">
        <v>60</v>
      </c>
      <c r="C40" s="92" t="s">
        <v>62</v>
      </c>
      <c r="D40" s="91"/>
      <c r="E40" s="91"/>
      <c r="F40" s="85"/>
      <c r="G40" s="85"/>
      <c r="H40" s="88">
        <v>0.38333333333333336</v>
      </c>
      <c r="I40" s="99">
        <v>0.16875000000000001</v>
      </c>
      <c r="J40" s="98"/>
      <c r="K40" s="98"/>
      <c r="L40" s="99">
        <v>0.35694444444444445</v>
      </c>
      <c r="M40" s="99">
        <v>0.16597222222222222</v>
      </c>
      <c r="N40" s="85"/>
      <c r="O40" s="85"/>
      <c r="P40" s="102">
        <v>0.37013888888888891</v>
      </c>
      <c r="Q40" s="95"/>
      <c r="R40" s="91"/>
      <c r="S40" s="91"/>
      <c r="T40" s="88">
        <v>0.36249999999999999</v>
      </c>
      <c r="U40" s="88">
        <v>0.16597222222222222</v>
      </c>
      <c r="V40" s="85"/>
      <c r="W40" s="85"/>
      <c r="X40" s="88">
        <v>0.37777777777777777</v>
      </c>
      <c r="Y40" s="88">
        <v>0.16597222222222222</v>
      </c>
      <c r="Z40" s="85"/>
      <c r="AA40" s="85"/>
      <c r="AB40" s="88">
        <v>0.38263888888888886</v>
      </c>
      <c r="AC40" s="88">
        <v>0.18472222222222223</v>
      </c>
      <c r="AD40" s="95"/>
      <c r="AE40" s="95"/>
      <c r="AF40" s="91"/>
      <c r="AG40" s="91"/>
      <c r="AH40" s="96"/>
      <c r="AI40" s="96"/>
      <c r="AJ40" s="88">
        <v>0.36458333333333331</v>
      </c>
      <c r="AK40" s="88">
        <v>0.15972222222222221</v>
      </c>
      <c r="AL40" s="85"/>
      <c r="AM40" s="85"/>
      <c r="AN40" s="88">
        <v>0.3840277777777778</v>
      </c>
      <c r="AO40" s="88">
        <v>0.1673611111111111</v>
      </c>
      <c r="AP40" s="85"/>
      <c r="AQ40" s="85"/>
      <c r="AR40" s="102">
        <v>0.3659722222222222</v>
      </c>
      <c r="AS40" s="95"/>
      <c r="AT40" s="91"/>
      <c r="AU40" s="91"/>
      <c r="AV40" s="88">
        <v>0.35972222222222222</v>
      </c>
      <c r="AW40" s="88">
        <v>0.19097222222222221</v>
      </c>
      <c r="AX40" s="85"/>
      <c r="AY40" s="85"/>
      <c r="AZ40" s="88">
        <v>0.37083333333333335</v>
      </c>
      <c r="BA40" s="88">
        <v>0.16666666666666666</v>
      </c>
      <c r="BB40" s="85"/>
      <c r="BC40" s="85"/>
      <c r="BD40" s="88">
        <v>0.4236111111111111</v>
      </c>
      <c r="BE40" s="85"/>
      <c r="BF40" s="95"/>
      <c r="BG40" s="95"/>
      <c r="BH40" s="91"/>
      <c r="BI40" s="91"/>
      <c r="BJ40" s="88">
        <v>0.42430555555555555</v>
      </c>
      <c r="BK40" s="88">
        <v>0.16041666666666668</v>
      </c>
      <c r="BL40" s="98"/>
      <c r="BM40" s="98"/>
      <c r="BN40" s="85">
        <f>SUM(IF(AND(D40&lt;&gt;"",WEEKDAY(D$1,2)&lt;6),1,0),IF(AND(F40&lt;&gt;"",WEEKDAY(F$1,2)&lt;6),1,0),IF(AND(H40&lt;&gt;"",WEEKDAY(H$1,2)&lt;6),1,0),IF(AND(J40&lt;&gt;"",WEEKDAY(J$1,2)&lt;6),1,0),IF(AND(L40&lt;&gt;"",WEEKDAY(L$1,2)&lt;6),1,0),IF(AND(N40&lt;&gt;"",WEEKDAY(N$1,2)&lt;6),1,0),IF(AND(P40&lt;&gt;"",WEEKDAY(P$1,2)&lt;6),1,0),IF(AND(R40&lt;&gt;"",WEEKDAY(R$1,2)&lt;6),1,0),IF(AND(T40&lt;&gt;"",WEEKDAY(T$1,2)&lt;6),1,0),IF(AND(V40&lt;&gt;"",WEEKDAY(V$1,2)&lt;6),1,0),IF(AND(X40&lt;&gt;"",WEEKDAY(X$1,2)&lt;6),1,0),IF(AND(Z40&lt;&gt;"",WEEKDAY(Z$1,2)&lt;6),1,0),IF(AND(AB40&lt;&gt;"",WEEKDAY(AB$1,2)&lt;6),1,0),IF(AND(AD40&lt;&gt;"",WEEKDAY(AD$1,2)&lt;6),1,0),IF(AND(AF40&lt;&gt;"",WEEKDAY(AF$1,2)&lt;6),1,0),IF(AND(AH40&lt;&gt;"",WEEKDAY(AH$1,2)&lt;6),1,0),IF(AND(AJ40&lt;&gt;"",WEEKDAY(AJ$1,2)&lt;6),1,0),IF(AND(AL40&lt;&gt;"",WEEKDAY(AL$1,2)&lt;6),1,0),IF(AND(AN40&lt;&gt;"",WEEKDAY(AN$1,2)&lt;6),1,0),IF(AND(AP40&lt;&gt;"",WEEKDAY(AP$1,2)&lt;6),1,0),IF(AND(AR40&lt;&gt;"",WEEKDAY(AR$1,2)&lt;6),1,0),IF(AND(AT40&lt;&gt;"",WEEKDAY(AT$1,2)&lt;6),1,0),IF(AND(AV40&lt;&gt;"",WEEKDAY(AV$1,2)&lt;6),1,0),IF(AND(AX40&lt;&gt;"",WEEKDAY(AX$1,2)&lt;6),1,0),IF(AND(AZ40&lt;&gt;"",WEEKDAY(AZ$1,2)&lt;6),1,0),IF(AND(BB40&lt;&gt;"",WEEKDAY(BB$1,2)&lt;6),1,0),IF(AND(BD40&lt;&gt;"",WEEKDAY(BD$1,2)&lt;6),1,0),IF(AND(BF40&lt;&gt;"",WEEKDAY(BF$1,2)&lt;6),1,0),IF(AND(BH40&lt;&gt;"",WEEKDAY(BH$1,2)&lt;6),1,0),IF(AND(BJ40&lt;&gt;"",WEEKDAY(BJ$1,2)&lt;6),1,0),IF(AND(BL40&lt;&gt;"",WEEKDAY(BL$1,2)&lt;6),1,0))</f>
        <v>11</v>
      </c>
      <c r="BO40" s="85">
        <f>SUM(IF(AND(E40&lt;&gt;"",WEEKDAY(D$1,2)&lt;6),1,0),IF(AND(G40&lt;&gt;"",WEEKDAY(F$1,2)&lt;6),1,0),IF(AND(I40&lt;&gt;"",WEEKDAY(H$1,2)&lt;6),1,0),IF(AND(K40&lt;&gt;"",WEEKDAY(J$1,2)&lt;6),1,0),IF(AND(M40&lt;&gt;"",WEEKDAY(L$1,2)&lt;6),1,0),IF(AND(O40&lt;&gt;"",WEEKDAY(N$1,2)&lt;6),1,0),IF(AND(Q40&lt;&gt;"",WEEKDAY(P$1,2)&lt;6),1,0),IF(AND(S40&lt;&gt;"",WEEKDAY(R$1,2)&lt;6),1,0),IF(AND(U40&lt;&gt;"",WEEKDAY(T$1,2)&lt;6),1,0),IF(AND(W40&lt;&gt;"",WEEKDAY(V$1,2)&lt;6),1,0),IF(AND(Y40&lt;&gt;"",WEEKDAY(X$1,2)&lt;6),1,0),IF(AND(AA40&lt;&gt;"",WEEKDAY(Z$1,2)&lt;6),1,0),IF(AND(AC40&lt;&gt;"",WEEKDAY(AB$1,2)&lt;6),1,0),IF(AND(AE40&lt;&gt;"",WEEKDAY(AD$1,2)&lt;6),1,0),IF(AND(AG40&lt;&gt;"",WEEKDAY(AF$1,2)&lt;6),1,0),IF(AND(AI40&lt;&gt;"",WEEKDAY(AH$1,2)&lt;6),1,0),IF(AND(AK40&lt;&gt;"",WEEKDAY(AJ$1,2)&lt;6),1,0),IF(AND(AM40&lt;&gt;"",WEEKDAY(AL$1,2)&lt;6),1,0),IF(AND(AO40&lt;&gt;"",WEEKDAY(AN$1,2)&lt;6),1,0),IF(AND(AQ40&lt;&gt;"",WEEKDAY(AP$1,2)&lt;6),1,0),IF(AND(AS40&lt;&gt;"",WEEKDAY(AR$1,2)&lt;6),1,0),IF(AND(AU40&lt;&gt;"",WEEKDAY(AT$1,2)&lt;6),1,0),IF(AND(AW40&lt;&gt;"",WEEKDAY(AV$1,2)&lt;6),1,0),IF(AND(AY40&lt;&gt;"",WEEKDAY(AX$1,2)&lt;6),1,0),IF(AND(BA40&lt;&gt;"",WEEKDAY(AZ$1,2)&lt;6),1,0),IF(AND(BC40&lt;&gt;"",WEEKDAY(BB$1,2)&lt;6),1,0),IF(AND(BE40&lt;&gt;"",WEEKDAY(BD$1,2)&lt;6),1,0),IF(AND(BG40&lt;&gt;"",WEEKDAY(BF$1,2)&lt;6),1,0),IF(AND(BI40&lt;&gt;"",WEEKDAY(BH$1,2)&lt;6),1,0),IF(AND(BK40&lt;&gt;"",WEEKDAY(BJ$1,2)&lt;6),1,0),IF(AND(BM40&lt;&gt;"",WEEKDAY(BL$1,2)&lt;6),1,0))</f>
        <v>10</v>
      </c>
      <c r="BP40" s="85">
        <f>SUM(IF(AND((D40&lt;&gt;"")+(E40&lt;&gt;""),WEEKDAY(D$1,2)=6),1,0),IF(AND((F40&lt;&gt;"")+(G40&lt;&gt;""),WEEKDAY(F$1,2)=6),1,0),IF(AND((H40&lt;&gt;"")+(I40&lt;&gt;""),WEEKDAY(H$1,2)=6),1,0),IF(AND((J40&lt;&gt;"")+(K40&lt;&gt;""),WEEKDAY(J$1,2)=6),1,0),IF(AND((L40&lt;&gt;"")+(M40&lt;&gt;""),WEEKDAY(L$1,2)=6),1,0),IF(AND((N40&lt;&gt;"")+(O40&lt;&gt;""),WEEKDAY(N$1,2)=6),1,0),IF(AND((P40&lt;&gt;"")+(Q40&lt;&gt;""),WEEKDAY(P$1,2)=6),1,0),IF(AND((R40&lt;&gt;"")+(S40&lt;&gt;""),WEEKDAY(R$1,2)=6),1,0),IF(AND((T40&lt;&gt;"")+(U40&lt;&gt;""),WEEKDAY(T$1,2)=6),1,0),IF(AND((V40&lt;&gt;"")+(W40&lt;&gt;""),WEEKDAY(V$1,2)=6),1,0),IF(AND((X40&lt;&gt;"")+(Y40&lt;&gt;""),WEEKDAY(X$1,2)=6),1,0),IF(AND((Z40&lt;&gt;"")+(AA40&lt;&gt;""),WEEKDAY(Z$1,2)=6),1,0),IF(AND((AB40&lt;&gt;"")+(AC40&lt;&gt;""),WEEKDAY(AB$1,2)=6),1,0),IF(AND((AD40&lt;&gt;"")+(AE40&lt;&gt;""),WEEKDAY(AD$1,2)=6),1,0),IF(AND((AF40&lt;&gt;"")+(AG40&lt;&gt;""),WEEKDAY(AF$1,2)=6),1,0),IF(AND((AH40&lt;&gt;"")+(AI40&lt;&gt;""),WEEKDAY(AH$1,2)=6),1,0),IF(AND((AJ40&lt;&gt;"")+(AK40&lt;&gt;""),WEEKDAY(AJ$1,2)=6),1,0),IF(AND((AL40&lt;&gt;"")+(AM40&lt;&gt;""),WEEKDAY(AL$1,2)=6),1,0),IF(AND((AN40&lt;&gt;"")+(AO40&lt;&gt;""),WEEKDAY(AN$1,2)=6),1,0),IF(AND((AP40&lt;&gt;"")+(AQ40&lt;&gt;""),WEEKDAY(AP$1,2)=6),1,0),IF(AND((AR40&lt;&gt;"")+(AS40&lt;&gt;""),WEEKDAY(AR$1,2)=6),1,0),IF(AND((AT40&lt;&gt;"")+(AU40&lt;&gt;""),WEEKDAY(AT$1,2)=6),1,0),IF(AND((AV40&lt;&gt;"")+(AW40&lt;&gt;""),WEEKDAY(AV$1,2)=6),1,0),IF(AND((AX40&lt;&gt;"")+(AY40&lt;&gt;""),WEEKDAY(AX$1,2)=6),1,0),IF(AND((AZ40&lt;&gt;"")+(BA40&lt;&gt;""),WEEKDAY(AZ$1,2)=6),1,0),IF(AND((BB40&lt;&gt;"")+(BC40&lt;&gt;""),WEEKDAY(BB$1,2)=6),1,0),IF(AND((BD40&lt;&gt;"")+(BE40&lt;&gt;""),WEEKDAY(BD$1,2)=6),1,0),IF(AND((BF40&lt;&gt;"")+(BG40&lt;&gt;""),WEEKDAY(BF$1,2)=6),1,0),IF(AND((BH40&lt;&gt;"")+(BI40&lt;&gt;""),WEEKDAY(BH$1,2)=6),1,0),IF(AND((BJ40&lt;&gt;"")+(BK40&lt;&gt;""),WEEKDAY(BJ$1,2)=6),1,0),IF(AND((BL40&lt;&gt;"")+(BM40&lt;&gt;""),WEEKDAY(BL$1,2)=6),1,0))</f>
        <v>2</v>
      </c>
    </row>
    <row r="41" spans="1:68" ht="16.5">
      <c r="A41" s="86" t="s">
        <v>56</v>
      </c>
      <c r="B41" s="86" t="s">
        <v>63</v>
      </c>
      <c r="C41" s="92" t="s">
        <v>64</v>
      </c>
      <c r="D41" s="91"/>
      <c r="E41" s="91"/>
      <c r="F41" s="85"/>
      <c r="G41" s="85"/>
      <c r="H41" s="85"/>
      <c r="I41" s="85"/>
      <c r="J41" s="98"/>
      <c r="K41" s="99">
        <v>0.22361111111111112</v>
      </c>
      <c r="L41" s="98"/>
      <c r="M41" s="98"/>
      <c r="N41" s="85"/>
      <c r="O41" s="85"/>
      <c r="P41" s="95"/>
      <c r="Q41" s="95"/>
      <c r="R41" s="91"/>
      <c r="S41" s="91"/>
      <c r="T41" s="85"/>
      <c r="U41" s="85"/>
      <c r="V41" s="85"/>
      <c r="W41" s="85"/>
      <c r="X41" s="88">
        <v>0.39583333333333331</v>
      </c>
      <c r="Y41" s="85"/>
      <c r="Z41" s="85"/>
      <c r="AA41" s="85"/>
      <c r="AB41" s="88">
        <v>0.38750000000000001</v>
      </c>
      <c r="AC41" s="85"/>
      <c r="AD41" s="95"/>
      <c r="AE41" s="95"/>
      <c r="AF41" s="91"/>
      <c r="AG41" s="91"/>
      <c r="AH41" s="96"/>
      <c r="AI41" s="96"/>
      <c r="AJ41" s="85"/>
      <c r="AK41" s="85"/>
      <c r="AL41" s="85"/>
      <c r="AM41" s="85"/>
      <c r="AN41" s="88">
        <v>0</v>
      </c>
      <c r="AO41" s="88">
        <v>0.12222222222222222</v>
      </c>
      <c r="AP41" s="88">
        <v>0</v>
      </c>
      <c r="AQ41" s="88">
        <v>0</v>
      </c>
      <c r="AR41" s="95"/>
      <c r="AS41" s="95"/>
      <c r="AT41" s="91"/>
      <c r="AU41" s="91"/>
      <c r="AV41" s="88">
        <v>0</v>
      </c>
      <c r="AW41" s="88">
        <v>0</v>
      </c>
      <c r="AX41" s="88">
        <v>0</v>
      </c>
      <c r="AY41" s="88">
        <v>0</v>
      </c>
      <c r="AZ41" s="88">
        <v>0</v>
      </c>
      <c r="BA41" s="88">
        <v>0</v>
      </c>
      <c r="BB41" s="88">
        <v>0</v>
      </c>
      <c r="BC41" s="88">
        <v>0</v>
      </c>
      <c r="BD41" s="88">
        <v>0</v>
      </c>
      <c r="BE41" s="88">
        <v>0</v>
      </c>
      <c r="BF41" s="95"/>
      <c r="BG41" s="95"/>
      <c r="BH41" s="91"/>
      <c r="BI41" s="91"/>
      <c r="BJ41" s="85"/>
      <c r="BK41" s="85"/>
      <c r="BL41" s="98"/>
      <c r="BM41" s="98"/>
      <c r="BN41" s="85">
        <f>SUM(IF(AND(D41&lt;&gt;"",WEEKDAY(D$1,2)&lt;6),1,0),IF(AND(F41&lt;&gt;"",WEEKDAY(F$1,2)&lt;6),1,0),IF(AND(H41&lt;&gt;"",WEEKDAY(H$1,2)&lt;6),1,0),IF(AND(J41&lt;&gt;"",WEEKDAY(J$1,2)&lt;6),1,0),IF(AND(L41&lt;&gt;"",WEEKDAY(L$1,2)&lt;6),1,0),IF(AND(N41&lt;&gt;"",WEEKDAY(N$1,2)&lt;6),1,0),IF(AND(P41&lt;&gt;"",WEEKDAY(P$1,2)&lt;6),1,0),IF(AND(R41&lt;&gt;"",WEEKDAY(R$1,2)&lt;6),1,0),IF(AND(T41&lt;&gt;"",WEEKDAY(T$1,2)&lt;6),1,0),IF(AND(V41&lt;&gt;"",WEEKDAY(V$1,2)&lt;6),1,0),IF(AND(X41&lt;&gt;"",WEEKDAY(X$1,2)&lt;6),1,0),IF(AND(Z41&lt;&gt;"",WEEKDAY(Z$1,2)&lt;6),1,0),IF(AND(AB41&lt;&gt;"",WEEKDAY(AB$1,2)&lt;6),1,0),IF(AND(AD41&lt;&gt;"",WEEKDAY(AD$1,2)&lt;6),1,0),IF(AND(AF41&lt;&gt;"",WEEKDAY(AF$1,2)&lt;6),1,0),IF(AND(AH41&lt;&gt;"",WEEKDAY(AH$1,2)&lt;6),1,0),IF(AND(AJ41&lt;&gt;"",WEEKDAY(AJ$1,2)&lt;6),1,0),IF(AND(AL41&lt;&gt;"",WEEKDAY(AL$1,2)&lt;6),1,0),IF(AND(AN41&lt;&gt;"",WEEKDAY(AN$1,2)&lt;6),1,0),IF(AND(AP41&lt;&gt;"",WEEKDAY(AP$1,2)&lt;6),1,0),IF(AND(AR41&lt;&gt;"",WEEKDAY(AR$1,2)&lt;6),1,0),IF(AND(AT41&lt;&gt;"",WEEKDAY(AT$1,2)&lt;6),1,0),IF(AND(AV41&lt;&gt;"",WEEKDAY(AV$1,2)&lt;6),1,0),IF(AND(AX41&lt;&gt;"",WEEKDAY(AX$1,2)&lt;6),1,0),IF(AND(AZ41&lt;&gt;"",WEEKDAY(AZ$1,2)&lt;6),1,0),IF(AND(BB41&lt;&gt;"",WEEKDAY(BB$1,2)&lt;6),1,0),IF(AND(BD41&lt;&gt;"",WEEKDAY(BD$1,2)&lt;6),1,0),IF(AND(BF41&lt;&gt;"",WEEKDAY(BF$1,2)&lt;6),1,0),IF(AND(BH41&lt;&gt;"",WEEKDAY(BH$1,2)&lt;6),1,0),IF(AND(BJ41&lt;&gt;"",WEEKDAY(BJ$1,2)&lt;6),1,0),IF(AND(BL41&lt;&gt;"",WEEKDAY(BL$1,2)&lt;6),1,0))</f>
        <v>9</v>
      </c>
      <c r="BO41" s="85">
        <f>SUM(IF(AND(E41&lt;&gt;"",WEEKDAY(D$1,2)&lt;6),1,0),IF(AND(G41&lt;&gt;"",WEEKDAY(F$1,2)&lt;6),1,0),IF(AND(I41&lt;&gt;"",WEEKDAY(H$1,2)&lt;6),1,0),IF(AND(K41&lt;&gt;"",WEEKDAY(J$1,2)&lt;6),1,0),IF(AND(M41&lt;&gt;"",WEEKDAY(L$1,2)&lt;6),1,0),IF(AND(O41&lt;&gt;"",WEEKDAY(N$1,2)&lt;6),1,0),IF(AND(Q41&lt;&gt;"",WEEKDAY(P$1,2)&lt;6),1,0),IF(AND(S41&lt;&gt;"",WEEKDAY(R$1,2)&lt;6),1,0),IF(AND(U41&lt;&gt;"",WEEKDAY(T$1,2)&lt;6),1,0),IF(AND(W41&lt;&gt;"",WEEKDAY(V$1,2)&lt;6),1,0),IF(AND(Y41&lt;&gt;"",WEEKDAY(X$1,2)&lt;6),1,0),IF(AND(AA41&lt;&gt;"",WEEKDAY(Z$1,2)&lt;6),1,0),IF(AND(AC41&lt;&gt;"",WEEKDAY(AB$1,2)&lt;6),1,0),IF(AND(AE41&lt;&gt;"",WEEKDAY(AD$1,2)&lt;6),1,0),IF(AND(AG41&lt;&gt;"",WEEKDAY(AF$1,2)&lt;6),1,0),IF(AND(AI41&lt;&gt;"",WEEKDAY(AH$1,2)&lt;6),1,0),IF(AND(AK41&lt;&gt;"",WEEKDAY(AJ$1,2)&lt;6),1,0),IF(AND(AM41&lt;&gt;"",WEEKDAY(AL$1,2)&lt;6),1,0),IF(AND(AO41&lt;&gt;"",WEEKDAY(AN$1,2)&lt;6),1,0),IF(AND(AQ41&lt;&gt;"",WEEKDAY(AP$1,2)&lt;6),1,0),IF(AND(AS41&lt;&gt;"",WEEKDAY(AR$1,2)&lt;6),1,0),IF(AND(AU41&lt;&gt;"",WEEKDAY(AT$1,2)&lt;6),1,0),IF(AND(AW41&lt;&gt;"",WEEKDAY(AV$1,2)&lt;6),1,0),IF(AND(AY41&lt;&gt;"",WEEKDAY(AX$1,2)&lt;6),1,0),IF(AND(BA41&lt;&gt;"",WEEKDAY(AZ$1,2)&lt;6),1,0),IF(AND(BC41&lt;&gt;"",WEEKDAY(BB$1,2)&lt;6),1,0),IF(AND(BE41&lt;&gt;"",WEEKDAY(BD$1,2)&lt;6),1,0),IF(AND(BG41&lt;&gt;"",WEEKDAY(BF$1,2)&lt;6),1,0),IF(AND(BI41&lt;&gt;"",WEEKDAY(BH$1,2)&lt;6),1,0),IF(AND(BK41&lt;&gt;"",WEEKDAY(BJ$1,2)&lt;6),1,0),IF(AND(BM41&lt;&gt;"",WEEKDAY(BL$1,2)&lt;6),1,0))</f>
        <v>8</v>
      </c>
      <c r="BP41" s="85">
        <f>SUM(IF(AND((D41&lt;&gt;"")+(E41&lt;&gt;""),WEEKDAY(D$1,2)=6),1,0),IF(AND((F41&lt;&gt;"")+(G41&lt;&gt;""),WEEKDAY(F$1,2)=6),1,0),IF(AND((H41&lt;&gt;"")+(I41&lt;&gt;""),WEEKDAY(H$1,2)=6),1,0),IF(AND((J41&lt;&gt;"")+(K41&lt;&gt;""),WEEKDAY(J$1,2)=6),1,0),IF(AND((L41&lt;&gt;"")+(M41&lt;&gt;""),WEEKDAY(L$1,2)=6),1,0),IF(AND((N41&lt;&gt;"")+(O41&lt;&gt;""),WEEKDAY(N$1,2)=6),1,0),IF(AND((P41&lt;&gt;"")+(Q41&lt;&gt;""),WEEKDAY(P$1,2)=6),1,0),IF(AND((R41&lt;&gt;"")+(S41&lt;&gt;""),WEEKDAY(R$1,2)=6),1,0),IF(AND((T41&lt;&gt;"")+(U41&lt;&gt;""),WEEKDAY(T$1,2)=6),1,0),IF(AND((V41&lt;&gt;"")+(W41&lt;&gt;""),WEEKDAY(V$1,2)=6),1,0),IF(AND((X41&lt;&gt;"")+(Y41&lt;&gt;""),WEEKDAY(X$1,2)=6),1,0),IF(AND((Z41&lt;&gt;"")+(AA41&lt;&gt;""),WEEKDAY(Z$1,2)=6),1,0),IF(AND((AB41&lt;&gt;"")+(AC41&lt;&gt;""),WEEKDAY(AB$1,2)=6),1,0),IF(AND((AD41&lt;&gt;"")+(AE41&lt;&gt;""),WEEKDAY(AD$1,2)=6),1,0),IF(AND((AF41&lt;&gt;"")+(AG41&lt;&gt;""),WEEKDAY(AF$1,2)=6),1,0),IF(AND((AH41&lt;&gt;"")+(AI41&lt;&gt;""),WEEKDAY(AH$1,2)=6),1,0),IF(AND((AJ41&lt;&gt;"")+(AK41&lt;&gt;""),WEEKDAY(AJ$1,2)=6),1,0),IF(AND((AL41&lt;&gt;"")+(AM41&lt;&gt;""),WEEKDAY(AL$1,2)=6),1,0),IF(AND((AN41&lt;&gt;"")+(AO41&lt;&gt;""),WEEKDAY(AN$1,2)=6),1,0),IF(AND((AP41&lt;&gt;"")+(AQ41&lt;&gt;""),WEEKDAY(AP$1,2)=6),1,0),IF(AND((AR41&lt;&gt;"")+(AS41&lt;&gt;""),WEEKDAY(AR$1,2)=6),1,0),IF(AND((AT41&lt;&gt;"")+(AU41&lt;&gt;""),WEEKDAY(AT$1,2)=6),1,0),IF(AND((AV41&lt;&gt;"")+(AW41&lt;&gt;""),WEEKDAY(AV$1,2)=6),1,0),IF(AND((AX41&lt;&gt;"")+(AY41&lt;&gt;""),WEEKDAY(AX$1,2)=6),1,0),IF(AND((AZ41&lt;&gt;"")+(BA41&lt;&gt;""),WEEKDAY(AZ$1,2)=6),1,0),IF(AND((BB41&lt;&gt;"")+(BC41&lt;&gt;""),WEEKDAY(BB$1,2)=6),1,0),IF(AND((BD41&lt;&gt;"")+(BE41&lt;&gt;""),WEEKDAY(BD$1,2)=6),1,0),IF(AND((BF41&lt;&gt;"")+(BG41&lt;&gt;""),WEEKDAY(BF$1,2)=6),1,0),IF(AND((BH41&lt;&gt;"")+(BI41&lt;&gt;""),WEEKDAY(BH$1,2)=6),1,0),IF(AND((BJ41&lt;&gt;"")+(BK41&lt;&gt;""),WEEKDAY(BJ$1,2)=6),1,0),IF(AND((BL41&lt;&gt;"")+(BM41&lt;&gt;""),WEEKDAY(BL$1,2)=6),1,0))</f>
        <v>0</v>
      </c>
    </row>
    <row r="42" spans="1:68" ht="16.5">
      <c r="A42" s="86" t="s">
        <v>56</v>
      </c>
      <c r="B42" s="86" t="s">
        <v>63</v>
      </c>
      <c r="C42" s="92" t="s">
        <v>65</v>
      </c>
      <c r="D42" s="91"/>
      <c r="E42" s="91"/>
      <c r="F42" s="85"/>
      <c r="G42" s="85"/>
      <c r="H42" s="88">
        <v>0.38055555555555554</v>
      </c>
      <c r="I42" s="85"/>
      <c r="J42" s="98"/>
      <c r="K42" s="98"/>
      <c r="L42" s="98"/>
      <c r="M42" s="98"/>
      <c r="N42" s="85"/>
      <c r="O42" s="85"/>
      <c r="P42" s="95"/>
      <c r="Q42" s="95"/>
      <c r="R42" s="91"/>
      <c r="S42" s="91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95"/>
      <c r="AE42" s="95"/>
      <c r="AF42" s="91"/>
      <c r="AG42" s="91"/>
      <c r="AH42" s="96"/>
      <c r="AI42" s="96"/>
      <c r="AJ42" s="85"/>
      <c r="AK42" s="85"/>
      <c r="AL42" s="85"/>
      <c r="AM42" s="85"/>
      <c r="AN42" s="85"/>
      <c r="AO42" s="85"/>
      <c r="AP42" s="85"/>
      <c r="AQ42" s="85"/>
      <c r="AR42" s="95"/>
      <c r="AS42" s="95"/>
      <c r="AT42" s="91"/>
      <c r="AU42" s="91"/>
      <c r="AV42" s="85"/>
      <c r="AW42" s="85"/>
      <c r="AX42" s="85"/>
      <c r="AY42" s="85"/>
      <c r="AZ42" s="88">
        <v>0.43263888888888891</v>
      </c>
      <c r="BA42" s="85"/>
      <c r="BB42" s="85"/>
      <c r="BC42" s="85"/>
      <c r="BD42" s="85"/>
      <c r="BE42" s="85"/>
      <c r="BF42" s="95"/>
      <c r="BG42" s="95"/>
      <c r="BH42" s="91"/>
      <c r="BI42" s="91"/>
      <c r="BJ42" s="88">
        <v>0.46875</v>
      </c>
      <c r="BK42" s="88">
        <v>0.19791666666666666</v>
      </c>
      <c r="BL42" s="98"/>
      <c r="BM42" s="98"/>
      <c r="BN42" s="85">
        <f>SUM(IF(AND(D42&lt;&gt;"",WEEKDAY(D$1,2)&lt;6),1,0),IF(AND(F42&lt;&gt;"",WEEKDAY(F$1,2)&lt;6),1,0),IF(AND(H42&lt;&gt;"",WEEKDAY(H$1,2)&lt;6),1,0),IF(AND(J42&lt;&gt;"",WEEKDAY(J$1,2)&lt;6),1,0),IF(AND(L42&lt;&gt;"",WEEKDAY(L$1,2)&lt;6),1,0),IF(AND(N42&lt;&gt;"",WEEKDAY(N$1,2)&lt;6),1,0),IF(AND(P42&lt;&gt;"",WEEKDAY(P$1,2)&lt;6),1,0),IF(AND(R42&lt;&gt;"",WEEKDAY(R$1,2)&lt;6),1,0),IF(AND(T42&lt;&gt;"",WEEKDAY(T$1,2)&lt;6),1,0),IF(AND(V42&lt;&gt;"",WEEKDAY(V$1,2)&lt;6),1,0),IF(AND(X42&lt;&gt;"",WEEKDAY(X$1,2)&lt;6),1,0),IF(AND(Z42&lt;&gt;"",WEEKDAY(Z$1,2)&lt;6),1,0),IF(AND(AB42&lt;&gt;"",WEEKDAY(AB$1,2)&lt;6),1,0),IF(AND(AD42&lt;&gt;"",WEEKDAY(AD$1,2)&lt;6),1,0),IF(AND(AF42&lt;&gt;"",WEEKDAY(AF$1,2)&lt;6),1,0),IF(AND(AH42&lt;&gt;"",WEEKDAY(AH$1,2)&lt;6),1,0),IF(AND(AJ42&lt;&gt;"",WEEKDAY(AJ$1,2)&lt;6),1,0),IF(AND(AL42&lt;&gt;"",WEEKDAY(AL$1,2)&lt;6),1,0),IF(AND(AN42&lt;&gt;"",WEEKDAY(AN$1,2)&lt;6),1,0),IF(AND(AP42&lt;&gt;"",WEEKDAY(AP$1,2)&lt;6),1,0),IF(AND(AR42&lt;&gt;"",WEEKDAY(AR$1,2)&lt;6),1,0),IF(AND(AT42&lt;&gt;"",WEEKDAY(AT$1,2)&lt;6),1,0),IF(AND(AV42&lt;&gt;"",WEEKDAY(AV$1,2)&lt;6),1,0),IF(AND(AX42&lt;&gt;"",WEEKDAY(AX$1,2)&lt;6),1,0),IF(AND(AZ42&lt;&gt;"",WEEKDAY(AZ$1,2)&lt;6),1,0),IF(AND(BB42&lt;&gt;"",WEEKDAY(BB$1,2)&lt;6),1,0),IF(AND(BD42&lt;&gt;"",WEEKDAY(BD$1,2)&lt;6),1,0),IF(AND(BF42&lt;&gt;"",WEEKDAY(BF$1,2)&lt;6),1,0),IF(AND(BH42&lt;&gt;"",WEEKDAY(BH$1,2)&lt;6),1,0),IF(AND(BJ42&lt;&gt;"",WEEKDAY(BJ$1,2)&lt;6),1,0),IF(AND(BL42&lt;&gt;"",WEEKDAY(BL$1,2)&lt;6),1,0))</f>
        <v>3</v>
      </c>
      <c r="BO42" s="85">
        <f>SUM(IF(AND(E42&lt;&gt;"",WEEKDAY(D$1,2)&lt;6),1,0),IF(AND(G42&lt;&gt;"",WEEKDAY(F$1,2)&lt;6),1,0),IF(AND(I42&lt;&gt;"",WEEKDAY(H$1,2)&lt;6),1,0),IF(AND(K42&lt;&gt;"",WEEKDAY(J$1,2)&lt;6),1,0),IF(AND(M42&lt;&gt;"",WEEKDAY(L$1,2)&lt;6),1,0),IF(AND(O42&lt;&gt;"",WEEKDAY(N$1,2)&lt;6),1,0),IF(AND(Q42&lt;&gt;"",WEEKDAY(P$1,2)&lt;6),1,0),IF(AND(S42&lt;&gt;"",WEEKDAY(R$1,2)&lt;6),1,0),IF(AND(U42&lt;&gt;"",WEEKDAY(T$1,2)&lt;6),1,0),IF(AND(W42&lt;&gt;"",WEEKDAY(V$1,2)&lt;6),1,0),IF(AND(Y42&lt;&gt;"",WEEKDAY(X$1,2)&lt;6),1,0),IF(AND(AA42&lt;&gt;"",WEEKDAY(Z$1,2)&lt;6),1,0),IF(AND(AC42&lt;&gt;"",WEEKDAY(AB$1,2)&lt;6),1,0),IF(AND(AE42&lt;&gt;"",WEEKDAY(AD$1,2)&lt;6),1,0),IF(AND(AG42&lt;&gt;"",WEEKDAY(AF$1,2)&lt;6),1,0),IF(AND(AI42&lt;&gt;"",WEEKDAY(AH$1,2)&lt;6),1,0),IF(AND(AK42&lt;&gt;"",WEEKDAY(AJ$1,2)&lt;6),1,0),IF(AND(AM42&lt;&gt;"",WEEKDAY(AL$1,2)&lt;6),1,0),IF(AND(AO42&lt;&gt;"",WEEKDAY(AN$1,2)&lt;6),1,0),IF(AND(AQ42&lt;&gt;"",WEEKDAY(AP$1,2)&lt;6),1,0),IF(AND(AS42&lt;&gt;"",WEEKDAY(AR$1,2)&lt;6),1,0),IF(AND(AU42&lt;&gt;"",WEEKDAY(AT$1,2)&lt;6),1,0),IF(AND(AW42&lt;&gt;"",WEEKDAY(AV$1,2)&lt;6),1,0),IF(AND(AY42&lt;&gt;"",WEEKDAY(AX$1,2)&lt;6),1,0),IF(AND(BA42&lt;&gt;"",WEEKDAY(AZ$1,2)&lt;6),1,0),IF(AND(BC42&lt;&gt;"",WEEKDAY(BB$1,2)&lt;6),1,0),IF(AND(BE42&lt;&gt;"",WEEKDAY(BD$1,2)&lt;6),1,0),IF(AND(BG42&lt;&gt;"",WEEKDAY(BF$1,2)&lt;6),1,0),IF(AND(BI42&lt;&gt;"",WEEKDAY(BH$1,2)&lt;6),1,0),IF(AND(BK42&lt;&gt;"",WEEKDAY(BJ$1,2)&lt;6),1,0),IF(AND(BM42&lt;&gt;"",WEEKDAY(BL$1,2)&lt;6),1,0))</f>
        <v>1</v>
      </c>
      <c r="BP42" s="85">
        <f>SUM(IF(AND((D42&lt;&gt;"")+(E42&lt;&gt;""),WEEKDAY(D$1,2)=6),1,0),IF(AND((F42&lt;&gt;"")+(G42&lt;&gt;""),WEEKDAY(F$1,2)=6),1,0),IF(AND((H42&lt;&gt;"")+(I42&lt;&gt;""),WEEKDAY(H$1,2)=6),1,0),IF(AND((J42&lt;&gt;"")+(K42&lt;&gt;""),WEEKDAY(J$1,2)=6),1,0),IF(AND((L42&lt;&gt;"")+(M42&lt;&gt;""),WEEKDAY(L$1,2)=6),1,0),IF(AND((N42&lt;&gt;"")+(O42&lt;&gt;""),WEEKDAY(N$1,2)=6),1,0),IF(AND((P42&lt;&gt;"")+(Q42&lt;&gt;""),WEEKDAY(P$1,2)=6),1,0),IF(AND((R42&lt;&gt;"")+(S42&lt;&gt;""),WEEKDAY(R$1,2)=6),1,0),IF(AND((T42&lt;&gt;"")+(U42&lt;&gt;""),WEEKDAY(T$1,2)=6),1,0),IF(AND((V42&lt;&gt;"")+(W42&lt;&gt;""),WEEKDAY(V$1,2)=6),1,0),IF(AND((X42&lt;&gt;"")+(Y42&lt;&gt;""),WEEKDAY(X$1,2)=6),1,0),IF(AND((Z42&lt;&gt;"")+(AA42&lt;&gt;""),WEEKDAY(Z$1,2)=6),1,0),IF(AND((AB42&lt;&gt;"")+(AC42&lt;&gt;""),WEEKDAY(AB$1,2)=6),1,0),IF(AND((AD42&lt;&gt;"")+(AE42&lt;&gt;""),WEEKDAY(AD$1,2)=6),1,0),IF(AND((AF42&lt;&gt;"")+(AG42&lt;&gt;""),WEEKDAY(AF$1,2)=6),1,0),IF(AND((AH42&lt;&gt;"")+(AI42&lt;&gt;""),WEEKDAY(AH$1,2)=6),1,0),IF(AND((AJ42&lt;&gt;"")+(AK42&lt;&gt;""),WEEKDAY(AJ$1,2)=6),1,0),IF(AND((AL42&lt;&gt;"")+(AM42&lt;&gt;""),WEEKDAY(AL$1,2)=6),1,0),IF(AND((AN42&lt;&gt;"")+(AO42&lt;&gt;""),WEEKDAY(AN$1,2)=6),1,0),IF(AND((AP42&lt;&gt;"")+(AQ42&lt;&gt;""),WEEKDAY(AP$1,2)=6),1,0),IF(AND((AR42&lt;&gt;"")+(AS42&lt;&gt;""),WEEKDAY(AR$1,2)=6),1,0),IF(AND((AT42&lt;&gt;"")+(AU42&lt;&gt;""),WEEKDAY(AT$1,2)=6),1,0),IF(AND((AV42&lt;&gt;"")+(AW42&lt;&gt;""),WEEKDAY(AV$1,2)=6),1,0),IF(AND((AX42&lt;&gt;"")+(AY42&lt;&gt;""),WEEKDAY(AX$1,2)=6),1,0),IF(AND((AZ42&lt;&gt;"")+(BA42&lt;&gt;""),WEEKDAY(AZ$1,2)=6),1,0),IF(AND((BB42&lt;&gt;"")+(BC42&lt;&gt;""),WEEKDAY(BB$1,2)=6),1,0),IF(AND((BD42&lt;&gt;"")+(BE42&lt;&gt;""),WEEKDAY(BD$1,2)=6),1,0),IF(AND((BF42&lt;&gt;"")+(BG42&lt;&gt;""),WEEKDAY(BF$1,2)=6),1,0),IF(AND((BH42&lt;&gt;"")+(BI42&lt;&gt;""),WEEKDAY(BH$1,2)=6),1,0),IF(AND((BJ42&lt;&gt;"")+(BK42&lt;&gt;""),WEEKDAY(BJ$1,2)=6),1,0),IF(AND((BL42&lt;&gt;"")+(BM42&lt;&gt;""),WEEKDAY(BL$1,2)=6),1,0))</f>
        <v>0</v>
      </c>
    </row>
    <row r="43" spans="1:68" ht="16.5">
      <c r="A43" s="86" t="s">
        <v>56</v>
      </c>
      <c r="B43" s="86" t="s">
        <v>66</v>
      </c>
      <c r="C43" s="92" t="s">
        <v>67</v>
      </c>
      <c r="D43" s="91"/>
      <c r="E43" s="91"/>
      <c r="F43" s="88">
        <v>0.37847222222222221</v>
      </c>
      <c r="G43" s="88">
        <v>0.13055555555555556</v>
      </c>
      <c r="H43" s="88">
        <v>0.39305555555555555</v>
      </c>
      <c r="I43" s="88">
        <v>0.16041666666666668</v>
      </c>
      <c r="J43" s="99">
        <v>0.40625</v>
      </c>
      <c r="K43" s="99">
        <v>0.19166666666666668</v>
      </c>
      <c r="L43" s="99">
        <v>0.4284722222222222</v>
      </c>
      <c r="M43" s="99">
        <v>0.13125000000000001</v>
      </c>
      <c r="N43" s="88">
        <v>0.42569444444444443</v>
      </c>
      <c r="O43" s="85"/>
      <c r="P43" s="95"/>
      <c r="Q43" s="95"/>
      <c r="R43" s="91"/>
      <c r="S43" s="91"/>
      <c r="T43" s="85"/>
      <c r="U43" s="85"/>
      <c r="V43" s="88">
        <v>0.3888888888888889</v>
      </c>
      <c r="W43" s="88">
        <v>0.26111111111111113</v>
      </c>
      <c r="X43" s="88">
        <v>0.44305555555555554</v>
      </c>
      <c r="Y43" s="85"/>
      <c r="Z43" s="88">
        <v>0.38819444444444445</v>
      </c>
      <c r="AA43" s="85"/>
      <c r="AB43" s="88">
        <v>0.3888888888888889</v>
      </c>
      <c r="AC43" s="88">
        <v>0.19166666666666668</v>
      </c>
      <c r="AD43" s="102">
        <v>0.41249999999999998</v>
      </c>
      <c r="AE43" s="95"/>
      <c r="AF43" s="91"/>
      <c r="AG43" s="91"/>
      <c r="AH43" s="96"/>
      <c r="AI43" s="96"/>
      <c r="AJ43" s="85"/>
      <c r="AK43" s="88">
        <v>0.15277777777777779</v>
      </c>
      <c r="AL43" s="85"/>
      <c r="AM43" s="88">
        <v>0.16875000000000001</v>
      </c>
      <c r="AN43" s="88">
        <v>0.46597222222222223</v>
      </c>
      <c r="AO43" s="88">
        <v>0.13333333333333333</v>
      </c>
      <c r="AP43" s="88">
        <v>0.24861111111111112</v>
      </c>
      <c r="AQ43" s="85"/>
      <c r="AR43" s="95"/>
      <c r="AS43" s="95"/>
      <c r="AT43" s="91"/>
      <c r="AU43" s="91"/>
      <c r="AV43" s="88">
        <v>0</v>
      </c>
      <c r="AW43" s="88">
        <v>0</v>
      </c>
      <c r="AX43" s="88">
        <v>0</v>
      </c>
      <c r="AY43" s="88">
        <v>0</v>
      </c>
      <c r="AZ43" s="88">
        <v>0</v>
      </c>
      <c r="BA43" s="88">
        <v>0</v>
      </c>
      <c r="BB43" s="88">
        <v>0</v>
      </c>
      <c r="BC43" s="88">
        <v>0</v>
      </c>
      <c r="BD43" s="88">
        <v>0.34236111111111112</v>
      </c>
      <c r="BE43" s="88">
        <v>0</v>
      </c>
      <c r="BF43" s="95"/>
      <c r="BG43" s="95"/>
      <c r="BH43" s="91"/>
      <c r="BI43" s="91"/>
      <c r="BJ43" s="88">
        <v>0.39374999999999999</v>
      </c>
      <c r="BK43" s="88">
        <v>0.18263888888888888</v>
      </c>
      <c r="BL43" s="99">
        <v>0.43680555555555556</v>
      </c>
      <c r="BM43" s="99">
        <v>0.15972222222222221</v>
      </c>
      <c r="BN43" s="85">
        <f>SUM(IF(AND(D43&lt;&gt;"",WEEKDAY(D$1,2)&lt;6),1,0),IF(AND(F43&lt;&gt;"",WEEKDAY(F$1,2)&lt;6),1,0),IF(AND(H43&lt;&gt;"",WEEKDAY(H$1,2)&lt;6),1,0),IF(AND(J43&lt;&gt;"",WEEKDAY(J$1,2)&lt;6),1,0),IF(AND(L43&lt;&gt;"",WEEKDAY(L$1,2)&lt;6),1,0),IF(AND(N43&lt;&gt;"",WEEKDAY(N$1,2)&lt;6),1,0),IF(AND(P43&lt;&gt;"",WEEKDAY(P$1,2)&lt;6),1,0),IF(AND(R43&lt;&gt;"",WEEKDAY(R$1,2)&lt;6),1,0),IF(AND(T43&lt;&gt;"",WEEKDAY(T$1,2)&lt;6),1,0),IF(AND(V43&lt;&gt;"",WEEKDAY(V$1,2)&lt;6),1,0),IF(AND(X43&lt;&gt;"",WEEKDAY(X$1,2)&lt;6),1,0),IF(AND(Z43&lt;&gt;"",WEEKDAY(Z$1,2)&lt;6),1,0),IF(AND(AB43&lt;&gt;"",WEEKDAY(AB$1,2)&lt;6),1,0),IF(AND(AD43&lt;&gt;"",WEEKDAY(AD$1,2)&lt;6),1,0),IF(AND(AF43&lt;&gt;"",WEEKDAY(AF$1,2)&lt;6),1,0),IF(AND(AH43&lt;&gt;"",WEEKDAY(AH$1,2)&lt;6),1,0),IF(AND(AJ43&lt;&gt;"",WEEKDAY(AJ$1,2)&lt;6),1,0),IF(AND(AL43&lt;&gt;"",WEEKDAY(AL$1,2)&lt;6),1,0),IF(AND(AN43&lt;&gt;"",WEEKDAY(AN$1,2)&lt;6),1,0),IF(AND(AP43&lt;&gt;"",WEEKDAY(AP$1,2)&lt;6),1,0),IF(AND(AR43&lt;&gt;"",WEEKDAY(AR$1,2)&lt;6),1,0),IF(AND(AT43&lt;&gt;"",WEEKDAY(AT$1,2)&lt;6),1,0),IF(AND(AV43&lt;&gt;"",WEEKDAY(AV$1,2)&lt;6),1,0),IF(AND(AX43&lt;&gt;"",WEEKDAY(AX$1,2)&lt;6),1,0),IF(AND(AZ43&lt;&gt;"",WEEKDAY(AZ$1,2)&lt;6),1,0),IF(AND(BB43&lt;&gt;"",WEEKDAY(BB$1,2)&lt;6),1,0),IF(AND(BD43&lt;&gt;"",WEEKDAY(BD$1,2)&lt;6),1,0),IF(AND(BF43&lt;&gt;"",WEEKDAY(BF$1,2)&lt;6),1,0),IF(AND(BH43&lt;&gt;"",WEEKDAY(BH$1,2)&lt;6),1,0),IF(AND(BJ43&lt;&gt;"",WEEKDAY(BJ$1,2)&lt;6),1,0),IF(AND(BL43&lt;&gt;"",WEEKDAY(BL$1,2)&lt;6),1,0))</f>
        <v>18</v>
      </c>
      <c r="BO43" s="85">
        <f>SUM(IF(AND(E43&lt;&gt;"",WEEKDAY(D$1,2)&lt;6),1,0),IF(AND(G43&lt;&gt;"",WEEKDAY(F$1,2)&lt;6),1,0),IF(AND(I43&lt;&gt;"",WEEKDAY(H$1,2)&lt;6),1,0),IF(AND(K43&lt;&gt;"",WEEKDAY(J$1,2)&lt;6),1,0),IF(AND(M43&lt;&gt;"",WEEKDAY(L$1,2)&lt;6),1,0),IF(AND(O43&lt;&gt;"",WEEKDAY(N$1,2)&lt;6),1,0),IF(AND(Q43&lt;&gt;"",WEEKDAY(P$1,2)&lt;6),1,0),IF(AND(S43&lt;&gt;"",WEEKDAY(R$1,2)&lt;6),1,0),IF(AND(U43&lt;&gt;"",WEEKDAY(T$1,2)&lt;6),1,0),IF(AND(W43&lt;&gt;"",WEEKDAY(V$1,2)&lt;6),1,0),IF(AND(Y43&lt;&gt;"",WEEKDAY(X$1,2)&lt;6),1,0),IF(AND(AA43&lt;&gt;"",WEEKDAY(Z$1,2)&lt;6),1,0),IF(AND(AC43&lt;&gt;"",WEEKDAY(AB$1,2)&lt;6),1,0),IF(AND(AE43&lt;&gt;"",WEEKDAY(AD$1,2)&lt;6),1,0),IF(AND(AG43&lt;&gt;"",WEEKDAY(AF$1,2)&lt;6),1,0),IF(AND(AI43&lt;&gt;"",WEEKDAY(AH$1,2)&lt;6),1,0),IF(AND(AK43&lt;&gt;"",WEEKDAY(AJ$1,2)&lt;6),1,0),IF(AND(AM43&lt;&gt;"",WEEKDAY(AL$1,2)&lt;6),1,0),IF(AND(AO43&lt;&gt;"",WEEKDAY(AN$1,2)&lt;6),1,0),IF(AND(AQ43&lt;&gt;"",WEEKDAY(AP$1,2)&lt;6),1,0),IF(AND(AS43&lt;&gt;"",WEEKDAY(AR$1,2)&lt;6),1,0),IF(AND(AU43&lt;&gt;"",WEEKDAY(AT$1,2)&lt;6),1,0),IF(AND(AW43&lt;&gt;"",WEEKDAY(AV$1,2)&lt;6),1,0),IF(AND(AY43&lt;&gt;"",WEEKDAY(AX$1,2)&lt;6),1,0),IF(AND(BA43&lt;&gt;"",WEEKDAY(AZ$1,2)&lt;6),1,0),IF(AND(BC43&lt;&gt;"",WEEKDAY(BB$1,2)&lt;6),1,0),IF(AND(BE43&lt;&gt;"",WEEKDAY(BD$1,2)&lt;6),1,0),IF(AND(BG43&lt;&gt;"",WEEKDAY(BF$1,2)&lt;6),1,0),IF(AND(BI43&lt;&gt;"",WEEKDAY(BH$1,2)&lt;6),1,0),IF(AND(BK43&lt;&gt;"",WEEKDAY(BJ$1,2)&lt;6),1,0),IF(AND(BM43&lt;&gt;"",WEEKDAY(BL$1,2)&lt;6),1,0))</f>
        <v>16</v>
      </c>
      <c r="BP43" s="85">
        <f>SUM(IF(AND((D43&lt;&gt;"")+(E43&lt;&gt;""),WEEKDAY(D$1,2)=6),1,0),IF(AND((F43&lt;&gt;"")+(G43&lt;&gt;""),WEEKDAY(F$1,2)=6),1,0),IF(AND((H43&lt;&gt;"")+(I43&lt;&gt;""),WEEKDAY(H$1,2)=6),1,0),IF(AND((J43&lt;&gt;"")+(K43&lt;&gt;""),WEEKDAY(J$1,2)=6),1,0),IF(AND((L43&lt;&gt;"")+(M43&lt;&gt;""),WEEKDAY(L$1,2)=6),1,0),IF(AND((N43&lt;&gt;"")+(O43&lt;&gt;""),WEEKDAY(N$1,2)=6),1,0),IF(AND((P43&lt;&gt;"")+(Q43&lt;&gt;""),WEEKDAY(P$1,2)=6),1,0),IF(AND((R43&lt;&gt;"")+(S43&lt;&gt;""),WEEKDAY(R$1,2)=6),1,0),IF(AND((T43&lt;&gt;"")+(U43&lt;&gt;""),WEEKDAY(T$1,2)=6),1,0),IF(AND((V43&lt;&gt;"")+(W43&lt;&gt;""),WEEKDAY(V$1,2)=6),1,0),IF(AND((X43&lt;&gt;"")+(Y43&lt;&gt;""),WEEKDAY(X$1,2)=6),1,0),IF(AND((Z43&lt;&gt;"")+(AA43&lt;&gt;""),WEEKDAY(Z$1,2)=6),1,0),IF(AND((AB43&lt;&gt;"")+(AC43&lt;&gt;""),WEEKDAY(AB$1,2)=6),1,0),IF(AND((AD43&lt;&gt;"")+(AE43&lt;&gt;""),WEEKDAY(AD$1,2)=6),1,0),IF(AND((AF43&lt;&gt;"")+(AG43&lt;&gt;""),WEEKDAY(AF$1,2)=6),1,0),IF(AND((AH43&lt;&gt;"")+(AI43&lt;&gt;""),WEEKDAY(AH$1,2)=6),1,0),IF(AND((AJ43&lt;&gt;"")+(AK43&lt;&gt;""),WEEKDAY(AJ$1,2)=6),1,0),IF(AND((AL43&lt;&gt;"")+(AM43&lt;&gt;""),WEEKDAY(AL$1,2)=6),1,0),IF(AND((AN43&lt;&gt;"")+(AO43&lt;&gt;""),WEEKDAY(AN$1,2)=6),1,0),IF(AND((AP43&lt;&gt;"")+(AQ43&lt;&gt;""),WEEKDAY(AP$1,2)=6),1,0),IF(AND((AR43&lt;&gt;"")+(AS43&lt;&gt;""),WEEKDAY(AR$1,2)=6),1,0),IF(AND((AT43&lt;&gt;"")+(AU43&lt;&gt;""),WEEKDAY(AT$1,2)=6),1,0),IF(AND((AV43&lt;&gt;"")+(AW43&lt;&gt;""),WEEKDAY(AV$1,2)=6),1,0),IF(AND((AX43&lt;&gt;"")+(AY43&lt;&gt;""),WEEKDAY(AX$1,2)=6),1,0),IF(AND((AZ43&lt;&gt;"")+(BA43&lt;&gt;""),WEEKDAY(AZ$1,2)=6),1,0),IF(AND((BB43&lt;&gt;"")+(BC43&lt;&gt;""),WEEKDAY(BB$1,2)=6),1,0),IF(AND((BD43&lt;&gt;"")+(BE43&lt;&gt;""),WEEKDAY(BD$1,2)=6),1,0),IF(AND((BF43&lt;&gt;"")+(BG43&lt;&gt;""),WEEKDAY(BF$1,2)=6),1,0),IF(AND((BH43&lt;&gt;"")+(BI43&lt;&gt;""),WEEKDAY(BH$1,2)=6),1,0),IF(AND((BJ43&lt;&gt;"")+(BK43&lt;&gt;""),WEEKDAY(BJ$1,2)=6),1,0),IF(AND((BL43&lt;&gt;"")+(BM43&lt;&gt;""),WEEKDAY(BL$1,2)=6),1,0))</f>
        <v>1</v>
      </c>
    </row>
    <row r="44" spans="1:68" ht="16.5">
      <c r="A44" s="86" t="s">
        <v>56</v>
      </c>
      <c r="B44" s="86" t="s">
        <v>68</v>
      </c>
      <c r="C44" s="92" t="s">
        <v>69</v>
      </c>
      <c r="D44" s="91"/>
      <c r="E44" s="91"/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95"/>
      <c r="Q44" s="95"/>
      <c r="R44" s="91"/>
      <c r="S44" s="91"/>
      <c r="T44" s="88">
        <v>0.34444444444444444</v>
      </c>
      <c r="U44" s="88">
        <v>0.15</v>
      </c>
      <c r="V44" s="88">
        <v>0.36180555555555555</v>
      </c>
      <c r="W44" s="88">
        <v>0</v>
      </c>
      <c r="X44" s="88">
        <v>0.35</v>
      </c>
      <c r="Y44" s="88">
        <v>0.12569444444444444</v>
      </c>
      <c r="Z44" s="88">
        <v>0.36041666666666666</v>
      </c>
      <c r="AA44" s="88">
        <v>0.15555555555555556</v>
      </c>
      <c r="AB44" s="88">
        <v>0.35833333333333334</v>
      </c>
      <c r="AC44" s="88">
        <v>0.13402777777777777</v>
      </c>
      <c r="AD44" s="95"/>
      <c r="AE44" s="95"/>
      <c r="AF44" s="91"/>
      <c r="AG44" s="91"/>
      <c r="AH44" s="96"/>
      <c r="AI44" s="96"/>
      <c r="AJ44" s="88">
        <v>0.37013888888888891</v>
      </c>
      <c r="AK44" s="88">
        <v>0.2</v>
      </c>
      <c r="AL44" s="88">
        <v>0.38958333333333334</v>
      </c>
      <c r="AM44" s="88">
        <v>0.2076388888888889</v>
      </c>
      <c r="AN44" s="88">
        <v>0.35069444444444442</v>
      </c>
      <c r="AO44" s="88">
        <v>0.14097222222222222</v>
      </c>
      <c r="AP44" s="88">
        <v>0.35069444444444442</v>
      </c>
      <c r="AQ44" s="88">
        <v>0</v>
      </c>
      <c r="AR44" s="102">
        <v>0.35555555555555557</v>
      </c>
      <c r="AS44" s="95"/>
      <c r="AT44" s="91"/>
      <c r="AU44" s="91"/>
      <c r="AV44" s="88">
        <v>0.35625000000000001</v>
      </c>
      <c r="AW44" s="85"/>
      <c r="AX44" s="88">
        <v>0.35347222222222224</v>
      </c>
      <c r="AY44" s="85"/>
      <c r="AZ44" s="88">
        <v>0.36041666666666666</v>
      </c>
      <c r="BA44" s="88">
        <v>0.16666666666666666</v>
      </c>
      <c r="BB44" s="85"/>
      <c r="BC44" s="85"/>
      <c r="BD44" s="88">
        <v>0.35416666666666669</v>
      </c>
      <c r="BE44" s="85"/>
      <c r="BF44" s="95"/>
      <c r="BG44" s="95"/>
      <c r="BH44" s="91"/>
      <c r="BI44" s="91"/>
      <c r="BJ44" s="88">
        <v>0.3527777777777778</v>
      </c>
      <c r="BK44" s="88">
        <v>0.14791666666666667</v>
      </c>
      <c r="BL44" s="99">
        <v>0.35138888888888886</v>
      </c>
      <c r="BM44" s="99">
        <v>0.14374999999999999</v>
      </c>
      <c r="BN44" s="85">
        <f>SUM(IF(AND(D44&lt;&gt;"",WEEKDAY(D$1,2)&lt;6),1,0),IF(AND(F44&lt;&gt;"",WEEKDAY(F$1,2)&lt;6),1,0),IF(AND(H44&lt;&gt;"",WEEKDAY(H$1,2)&lt;6),1,0),IF(AND(J44&lt;&gt;"",WEEKDAY(J$1,2)&lt;6),1,0),IF(AND(L44&lt;&gt;"",WEEKDAY(L$1,2)&lt;6),1,0),IF(AND(N44&lt;&gt;"",WEEKDAY(N$1,2)&lt;6),1,0),IF(AND(P44&lt;&gt;"",WEEKDAY(P$1,2)&lt;6),1,0),IF(AND(R44&lt;&gt;"",WEEKDAY(R$1,2)&lt;6),1,0),IF(AND(T44&lt;&gt;"",WEEKDAY(T$1,2)&lt;6),1,0),IF(AND(V44&lt;&gt;"",WEEKDAY(V$1,2)&lt;6),1,0),IF(AND(X44&lt;&gt;"",WEEKDAY(X$1,2)&lt;6),1,0),IF(AND(Z44&lt;&gt;"",WEEKDAY(Z$1,2)&lt;6),1,0),IF(AND(AB44&lt;&gt;"",WEEKDAY(AB$1,2)&lt;6),1,0),IF(AND(AD44&lt;&gt;"",WEEKDAY(AD$1,2)&lt;6),1,0),IF(AND(AF44&lt;&gt;"",WEEKDAY(AF$1,2)&lt;6),1,0),IF(AND(AH44&lt;&gt;"",WEEKDAY(AH$1,2)&lt;6),1,0),IF(AND(AJ44&lt;&gt;"",WEEKDAY(AJ$1,2)&lt;6),1,0),IF(AND(AL44&lt;&gt;"",WEEKDAY(AL$1,2)&lt;6),1,0),IF(AND(AN44&lt;&gt;"",WEEKDAY(AN$1,2)&lt;6),1,0),IF(AND(AP44&lt;&gt;"",WEEKDAY(AP$1,2)&lt;6),1,0),IF(AND(AR44&lt;&gt;"",WEEKDAY(AR$1,2)&lt;6),1,0),IF(AND(AT44&lt;&gt;"",WEEKDAY(AT$1,2)&lt;6),1,0),IF(AND(AV44&lt;&gt;"",WEEKDAY(AV$1,2)&lt;6),1,0),IF(AND(AX44&lt;&gt;"",WEEKDAY(AX$1,2)&lt;6),1,0),IF(AND(AZ44&lt;&gt;"",WEEKDAY(AZ$1,2)&lt;6),1,0),IF(AND(BB44&lt;&gt;"",WEEKDAY(BB$1,2)&lt;6),1,0),IF(AND(BD44&lt;&gt;"",WEEKDAY(BD$1,2)&lt;6),1,0),IF(AND(BF44&lt;&gt;"",WEEKDAY(BF$1,2)&lt;6),1,0),IF(AND(BH44&lt;&gt;"",WEEKDAY(BH$1,2)&lt;6),1,0),IF(AND(BJ44&lt;&gt;"",WEEKDAY(BJ$1,2)&lt;6),1,0),IF(AND(BL44&lt;&gt;"",WEEKDAY(BL$1,2)&lt;6),1,0))</f>
        <v>20</v>
      </c>
      <c r="BO44" s="85">
        <f>SUM(IF(AND(E44&lt;&gt;"",WEEKDAY(D$1,2)&lt;6),1,0),IF(AND(G44&lt;&gt;"",WEEKDAY(F$1,2)&lt;6),1,0),IF(AND(I44&lt;&gt;"",WEEKDAY(H$1,2)&lt;6),1,0),IF(AND(K44&lt;&gt;"",WEEKDAY(J$1,2)&lt;6),1,0),IF(AND(M44&lt;&gt;"",WEEKDAY(L$1,2)&lt;6),1,0),IF(AND(O44&lt;&gt;"",WEEKDAY(N$1,2)&lt;6),1,0),IF(AND(Q44&lt;&gt;"",WEEKDAY(P$1,2)&lt;6),1,0),IF(AND(S44&lt;&gt;"",WEEKDAY(R$1,2)&lt;6),1,0),IF(AND(U44&lt;&gt;"",WEEKDAY(T$1,2)&lt;6),1,0),IF(AND(W44&lt;&gt;"",WEEKDAY(V$1,2)&lt;6),1,0),IF(AND(Y44&lt;&gt;"",WEEKDAY(X$1,2)&lt;6),1,0),IF(AND(AA44&lt;&gt;"",WEEKDAY(Z$1,2)&lt;6),1,0),IF(AND(AC44&lt;&gt;"",WEEKDAY(AB$1,2)&lt;6),1,0),IF(AND(AE44&lt;&gt;"",WEEKDAY(AD$1,2)&lt;6),1,0),IF(AND(AG44&lt;&gt;"",WEEKDAY(AF$1,2)&lt;6),1,0),IF(AND(AI44&lt;&gt;"",WEEKDAY(AH$1,2)&lt;6),1,0),IF(AND(AK44&lt;&gt;"",WEEKDAY(AJ$1,2)&lt;6),1,0),IF(AND(AM44&lt;&gt;"",WEEKDAY(AL$1,2)&lt;6),1,0),IF(AND(AO44&lt;&gt;"",WEEKDAY(AN$1,2)&lt;6),1,0),IF(AND(AQ44&lt;&gt;"",WEEKDAY(AP$1,2)&lt;6),1,0),IF(AND(AS44&lt;&gt;"",WEEKDAY(AR$1,2)&lt;6),1,0),IF(AND(AU44&lt;&gt;"",WEEKDAY(AT$1,2)&lt;6),1,0),IF(AND(AW44&lt;&gt;"",WEEKDAY(AV$1,2)&lt;6),1,0),IF(AND(AY44&lt;&gt;"",WEEKDAY(AX$1,2)&lt;6),1,0),IF(AND(BA44&lt;&gt;"",WEEKDAY(AZ$1,2)&lt;6),1,0),IF(AND(BC44&lt;&gt;"",WEEKDAY(BB$1,2)&lt;6),1,0),IF(AND(BE44&lt;&gt;"",WEEKDAY(BD$1,2)&lt;6),1,0),IF(AND(BG44&lt;&gt;"",WEEKDAY(BF$1,2)&lt;6),1,0),IF(AND(BI44&lt;&gt;"",WEEKDAY(BH$1,2)&lt;6),1,0),IF(AND(BK44&lt;&gt;"",WEEKDAY(BJ$1,2)&lt;6),1,0),IF(AND(BM44&lt;&gt;"",WEEKDAY(BL$1,2)&lt;6),1,0))</f>
        <v>17</v>
      </c>
      <c r="BP44" s="85">
        <f>SUM(IF(AND((D44&lt;&gt;"")+(E44&lt;&gt;""),WEEKDAY(D$1,2)=6),1,0),IF(AND((F44&lt;&gt;"")+(G44&lt;&gt;""),WEEKDAY(F$1,2)=6),1,0),IF(AND((H44&lt;&gt;"")+(I44&lt;&gt;""),WEEKDAY(H$1,2)=6),1,0),IF(AND((J44&lt;&gt;"")+(K44&lt;&gt;""),WEEKDAY(J$1,2)=6),1,0),IF(AND((L44&lt;&gt;"")+(M44&lt;&gt;""),WEEKDAY(L$1,2)=6),1,0),IF(AND((N44&lt;&gt;"")+(O44&lt;&gt;""),WEEKDAY(N$1,2)=6),1,0),IF(AND((P44&lt;&gt;"")+(Q44&lt;&gt;""),WEEKDAY(P$1,2)=6),1,0),IF(AND((R44&lt;&gt;"")+(S44&lt;&gt;""),WEEKDAY(R$1,2)=6),1,0),IF(AND((T44&lt;&gt;"")+(U44&lt;&gt;""),WEEKDAY(T$1,2)=6),1,0),IF(AND((V44&lt;&gt;"")+(W44&lt;&gt;""),WEEKDAY(V$1,2)=6),1,0),IF(AND((X44&lt;&gt;"")+(Y44&lt;&gt;""),WEEKDAY(X$1,2)=6),1,0),IF(AND((Z44&lt;&gt;"")+(AA44&lt;&gt;""),WEEKDAY(Z$1,2)=6),1,0),IF(AND((AB44&lt;&gt;"")+(AC44&lt;&gt;""),WEEKDAY(AB$1,2)=6),1,0),IF(AND((AD44&lt;&gt;"")+(AE44&lt;&gt;""),WEEKDAY(AD$1,2)=6),1,0),IF(AND((AF44&lt;&gt;"")+(AG44&lt;&gt;""),WEEKDAY(AF$1,2)=6),1,0),IF(AND((AH44&lt;&gt;"")+(AI44&lt;&gt;""),WEEKDAY(AH$1,2)=6),1,0),IF(AND((AJ44&lt;&gt;"")+(AK44&lt;&gt;""),WEEKDAY(AJ$1,2)=6),1,0),IF(AND((AL44&lt;&gt;"")+(AM44&lt;&gt;""),WEEKDAY(AL$1,2)=6),1,0),IF(AND((AN44&lt;&gt;"")+(AO44&lt;&gt;""),WEEKDAY(AN$1,2)=6),1,0),IF(AND((AP44&lt;&gt;"")+(AQ44&lt;&gt;""),WEEKDAY(AP$1,2)=6),1,0),IF(AND((AR44&lt;&gt;"")+(AS44&lt;&gt;""),WEEKDAY(AR$1,2)=6),1,0),IF(AND((AT44&lt;&gt;"")+(AU44&lt;&gt;""),WEEKDAY(AT$1,2)=6),1,0),IF(AND((AV44&lt;&gt;"")+(AW44&lt;&gt;""),WEEKDAY(AV$1,2)=6),1,0),IF(AND((AX44&lt;&gt;"")+(AY44&lt;&gt;""),WEEKDAY(AX$1,2)=6),1,0),IF(AND((AZ44&lt;&gt;"")+(BA44&lt;&gt;""),WEEKDAY(AZ$1,2)=6),1,0),IF(AND((BB44&lt;&gt;"")+(BC44&lt;&gt;""),WEEKDAY(BB$1,2)=6),1,0),IF(AND((BD44&lt;&gt;"")+(BE44&lt;&gt;""),WEEKDAY(BD$1,2)=6),1,0),IF(AND((BF44&lt;&gt;"")+(BG44&lt;&gt;""),WEEKDAY(BF$1,2)=6),1,0),IF(AND((BH44&lt;&gt;"")+(BI44&lt;&gt;""),WEEKDAY(BH$1,2)=6),1,0),IF(AND((BJ44&lt;&gt;"")+(BK44&lt;&gt;""),WEEKDAY(BJ$1,2)=6),1,0),IF(AND((BL44&lt;&gt;"")+(BM44&lt;&gt;""),WEEKDAY(BL$1,2)=6),1,0))</f>
        <v>1</v>
      </c>
    </row>
    <row r="45" spans="1:68" ht="16.5">
      <c r="A45" s="86" t="s">
        <v>56</v>
      </c>
      <c r="B45" s="86" t="s">
        <v>70</v>
      </c>
      <c r="C45" s="92" t="s">
        <v>71</v>
      </c>
      <c r="D45" s="91"/>
      <c r="E45" s="91"/>
      <c r="F45" s="88">
        <v>0.40694444444444444</v>
      </c>
      <c r="G45" s="88">
        <v>0.2</v>
      </c>
      <c r="H45" s="88">
        <v>0.37291666666666667</v>
      </c>
      <c r="I45" s="88">
        <v>0.15902777777777777</v>
      </c>
      <c r="J45" s="99">
        <v>0.35625000000000001</v>
      </c>
      <c r="K45" s="99">
        <v>0.19166666666666668</v>
      </c>
      <c r="L45" s="99">
        <v>0.3972222222222222</v>
      </c>
      <c r="M45" s="99">
        <v>0.17499999999999999</v>
      </c>
      <c r="N45" s="88">
        <v>0.37361111111111112</v>
      </c>
      <c r="O45" s="88">
        <v>0.17569444444444443</v>
      </c>
      <c r="P45" s="102">
        <v>0.34305555555555556</v>
      </c>
      <c r="Q45" s="95"/>
      <c r="R45" s="91"/>
      <c r="S45" s="91"/>
      <c r="T45" s="88">
        <v>0.39166666666666666</v>
      </c>
      <c r="U45" s="88">
        <v>0.12916666666666668</v>
      </c>
      <c r="V45" s="88">
        <v>0.36249999999999999</v>
      </c>
      <c r="W45" s="88">
        <v>0.15625</v>
      </c>
      <c r="X45" s="88">
        <v>0.3576388888888889</v>
      </c>
      <c r="Y45" s="88">
        <v>0.15625</v>
      </c>
      <c r="Z45" s="88">
        <v>0.38958333333333334</v>
      </c>
      <c r="AA45" s="88">
        <v>0.15277777777777779</v>
      </c>
      <c r="AB45" s="88">
        <v>0.36180555555555555</v>
      </c>
      <c r="AC45" s="88">
        <v>0.15347222222222223</v>
      </c>
      <c r="AD45" s="95"/>
      <c r="AE45" s="95"/>
      <c r="AF45" s="91"/>
      <c r="AG45" s="91"/>
      <c r="AH45" s="96"/>
      <c r="AI45" s="96"/>
      <c r="AJ45" s="88">
        <v>0.35694444444444445</v>
      </c>
      <c r="AK45" s="88">
        <v>0.15416666666666667</v>
      </c>
      <c r="AL45" s="88">
        <v>0.3659722222222222</v>
      </c>
      <c r="AM45" s="88">
        <v>0.16597222222222222</v>
      </c>
      <c r="AN45" s="88">
        <v>0.36249999999999999</v>
      </c>
      <c r="AO45" s="88">
        <v>0.14930555555555555</v>
      </c>
      <c r="AP45" s="88">
        <v>0.36458333333333331</v>
      </c>
      <c r="AQ45" s="88">
        <v>0.14722222222222223</v>
      </c>
      <c r="AR45" s="102">
        <v>0.34166666666666667</v>
      </c>
      <c r="AS45" s="95"/>
      <c r="AT45" s="91"/>
      <c r="AU45" s="91"/>
      <c r="AV45" s="88">
        <v>0.35486111111111113</v>
      </c>
      <c r="AW45" s="88">
        <v>0.15277777777777779</v>
      </c>
      <c r="AX45" s="88">
        <v>0.42083333333333334</v>
      </c>
      <c r="AY45" s="88">
        <v>0.17777777777777778</v>
      </c>
      <c r="AZ45" s="88">
        <v>0.35902777777777778</v>
      </c>
      <c r="BA45" s="88">
        <v>0.15972222222222221</v>
      </c>
      <c r="BB45" s="88">
        <v>0.37152777777777779</v>
      </c>
      <c r="BC45" s="85" t="s">
        <v>645</v>
      </c>
      <c r="BD45" s="88">
        <v>0.37638888888888888</v>
      </c>
      <c r="BE45" s="85"/>
      <c r="BF45" s="95"/>
      <c r="BG45" s="95"/>
      <c r="BH45" s="91"/>
      <c r="BI45" s="91"/>
      <c r="BJ45" s="85"/>
      <c r="BK45" s="85"/>
      <c r="BL45" s="98"/>
      <c r="BM45" s="98"/>
      <c r="BN45" s="85">
        <f>SUM(IF(AND(D45&lt;&gt;"",WEEKDAY(D$1,2)&lt;6),1,0),IF(AND(F45&lt;&gt;"",WEEKDAY(F$1,2)&lt;6),1,0),IF(AND(H45&lt;&gt;"",WEEKDAY(H$1,2)&lt;6),1,0),IF(AND(J45&lt;&gt;"",WEEKDAY(J$1,2)&lt;6),1,0),IF(AND(L45&lt;&gt;"",WEEKDAY(L$1,2)&lt;6),1,0),IF(AND(N45&lt;&gt;"",WEEKDAY(N$1,2)&lt;6),1,0),IF(AND(P45&lt;&gt;"",WEEKDAY(P$1,2)&lt;6),1,0),IF(AND(R45&lt;&gt;"",WEEKDAY(R$1,2)&lt;6),1,0),IF(AND(T45&lt;&gt;"",WEEKDAY(T$1,2)&lt;6),1,0),IF(AND(V45&lt;&gt;"",WEEKDAY(V$1,2)&lt;6),1,0),IF(AND(X45&lt;&gt;"",WEEKDAY(X$1,2)&lt;6),1,0),IF(AND(Z45&lt;&gt;"",WEEKDAY(Z$1,2)&lt;6),1,0),IF(AND(AB45&lt;&gt;"",WEEKDAY(AB$1,2)&lt;6),1,0),IF(AND(AD45&lt;&gt;"",WEEKDAY(AD$1,2)&lt;6),1,0),IF(AND(AF45&lt;&gt;"",WEEKDAY(AF$1,2)&lt;6),1,0),IF(AND(AH45&lt;&gt;"",WEEKDAY(AH$1,2)&lt;6),1,0),IF(AND(AJ45&lt;&gt;"",WEEKDAY(AJ$1,2)&lt;6),1,0),IF(AND(AL45&lt;&gt;"",WEEKDAY(AL$1,2)&lt;6),1,0),IF(AND(AN45&lt;&gt;"",WEEKDAY(AN$1,2)&lt;6),1,0),IF(AND(AP45&lt;&gt;"",WEEKDAY(AP$1,2)&lt;6),1,0),IF(AND(AR45&lt;&gt;"",WEEKDAY(AR$1,2)&lt;6),1,0),IF(AND(AT45&lt;&gt;"",WEEKDAY(AT$1,2)&lt;6),1,0),IF(AND(AV45&lt;&gt;"",WEEKDAY(AV$1,2)&lt;6),1,0),IF(AND(AX45&lt;&gt;"",WEEKDAY(AX$1,2)&lt;6),1,0),IF(AND(AZ45&lt;&gt;"",WEEKDAY(AZ$1,2)&lt;6),1,0),IF(AND(BB45&lt;&gt;"",WEEKDAY(BB$1,2)&lt;6),1,0),IF(AND(BD45&lt;&gt;"",WEEKDAY(BD$1,2)&lt;6),1,0),IF(AND(BF45&lt;&gt;"",WEEKDAY(BF$1,2)&lt;6),1,0),IF(AND(BH45&lt;&gt;"",WEEKDAY(BH$1,2)&lt;6),1,0),IF(AND(BJ45&lt;&gt;"",WEEKDAY(BJ$1,2)&lt;6),1,0),IF(AND(BL45&lt;&gt;"",WEEKDAY(BL$1,2)&lt;6),1,0))</f>
        <v>19</v>
      </c>
      <c r="BO45" s="85">
        <f>SUM(IF(AND(E45&lt;&gt;"",WEEKDAY(D$1,2)&lt;6),1,0),IF(AND(G45&lt;&gt;"",WEEKDAY(F$1,2)&lt;6),1,0),IF(AND(I45&lt;&gt;"",WEEKDAY(H$1,2)&lt;6),1,0),IF(AND(K45&lt;&gt;"",WEEKDAY(J$1,2)&lt;6),1,0),IF(AND(M45&lt;&gt;"",WEEKDAY(L$1,2)&lt;6),1,0),IF(AND(O45&lt;&gt;"",WEEKDAY(N$1,2)&lt;6),1,0),IF(AND(Q45&lt;&gt;"",WEEKDAY(P$1,2)&lt;6),1,0),IF(AND(S45&lt;&gt;"",WEEKDAY(R$1,2)&lt;6),1,0),IF(AND(U45&lt;&gt;"",WEEKDAY(T$1,2)&lt;6),1,0),IF(AND(W45&lt;&gt;"",WEEKDAY(V$1,2)&lt;6),1,0),IF(AND(Y45&lt;&gt;"",WEEKDAY(X$1,2)&lt;6),1,0),IF(AND(AA45&lt;&gt;"",WEEKDAY(Z$1,2)&lt;6),1,0),IF(AND(AC45&lt;&gt;"",WEEKDAY(AB$1,2)&lt;6),1,0),IF(AND(AE45&lt;&gt;"",WEEKDAY(AD$1,2)&lt;6),1,0),IF(AND(AG45&lt;&gt;"",WEEKDAY(AF$1,2)&lt;6),1,0),IF(AND(AI45&lt;&gt;"",WEEKDAY(AH$1,2)&lt;6),1,0),IF(AND(AK45&lt;&gt;"",WEEKDAY(AJ$1,2)&lt;6),1,0),IF(AND(AM45&lt;&gt;"",WEEKDAY(AL$1,2)&lt;6),1,0),IF(AND(AO45&lt;&gt;"",WEEKDAY(AN$1,2)&lt;6),1,0),IF(AND(AQ45&lt;&gt;"",WEEKDAY(AP$1,2)&lt;6),1,0),IF(AND(AS45&lt;&gt;"",WEEKDAY(AR$1,2)&lt;6),1,0),IF(AND(AU45&lt;&gt;"",WEEKDAY(AT$1,2)&lt;6),1,0),IF(AND(AW45&lt;&gt;"",WEEKDAY(AV$1,2)&lt;6),1,0),IF(AND(AY45&lt;&gt;"",WEEKDAY(AX$1,2)&lt;6),1,0),IF(AND(BA45&lt;&gt;"",WEEKDAY(AZ$1,2)&lt;6),1,0),IF(AND(BC45&lt;&gt;"",WEEKDAY(BB$1,2)&lt;6),1,0),IF(AND(BE45&lt;&gt;"",WEEKDAY(BD$1,2)&lt;6),1,0),IF(AND(BG45&lt;&gt;"",WEEKDAY(BF$1,2)&lt;6),1,0),IF(AND(BI45&lt;&gt;"",WEEKDAY(BH$1,2)&lt;6),1,0),IF(AND(BK45&lt;&gt;"",WEEKDAY(BJ$1,2)&lt;6),1,0),IF(AND(BM45&lt;&gt;"",WEEKDAY(BL$1,2)&lt;6),1,0))</f>
        <v>18</v>
      </c>
      <c r="BP45" s="85">
        <f>SUM(IF(AND((D45&lt;&gt;"")+(E45&lt;&gt;""),WEEKDAY(D$1,2)=6),1,0),IF(AND((F45&lt;&gt;"")+(G45&lt;&gt;""),WEEKDAY(F$1,2)=6),1,0),IF(AND((H45&lt;&gt;"")+(I45&lt;&gt;""),WEEKDAY(H$1,2)=6),1,0),IF(AND((J45&lt;&gt;"")+(K45&lt;&gt;""),WEEKDAY(J$1,2)=6),1,0),IF(AND((L45&lt;&gt;"")+(M45&lt;&gt;""),WEEKDAY(L$1,2)=6),1,0),IF(AND((N45&lt;&gt;"")+(O45&lt;&gt;""),WEEKDAY(N$1,2)=6),1,0),IF(AND((P45&lt;&gt;"")+(Q45&lt;&gt;""),WEEKDAY(P$1,2)=6),1,0),IF(AND((R45&lt;&gt;"")+(S45&lt;&gt;""),WEEKDAY(R$1,2)=6),1,0),IF(AND((T45&lt;&gt;"")+(U45&lt;&gt;""),WEEKDAY(T$1,2)=6),1,0),IF(AND((V45&lt;&gt;"")+(W45&lt;&gt;""),WEEKDAY(V$1,2)=6),1,0),IF(AND((X45&lt;&gt;"")+(Y45&lt;&gt;""),WEEKDAY(X$1,2)=6),1,0),IF(AND((Z45&lt;&gt;"")+(AA45&lt;&gt;""),WEEKDAY(Z$1,2)=6),1,0),IF(AND((AB45&lt;&gt;"")+(AC45&lt;&gt;""),WEEKDAY(AB$1,2)=6),1,0),IF(AND((AD45&lt;&gt;"")+(AE45&lt;&gt;""),WEEKDAY(AD$1,2)=6),1,0),IF(AND((AF45&lt;&gt;"")+(AG45&lt;&gt;""),WEEKDAY(AF$1,2)=6),1,0),IF(AND((AH45&lt;&gt;"")+(AI45&lt;&gt;""),WEEKDAY(AH$1,2)=6),1,0),IF(AND((AJ45&lt;&gt;"")+(AK45&lt;&gt;""),WEEKDAY(AJ$1,2)=6),1,0),IF(AND((AL45&lt;&gt;"")+(AM45&lt;&gt;""),WEEKDAY(AL$1,2)=6),1,0),IF(AND((AN45&lt;&gt;"")+(AO45&lt;&gt;""),WEEKDAY(AN$1,2)=6),1,0),IF(AND((AP45&lt;&gt;"")+(AQ45&lt;&gt;""),WEEKDAY(AP$1,2)=6),1,0),IF(AND((AR45&lt;&gt;"")+(AS45&lt;&gt;""),WEEKDAY(AR$1,2)=6),1,0),IF(AND((AT45&lt;&gt;"")+(AU45&lt;&gt;""),WEEKDAY(AT$1,2)=6),1,0),IF(AND((AV45&lt;&gt;"")+(AW45&lt;&gt;""),WEEKDAY(AV$1,2)=6),1,0),IF(AND((AX45&lt;&gt;"")+(AY45&lt;&gt;""),WEEKDAY(AX$1,2)=6),1,0),IF(AND((AZ45&lt;&gt;"")+(BA45&lt;&gt;""),WEEKDAY(AZ$1,2)=6),1,0),IF(AND((BB45&lt;&gt;"")+(BC45&lt;&gt;""),WEEKDAY(BB$1,2)=6),1,0),IF(AND((BD45&lt;&gt;"")+(BE45&lt;&gt;""),WEEKDAY(BD$1,2)=6),1,0),IF(AND((BF45&lt;&gt;"")+(BG45&lt;&gt;""),WEEKDAY(BF$1,2)=6),1,0),IF(AND((BH45&lt;&gt;"")+(BI45&lt;&gt;""),WEEKDAY(BH$1,2)=6),1,0),IF(AND((BJ45&lt;&gt;"")+(BK45&lt;&gt;""),WEEKDAY(BJ$1,2)=6),1,0),IF(AND((BL45&lt;&gt;"")+(BM45&lt;&gt;""),WEEKDAY(BL$1,2)=6),1,0))</f>
        <v>2</v>
      </c>
    </row>
    <row r="46" spans="1:68" ht="16.5">
      <c r="A46" s="86" t="s">
        <v>72</v>
      </c>
      <c r="B46" s="86" t="s">
        <v>73</v>
      </c>
      <c r="C46" s="92" t="s">
        <v>74</v>
      </c>
      <c r="D46" s="91"/>
      <c r="E46" s="91"/>
      <c r="F46" s="88">
        <v>0.40625</v>
      </c>
      <c r="G46" s="88">
        <v>0.19305555555555556</v>
      </c>
      <c r="H46" s="88">
        <v>0.31597222222222221</v>
      </c>
      <c r="I46" s="99">
        <v>0.22222222222222221</v>
      </c>
      <c r="J46" s="99">
        <v>0.35972222222222222</v>
      </c>
      <c r="K46" s="98"/>
      <c r="L46" s="99">
        <v>0.3611111111111111</v>
      </c>
      <c r="M46" s="98"/>
      <c r="N46" s="88">
        <v>0.35972222222222222</v>
      </c>
      <c r="O46" s="88">
        <v>9.0972222222222218E-2</v>
      </c>
      <c r="P46" s="102">
        <v>0.43472222222222223</v>
      </c>
      <c r="Q46" s="95"/>
      <c r="R46" s="91"/>
      <c r="S46" s="91"/>
      <c r="T46" s="88">
        <v>0.47013888888888888</v>
      </c>
      <c r="U46" s="88">
        <v>0.125</v>
      </c>
      <c r="V46" s="88">
        <v>0.37708333333333333</v>
      </c>
      <c r="W46" s="88">
        <v>0.16875000000000001</v>
      </c>
      <c r="X46" s="88">
        <v>0.29722222222222222</v>
      </c>
      <c r="Y46" s="85"/>
      <c r="Z46" s="88">
        <v>0.33888888888888891</v>
      </c>
      <c r="AA46" s="88">
        <v>0.12847222222222221</v>
      </c>
      <c r="AB46" s="88">
        <v>0.43680555555555556</v>
      </c>
      <c r="AC46" s="88">
        <v>0.12569444444444444</v>
      </c>
      <c r="AD46" s="95"/>
      <c r="AE46" s="95"/>
      <c r="AF46" s="91"/>
      <c r="AG46" s="91"/>
      <c r="AH46" s="96"/>
      <c r="AI46" s="96"/>
      <c r="AJ46" s="88">
        <v>0.40833333333333333</v>
      </c>
      <c r="AK46" s="88">
        <v>0.19097222222222221</v>
      </c>
      <c r="AL46" s="88">
        <v>0.31874999999999998</v>
      </c>
      <c r="AM46" s="88">
        <v>0.17847222222222223</v>
      </c>
      <c r="AN46" s="88">
        <v>0.35069444444444442</v>
      </c>
      <c r="AO46" s="88">
        <v>0.16597222222222222</v>
      </c>
      <c r="AP46" s="88">
        <v>0.30277777777777776</v>
      </c>
      <c r="AQ46" s="88">
        <v>0.12986111111111112</v>
      </c>
      <c r="AR46" s="95"/>
      <c r="AS46" s="95"/>
      <c r="AT46" s="91"/>
      <c r="AU46" s="91"/>
      <c r="AV46" s="88">
        <v>0.35208333333333336</v>
      </c>
      <c r="AW46" s="88">
        <v>0.10277777777777777</v>
      </c>
      <c r="AX46" s="88">
        <v>0.35</v>
      </c>
      <c r="AY46" s="88">
        <v>0.19513888888888889</v>
      </c>
      <c r="AZ46" s="88">
        <v>0.34652777777777777</v>
      </c>
      <c r="BA46" s="88">
        <v>0.1673611111111111</v>
      </c>
      <c r="BB46" s="88">
        <v>0.34305555555555556</v>
      </c>
      <c r="BC46" s="88">
        <v>0.19305555555555556</v>
      </c>
      <c r="BD46" s="88">
        <v>0.38333333333333336</v>
      </c>
      <c r="BE46" s="85"/>
      <c r="BF46" s="95"/>
      <c r="BG46" s="95"/>
      <c r="BH46" s="91"/>
      <c r="BI46" s="91"/>
      <c r="BJ46" s="88">
        <v>0.41875000000000001</v>
      </c>
      <c r="BK46" s="85"/>
      <c r="BL46" s="99">
        <v>0.38194444444444442</v>
      </c>
      <c r="BM46" s="99">
        <v>0.2326388888888889</v>
      </c>
      <c r="BN46" s="85">
        <f>SUM(IF(AND(D46&lt;&gt;"",WEEKDAY(D$1,2)&lt;6),1,0),IF(AND(F46&lt;&gt;"",WEEKDAY(F$1,2)&lt;6),1,0),IF(AND(H46&lt;&gt;"",WEEKDAY(H$1,2)&lt;6),1,0),IF(AND(J46&lt;&gt;"",WEEKDAY(J$1,2)&lt;6),1,0),IF(AND(L46&lt;&gt;"",WEEKDAY(L$1,2)&lt;6),1,0),IF(AND(N46&lt;&gt;"",WEEKDAY(N$1,2)&lt;6),1,0),IF(AND(P46&lt;&gt;"",WEEKDAY(P$1,2)&lt;6),1,0),IF(AND(R46&lt;&gt;"",WEEKDAY(R$1,2)&lt;6),1,0),IF(AND(T46&lt;&gt;"",WEEKDAY(T$1,2)&lt;6),1,0),IF(AND(V46&lt;&gt;"",WEEKDAY(V$1,2)&lt;6),1,0),IF(AND(X46&lt;&gt;"",WEEKDAY(X$1,2)&lt;6),1,0),IF(AND(Z46&lt;&gt;"",WEEKDAY(Z$1,2)&lt;6),1,0),IF(AND(AB46&lt;&gt;"",WEEKDAY(AB$1,2)&lt;6),1,0),IF(AND(AD46&lt;&gt;"",WEEKDAY(AD$1,2)&lt;6),1,0),IF(AND(AF46&lt;&gt;"",WEEKDAY(AF$1,2)&lt;6),1,0),IF(AND(AH46&lt;&gt;"",WEEKDAY(AH$1,2)&lt;6),1,0),IF(AND(AJ46&lt;&gt;"",WEEKDAY(AJ$1,2)&lt;6),1,0),IF(AND(AL46&lt;&gt;"",WEEKDAY(AL$1,2)&lt;6),1,0),IF(AND(AN46&lt;&gt;"",WEEKDAY(AN$1,2)&lt;6),1,0),IF(AND(AP46&lt;&gt;"",WEEKDAY(AP$1,2)&lt;6),1,0),IF(AND(AR46&lt;&gt;"",WEEKDAY(AR$1,2)&lt;6),1,0),IF(AND(AT46&lt;&gt;"",WEEKDAY(AT$1,2)&lt;6),1,0),IF(AND(AV46&lt;&gt;"",WEEKDAY(AV$1,2)&lt;6),1,0),IF(AND(AX46&lt;&gt;"",WEEKDAY(AX$1,2)&lt;6),1,0),IF(AND(AZ46&lt;&gt;"",WEEKDAY(AZ$1,2)&lt;6),1,0),IF(AND(BB46&lt;&gt;"",WEEKDAY(BB$1,2)&lt;6),1,0),IF(AND(BD46&lt;&gt;"",WEEKDAY(BD$1,2)&lt;6),1,0),IF(AND(BF46&lt;&gt;"",WEEKDAY(BF$1,2)&lt;6),1,0),IF(AND(BH46&lt;&gt;"",WEEKDAY(BH$1,2)&lt;6),1,0),IF(AND(BJ46&lt;&gt;"",WEEKDAY(BJ$1,2)&lt;6),1,0),IF(AND(BL46&lt;&gt;"",WEEKDAY(BL$1,2)&lt;6),1,0))</f>
        <v>21</v>
      </c>
      <c r="BO46" s="85">
        <f>SUM(IF(AND(E46&lt;&gt;"",WEEKDAY(D$1,2)&lt;6),1,0),IF(AND(G46&lt;&gt;"",WEEKDAY(F$1,2)&lt;6),1,0),IF(AND(I46&lt;&gt;"",WEEKDAY(H$1,2)&lt;6),1,0),IF(AND(K46&lt;&gt;"",WEEKDAY(J$1,2)&lt;6),1,0),IF(AND(M46&lt;&gt;"",WEEKDAY(L$1,2)&lt;6),1,0),IF(AND(O46&lt;&gt;"",WEEKDAY(N$1,2)&lt;6),1,0),IF(AND(Q46&lt;&gt;"",WEEKDAY(P$1,2)&lt;6),1,0),IF(AND(S46&lt;&gt;"",WEEKDAY(R$1,2)&lt;6),1,0),IF(AND(U46&lt;&gt;"",WEEKDAY(T$1,2)&lt;6),1,0),IF(AND(W46&lt;&gt;"",WEEKDAY(V$1,2)&lt;6),1,0),IF(AND(Y46&lt;&gt;"",WEEKDAY(X$1,2)&lt;6),1,0),IF(AND(AA46&lt;&gt;"",WEEKDAY(Z$1,2)&lt;6),1,0),IF(AND(AC46&lt;&gt;"",WEEKDAY(AB$1,2)&lt;6),1,0),IF(AND(AE46&lt;&gt;"",WEEKDAY(AD$1,2)&lt;6),1,0),IF(AND(AG46&lt;&gt;"",WEEKDAY(AF$1,2)&lt;6),1,0),IF(AND(AI46&lt;&gt;"",WEEKDAY(AH$1,2)&lt;6),1,0),IF(AND(AK46&lt;&gt;"",WEEKDAY(AJ$1,2)&lt;6),1,0),IF(AND(AM46&lt;&gt;"",WEEKDAY(AL$1,2)&lt;6),1,0),IF(AND(AO46&lt;&gt;"",WEEKDAY(AN$1,2)&lt;6),1,0),IF(AND(AQ46&lt;&gt;"",WEEKDAY(AP$1,2)&lt;6),1,0),IF(AND(AS46&lt;&gt;"",WEEKDAY(AR$1,2)&lt;6),1,0),IF(AND(AU46&lt;&gt;"",WEEKDAY(AT$1,2)&lt;6),1,0),IF(AND(AW46&lt;&gt;"",WEEKDAY(AV$1,2)&lt;6),1,0),IF(AND(AY46&lt;&gt;"",WEEKDAY(AX$1,2)&lt;6),1,0),IF(AND(BA46&lt;&gt;"",WEEKDAY(AZ$1,2)&lt;6),1,0),IF(AND(BC46&lt;&gt;"",WEEKDAY(BB$1,2)&lt;6),1,0),IF(AND(BE46&lt;&gt;"",WEEKDAY(BD$1,2)&lt;6),1,0),IF(AND(BG46&lt;&gt;"",WEEKDAY(BF$1,2)&lt;6),1,0),IF(AND(BI46&lt;&gt;"",WEEKDAY(BH$1,2)&lt;6),1,0),IF(AND(BK46&lt;&gt;"",WEEKDAY(BJ$1,2)&lt;6),1,0),IF(AND(BM46&lt;&gt;"",WEEKDAY(BL$1,2)&lt;6),1,0))</f>
        <v>16</v>
      </c>
      <c r="BP46" s="85">
        <f>SUM(IF(AND((D46&lt;&gt;"")+(E46&lt;&gt;""),WEEKDAY(D$1,2)=6),1,0),IF(AND((F46&lt;&gt;"")+(G46&lt;&gt;""),WEEKDAY(F$1,2)=6),1,0),IF(AND((H46&lt;&gt;"")+(I46&lt;&gt;""),WEEKDAY(H$1,2)=6),1,0),IF(AND((J46&lt;&gt;"")+(K46&lt;&gt;""),WEEKDAY(J$1,2)=6),1,0),IF(AND((L46&lt;&gt;"")+(M46&lt;&gt;""),WEEKDAY(L$1,2)=6),1,0),IF(AND((N46&lt;&gt;"")+(O46&lt;&gt;""),WEEKDAY(N$1,2)=6),1,0),IF(AND((P46&lt;&gt;"")+(Q46&lt;&gt;""),WEEKDAY(P$1,2)=6),1,0),IF(AND((R46&lt;&gt;"")+(S46&lt;&gt;""),WEEKDAY(R$1,2)=6),1,0),IF(AND((T46&lt;&gt;"")+(U46&lt;&gt;""),WEEKDAY(T$1,2)=6),1,0),IF(AND((V46&lt;&gt;"")+(W46&lt;&gt;""),WEEKDAY(V$1,2)=6),1,0),IF(AND((X46&lt;&gt;"")+(Y46&lt;&gt;""),WEEKDAY(X$1,2)=6),1,0),IF(AND((Z46&lt;&gt;"")+(AA46&lt;&gt;""),WEEKDAY(Z$1,2)=6),1,0),IF(AND((AB46&lt;&gt;"")+(AC46&lt;&gt;""),WEEKDAY(AB$1,2)=6),1,0),IF(AND((AD46&lt;&gt;"")+(AE46&lt;&gt;""),WEEKDAY(AD$1,2)=6),1,0),IF(AND((AF46&lt;&gt;"")+(AG46&lt;&gt;""),WEEKDAY(AF$1,2)=6),1,0),IF(AND((AH46&lt;&gt;"")+(AI46&lt;&gt;""),WEEKDAY(AH$1,2)=6),1,0),IF(AND((AJ46&lt;&gt;"")+(AK46&lt;&gt;""),WEEKDAY(AJ$1,2)=6),1,0),IF(AND((AL46&lt;&gt;"")+(AM46&lt;&gt;""),WEEKDAY(AL$1,2)=6),1,0),IF(AND((AN46&lt;&gt;"")+(AO46&lt;&gt;""),WEEKDAY(AN$1,2)=6),1,0),IF(AND((AP46&lt;&gt;"")+(AQ46&lt;&gt;""),WEEKDAY(AP$1,2)=6),1,0),IF(AND((AR46&lt;&gt;"")+(AS46&lt;&gt;""),WEEKDAY(AR$1,2)=6),1,0),IF(AND((AT46&lt;&gt;"")+(AU46&lt;&gt;""),WEEKDAY(AT$1,2)=6),1,0),IF(AND((AV46&lt;&gt;"")+(AW46&lt;&gt;""),WEEKDAY(AV$1,2)=6),1,0),IF(AND((AX46&lt;&gt;"")+(AY46&lt;&gt;""),WEEKDAY(AX$1,2)=6),1,0),IF(AND((AZ46&lt;&gt;"")+(BA46&lt;&gt;""),WEEKDAY(AZ$1,2)=6),1,0),IF(AND((BB46&lt;&gt;"")+(BC46&lt;&gt;""),WEEKDAY(BB$1,2)=6),1,0),IF(AND((BD46&lt;&gt;"")+(BE46&lt;&gt;""),WEEKDAY(BD$1,2)=6),1,0),IF(AND((BF46&lt;&gt;"")+(BG46&lt;&gt;""),WEEKDAY(BF$1,2)=6),1,0),IF(AND((BH46&lt;&gt;"")+(BI46&lt;&gt;""),WEEKDAY(BH$1,2)=6),1,0),IF(AND((BJ46&lt;&gt;"")+(BK46&lt;&gt;""),WEEKDAY(BJ$1,2)=6),1,0),IF(AND((BL46&lt;&gt;"")+(BM46&lt;&gt;""),WEEKDAY(BL$1,2)=6),1,0))</f>
        <v>1</v>
      </c>
    </row>
    <row r="47" spans="1:68" ht="16.5">
      <c r="A47" s="86" t="s">
        <v>72</v>
      </c>
      <c r="B47" s="86" t="s">
        <v>73</v>
      </c>
      <c r="C47" s="92" t="s">
        <v>75</v>
      </c>
      <c r="D47" s="91"/>
      <c r="E47" s="91"/>
      <c r="F47" s="85"/>
      <c r="G47" s="85"/>
      <c r="H47" s="85"/>
      <c r="I47" s="85"/>
      <c r="J47" s="98"/>
      <c r="K47" s="98"/>
      <c r="L47" s="98"/>
      <c r="M47" s="98"/>
      <c r="N47" s="85"/>
      <c r="O47" s="85"/>
      <c r="P47" s="95"/>
      <c r="Q47" s="95"/>
      <c r="R47" s="91"/>
      <c r="S47" s="91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95"/>
      <c r="AE47" s="95"/>
      <c r="AF47" s="91"/>
      <c r="AG47" s="91"/>
      <c r="AH47" s="96"/>
      <c r="AI47" s="96"/>
      <c r="AJ47" s="85"/>
      <c r="AK47" s="85"/>
      <c r="AL47" s="85"/>
      <c r="AM47" s="85"/>
      <c r="AN47" s="85"/>
      <c r="AO47" s="85"/>
      <c r="AP47" s="85"/>
      <c r="AQ47" s="85"/>
      <c r="AR47" s="95"/>
      <c r="AS47" s="95"/>
      <c r="AT47" s="91"/>
      <c r="AU47" s="91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95"/>
      <c r="BG47" s="95"/>
      <c r="BH47" s="91"/>
      <c r="BI47" s="91"/>
      <c r="BJ47" s="85"/>
      <c r="BK47" s="85"/>
      <c r="BL47" s="98"/>
      <c r="BM47" s="98"/>
      <c r="BN47" s="85">
        <f>SUM(IF(AND(D47&lt;&gt;"",WEEKDAY(D$1,2)&lt;6),1,0),IF(AND(F47&lt;&gt;"",WEEKDAY(F$1,2)&lt;6),1,0),IF(AND(H47&lt;&gt;"",WEEKDAY(H$1,2)&lt;6),1,0),IF(AND(J47&lt;&gt;"",WEEKDAY(J$1,2)&lt;6),1,0),IF(AND(L47&lt;&gt;"",WEEKDAY(L$1,2)&lt;6),1,0),IF(AND(N47&lt;&gt;"",WEEKDAY(N$1,2)&lt;6),1,0),IF(AND(P47&lt;&gt;"",WEEKDAY(P$1,2)&lt;6),1,0),IF(AND(R47&lt;&gt;"",WEEKDAY(R$1,2)&lt;6),1,0),IF(AND(T47&lt;&gt;"",WEEKDAY(T$1,2)&lt;6),1,0),IF(AND(V47&lt;&gt;"",WEEKDAY(V$1,2)&lt;6),1,0),IF(AND(X47&lt;&gt;"",WEEKDAY(X$1,2)&lt;6),1,0),IF(AND(Z47&lt;&gt;"",WEEKDAY(Z$1,2)&lt;6),1,0),IF(AND(AB47&lt;&gt;"",WEEKDAY(AB$1,2)&lt;6),1,0),IF(AND(AD47&lt;&gt;"",WEEKDAY(AD$1,2)&lt;6),1,0),IF(AND(AF47&lt;&gt;"",WEEKDAY(AF$1,2)&lt;6),1,0),IF(AND(AH47&lt;&gt;"",WEEKDAY(AH$1,2)&lt;6),1,0),IF(AND(AJ47&lt;&gt;"",WEEKDAY(AJ$1,2)&lt;6),1,0),IF(AND(AL47&lt;&gt;"",WEEKDAY(AL$1,2)&lt;6),1,0),IF(AND(AN47&lt;&gt;"",WEEKDAY(AN$1,2)&lt;6),1,0),IF(AND(AP47&lt;&gt;"",WEEKDAY(AP$1,2)&lt;6),1,0),IF(AND(AR47&lt;&gt;"",WEEKDAY(AR$1,2)&lt;6),1,0),IF(AND(AT47&lt;&gt;"",WEEKDAY(AT$1,2)&lt;6),1,0),IF(AND(AV47&lt;&gt;"",WEEKDAY(AV$1,2)&lt;6),1,0),IF(AND(AX47&lt;&gt;"",WEEKDAY(AX$1,2)&lt;6),1,0),IF(AND(AZ47&lt;&gt;"",WEEKDAY(AZ$1,2)&lt;6),1,0),IF(AND(BB47&lt;&gt;"",WEEKDAY(BB$1,2)&lt;6),1,0),IF(AND(BD47&lt;&gt;"",WEEKDAY(BD$1,2)&lt;6),1,0),IF(AND(BF47&lt;&gt;"",WEEKDAY(BF$1,2)&lt;6),1,0),IF(AND(BH47&lt;&gt;"",WEEKDAY(BH$1,2)&lt;6),1,0),IF(AND(BJ47&lt;&gt;"",WEEKDAY(BJ$1,2)&lt;6),1,0),IF(AND(BL47&lt;&gt;"",WEEKDAY(BL$1,2)&lt;6),1,0))</f>
        <v>0</v>
      </c>
      <c r="BO47" s="85">
        <f>SUM(IF(AND(E47&lt;&gt;"",WEEKDAY(D$1,2)&lt;6),1,0),IF(AND(G47&lt;&gt;"",WEEKDAY(F$1,2)&lt;6),1,0),IF(AND(I47&lt;&gt;"",WEEKDAY(H$1,2)&lt;6),1,0),IF(AND(K47&lt;&gt;"",WEEKDAY(J$1,2)&lt;6),1,0),IF(AND(M47&lt;&gt;"",WEEKDAY(L$1,2)&lt;6),1,0),IF(AND(O47&lt;&gt;"",WEEKDAY(N$1,2)&lt;6),1,0),IF(AND(Q47&lt;&gt;"",WEEKDAY(P$1,2)&lt;6),1,0),IF(AND(S47&lt;&gt;"",WEEKDAY(R$1,2)&lt;6),1,0),IF(AND(U47&lt;&gt;"",WEEKDAY(T$1,2)&lt;6),1,0),IF(AND(W47&lt;&gt;"",WEEKDAY(V$1,2)&lt;6),1,0),IF(AND(Y47&lt;&gt;"",WEEKDAY(X$1,2)&lt;6),1,0),IF(AND(AA47&lt;&gt;"",WEEKDAY(Z$1,2)&lt;6),1,0),IF(AND(AC47&lt;&gt;"",WEEKDAY(AB$1,2)&lt;6),1,0),IF(AND(AE47&lt;&gt;"",WEEKDAY(AD$1,2)&lt;6),1,0),IF(AND(AG47&lt;&gt;"",WEEKDAY(AF$1,2)&lt;6),1,0),IF(AND(AI47&lt;&gt;"",WEEKDAY(AH$1,2)&lt;6),1,0),IF(AND(AK47&lt;&gt;"",WEEKDAY(AJ$1,2)&lt;6),1,0),IF(AND(AM47&lt;&gt;"",WEEKDAY(AL$1,2)&lt;6),1,0),IF(AND(AO47&lt;&gt;"",WEEKDAY(AN$1,2)&lt;6),1,0),IF(AND(AQ47&lt;&gt;"",WEEKDAY(AP$1,2)&lt;6),1,0),IF(AND(AS47&lt;&gt;"",WEEKDAY(AR$1,2)&lt;6),1,0),IF(AND(AU47&lt;&gt;"",WEEKDAY(AT$1,2)&lt;6),1,0),IF(AND(AW47&lt;&gt;"",WEEKDAY(AV$1,2)&lt;6),1,0),IF(AND(AY47&lt;&gt;"",WEEKDAY(AX$1,2)&lt;6),1,0),IF(AND(BA47&lt;&gt;"",WEEKDAY(AZ$1,2)&lt;6),1,0),IF(AND(BC47&lt;&gt;"",WEEKDAY(BB$1,2)&lt;6),1,0),IF(AND(BE47&lt;&gt;"",WEEKDAY(BD$1,2)&lt;6),1,0),IF(AND(BG47&lt;&gt;"",WEEKDAY(BF$1,2)&lt;6),1,0),IF(AND(BI47&lt;&gt;"",WEEKDAY(BH$1,2)&lt;6),1,0),IF(AND(BK47&lt;&gt;"",WEEKDAY(BJ$1,2)&lt;6),1,0),IF(AND(BM47&lt;&gt;"",WEEKDAY(BL$1,2)&lt;6),1,0))</f>
        <v>0</v>
      </c>
      <c r="BP47" s="85">
        <f>SUM(IF(AND((D47&lt;&gt;"")+(E47&lt;&gt;""),WEEKDAY(D$1,2)=6),1,0),IF(AND((F47&lt;&gt;"")+(G47&lt;&gt;""),WEEKDAY(F$1,2)=6),1,0),IF(AND((H47&lt;&gt;"")+(I47&lt;&gt;""),WEEKDAY(H$1,2)=6),1,0),IF(AND((J47&lt;&gt;"")+(K47&lt;&gt;""),WEEKDAY(J$1,2)=6),1,0),IF(AND((L47&lt;&gt;"")+(M47&lt;&gt;""),WEEKDAY(L$1,2)=6),1,0),IF(AND((N47&lt;&gt;"")+(O47&lt;&gt;""),WEEKDAY(N$1,2)=6),1,0),IF(AND((P47&lt;&gt;"")+(Q47&lt;&gt;""),WEEKDAY(P$1,2)=6),1,0),IF(AND((R47&lt;&gt;"")+(S47&lt;&gt;""),WEEKDAY(R$1,2)=6),1,0),IF(AND((T47&lt;&gt;"")+(U47&lt;&gt;""),WEEKDAY(T$1,2)=6),1,0),IF(AND((V47&lt;&gt;"")+(W47&lt;&gt;""),WEEKDAY(V$1,2)=6),1,0),IF(AND((X47&lt;&gt;"")+(Y47&lt;&gt;""),WEEKDAY(X$1,2)=6),1,0),IF(AND((Z47&lt;&gt;"")+(AA47&lt;&gt;""),WEEKDAY(Z$1,2)=6),1,0),IF(AND((AB47&lt;&gt;"")+(AC47&lt;&gt;""),WEEKDAY(AB$1,2)=6),1,0),IF(AND((AD47&lt;&gt;"")+(AE47&lt;&gt;""),WEEKDAY(AD$1,2)=6),1,0),IF(AND((AF47&lt;&gt;"")+(AG47&lt;&gt;""),WEEKDAY(AF$1,2)=6),1,0),IF(AND((AH47&lt;&gt;"")+(AI47&lt;&gt;""),WEEKDAY(AH$1,2)=6),1,0),IF(AND((AJ47&lt;&gt;"")+(AK47&lt;&gt;""),WEEKDAY(AJ$1,2)=6),1,0),IF(AND((AL47&lt;&gt;"")+(AM47&lt;&gt;""),WEEKDAY(AL$1,2)=6),1,0),IF(AND((AN47&lt;&gt;"")+(AO47&lt;&gt;""),WEEKDAY(AN$1,2)=6),1,0),IF(AND((AP47&lt;&gt;"")+(AQ47&lt;&gt;""),WEEKDAY(AP$1,2)=6),1,0),IF(AND((AR47&lt;&gt;"")+(AS47&lt;&gt;""),WEEKDAY(AR$1,2)=6),1,0),IF(AND((AT47&lt;&gt;"")+(AU47&lt;&gt;""),WEEKDAY(AT$1,2)=6),1,0),IF(AND((AV47&lt;&gt;"")+(AW47&lt;&gt;""),WEEKDAY(AV$1,2)=6),1,0),IF(AND((AX47&lt;&gt;"")+(AY47&lt;&gt;""),WEEKDAY(AX$1,2)=6),1,0),IF(AND((AZ47&lt;&gt;"")+(BA47&lt;&gt;""),WEEKDAY(AZ$1,2)=6),1,0),IF(AND((BB47&lt;&gt;"")+(BC47&lt;&gt;""),WEEKDAY(BB$1,2)=6),1,0),IF(AND((BD47&lt;&gt;"")+(BE47&lt;&gt;""),WEEKDAY(BD$1,2)=6),1,0),IF(AND((BF47&lt;&gt;"")+(BG47&lt;&gt;""),WEEKDAY(BF$1,2)=6),1,0),IF(AND((BH47&lt;&gt;"")+(BI47&lt;&gt;""),WEEKDAY(BH$1,2)=6),1,0),IF(AND((BJ47&lt;&gt;"")+(BK47&lt;&gt;""),WEEKDAY(BJ$1,2)=6),1,0),IF(AND((BL47&lt;&gt;"")+(BM47&lt;&gt;""),WEEKDAY(BL$1,2)=6),1,0))</f>
        <v>0</v>
      </c>
    </row>
    <row r="48" spans="1:68" ht="16.5">
      <c r="A48" s="86" t="s">
        <v>72</v>
      </c>
      <c r="B48" s="86" t="s">
        <v>76</v>
      </c>
      <c r="C48" s="92" t="s">
        <v>77</v>
      </c>
      <c r="D48" s="91"/>
      <c r="E48" s="91"/>
      <c r="F48" s="88">
        <v>0.35555555555555557</v>
      </c>
      <c r="G48" s="88">
        <v>0.16527777777777777</v>
      </c>
      <c r="H48" s="88">
        <v>0.35625000000000001</v>
      </c>
      <c r="I48" s="88">
        <v>0.16458333333333333</v>
      </c>
      <c r="J48" s="99">
        <v>0.35694444444444445</v>
      </c>
      <c r="K48" s="99">
        <v>0.16458333333333333</v>
      </c>
      <c r="L48" s="99">
        <v>0.34722222222222221</v>
      </c>
      <c r="M48" s="99">
        <v>0.16805555555555557</v>
      </c>
      <c r="N48" s="88">
        <v>0.35347222222222224</v>
      </c>
      <c r="O48" s="88">
        <v>0.16666666666666666</v>
      </c>
      <c r="P48" s="95"/>
      <c r="Q48" s="95"/>
      <c r="R48" s="91"/>
      <c r="S48" s="91"/>
      <c r="T48" s="88">
        <v>0.34861111111111109</v>
      </c>
      <c r="U48" s="88">
        <v>0.1701388888888889</v>
      </c>
      <c r="V48" s="88">
        <v>0.33611111111111114</v>
      </c>
      <c r="W48" s="88">
        <v>0.18541666666666667</v>
      </c>
      <c r="X48" s="88">
        <v>0.35902777777777778</v>
      </c>
      <c r="Y48" s="88">
        <v>0.15625</v>
      </c>
      <c r="Z48" s="88">
        <v>0.35902777777777778</v>
      </c>
      <c r="AA48" s="88">
        <v>0.17430555555555555</v>
      </c>
      <c r="AB48" s="88">
        <v>0.35416666666666669</v>
      </c>
      <c r="AC48" s="88">
        <v>0.17430555555555555</v>
      </c>
      <c r="AD48" s="102">
        <v>0.36319444444444443</v>
      </c>
      <c r="AE48" s="102">
        <v>0.50347222222222221</v>
      </c>
      <c r="AF48" s="91"/>
      <c r="AG48" s="91"/>
      <c r="AH48" s="96"/>
      <c r="AI48" s="96"/>
      <c r="AJ48" s="88">
        <v>0.35347222222222224</v>
      </c>
      <c r="AK48" s="88">
        <v>0.16180555555555556</v>
      </c>
      <c r="AL48" s="88">
        <v>0.35486111111111113</v>
      </c>
      <c r="AM48" s="88">
        <v>0.17499999999999999</v>
      </c>
      <c r="AN48" s="88">
        <v>0.36458333333333331</v>
      </c>
      <c r="AO48" s="88">
        <v>0.17916666666666667</v>
      </c>
      <c r="AP48" s="88">
        <v>0.35833333333333334</v>
      </c>
      <c r="AQ48" s="88">
        <v>0.16944444444444445</v>
      </c>
      <c r="AR48" s="102">
        <v>0.35486111111111113</v>
      </c>
      <c r="AS48" s="102">
        <v>0.53611111111111109</v>
      </c>
      <c r="AT48" s="91"/>
      <c r="AU48" s="91"/>
      <c r="AV48" s="88">
        <v>0.35069444444444442</v>
      </c>
      <c r="AW48" s="88">
        <v>0.17152777777777778</v>
      </c>
      <c r="AX48" s="88">
        <v>0.3611111111111111</v>
      </c>
      <c r="AY48" s="88">
        <v>0.16250000000000001</v>
      </c>
      <c r="AZ48" s="88">
        <v>0.3527777777777778</v>
      </c>
      <c r="BA48" s="88">
        <v>0.16805555555555557</v>
      </c>
      <c r="BB48" s="88">
        <v>0.35347222222222224</v>
      </c>
      <c r="BC48" s="88">
        <v>0.16458333333333333</v>
      </c>
      <c r="BD48" s="88">
        <v>0.35555555555555557</v>
      </c>
      <c r="BE48" s="85"/>
      <c r="BF48" s="95"/>
      <c r="BG48" s="95"/>
      <c r="BH48" s="91"/>
      <c r="BI48" s="91"/>
      <c r="BJ48" s="88">
        <v>0.34861111111111109</v>
      </c>
      <c r="BK48" s="88">
        <v>0.15972222222222221</v>
      </c>
      <c r="BL48" s="99">
        <v>0.35833333333333334</v>
      </c>
      <c r="BM48" s="99">
        <v>0.17152777777777778</v>
      </c>
      <c r="BN48" s="85">
        <f>SUM(IF(AND(D48&lt;&gt;"",WEEKDAY(D$1,2)&lt;6),1,0),IF(AND(F48&lt;&gt;"",WEEKDAY(F$1,2)&lt;6),1,0),IF(AND(H48&lt;&gt;"",WEEKDAY(H$1,2)&lt;6),1,0),IF(AND(J48&lt;&gt;"",WEEKDAY(J$1,2)&lt;6),1,0),IF(AND(L48&lt;&gt;"",WEEKDAY(L$1,2)&lt;6),1,0),IF(AND(N48&lt;&gt;"",WEEKDAY(N$1,2)&lt;6),1,0),IF(AND(P48&lt;&gt;"",WEEKDAY(P$1,2)&lt;6),1,0),IF(AND(R48&lt;&gt;"",WEEKDAY(R$1,2)&lt;6),1,0),IF(AND(T48&lt;&gt;"",WEEKDAY(T$1,2)&lt;6),1,0),IF(AND(V48&lt;&gt;"",WEEKDAY(V$1,2)&lt;6),1,0),IF(AND(X48&lt;&gt;"",WEEKDAY(X$1,2)&lt;6),1,0),IF(AND(Z48&lt;&gt;"",WEEKDAY(Z$1,2)&lt;6),1,0),IF(AND(AB48&lt;&gt;"",WEEKDAY(AB$1,2)&lt;6),1,0),IF(AND(AD48&lt;&gt;"",WEEKDAY(AD$1,2)&lt;6),1,0),IF(AND(AF48&lt;&gt;"",WEEKDAY(AF$1,2)&lt;6),1,0),IF(AND(AH48&lt;&gt;"",WEEKDAY(AH$1,2)&lt;6),1,0),IF(AND(AJ48&lt;&gt;"",WEEKDAY(AJ$1,2)&lt;6),1,0),IF(AND(AL48&lt;&gt;"",WEEKDAY(AL$1,2)&lt;6),1,0),IF(AND(AN48&lt;&gt;"",WEEKDAY(AN$1,2)&lt;6),1,0),IF(AND(AP48&lt;&gt;"",WEEKDAY(AP$1,2)&lt;6),1,0),IF(AND(AR48&lt;&gt;"",WEEKDAY(AR$1,2)&lt;6),1,0),IF(AND(AT48&lt;&gt;"",WEEKDAY(AT$1,2)&lt;6),1,0),IF(AND(AV48&lt;&gt;"",WEEKDAY(AV$1,2)&lt;6),1,0),IF(AND(AX48&lt;&gt;"",WEEKDAY(AX$1,2)&lt;6),1,0),IF(AND(AZ48&lt;&gt;"",WEEKDAY(AZ$1,2)&lt;6),1,0),IF(AND(BB48&lt;&gt;"",WEEKDAY(BB$1,2)&lt;6),1,0),IF(AND(BD48&lt;&gt;"",WEEKDAY(BD$1,2)&lt;6),1,0),IF(AND(BF48&lt;&gt;"",WEEKDAY(BF$1,2)&lt;6),1,0),IF(AND(BH48&lt;&gt;"",WEEKDAY(BH$1,2)&lt;6),1,0),IF(AND(BJ48&lt;&gt;"",WEEKDAY(BJ$1,2)&lt;6),1,0),IF(AND(BL48&lt;&gt;"",WEEKDAY(BL$1,2)&lt;6),1,0))</f>
        <v>21</v>
      </c>
      <c r="BO48" s="85">
        <f>SUM(IF(AND(E48&lt;&gt;"",WEEKDAY(D$1,2)&lt;6),1,0),IF(AND(G48&lt;&gt;"",WEEKDAY(F$1,2)&lt;6),1,0),IF(AND(I48&lt;&gt;"",WEEKDAY(H$1,2)&lt;6),1,0),IF(AND(K48&lt;&gt;"",WEEKDAY(J$1,2)&lt;6),1,0),IF(AND(M48&lt;&gt;"",WEEKDAY(L$1,2)&lt;6),1,0),IF(AND(O48&lt;&gt;"",WEEKDAY(N$1,2)&lt;6),1,0),IF(AND(Q48&lt;&gt;"",WEEKDAY(P$1,2)&lt;6),1,0),IF(AND(S48&lt;&gt;"",WEEKDAY(R$1,2)&lt;6),1,0),IF(AND(U48&lt;&gt;"",WEEKDAY(T$1,2)&lt;6),1,0),IF(AND(W48&lt;&gt;"",WEEKDAY(V$1,2)&lt;6),1,0),IF(AND(Y48&lt;&gt;"",WEEKDAY(X$1,2)&lt;6),1,0),IF(AND(AA48&lt;&gt;"",WEEKDAY(Z$1,2)&lt;6),1,0),IF(AND(AC48&lt;&gt;"",WEEKDAY(AB$1,2)&lt;6),1,0),IF(AND(AE48&lt;&gt;"",WEEKDAY(AD$1,2)&lt;6),1,0),IF(AND(AG48&lt;&gt;"",WEEKDAY(AF$1,2)&lt;6),1,0),IF(AND(AI48&lt;&gt;"",WEEKDAY(AH$1,2)&lt;6),1,0),IF(AND(AK48&lt;&gt;"",WEEKDAY(AJ$1,2)&lt;6),1,0),IF(AND(AM48&lt;&gt;"",WEEKDAY(AL$1,2)&lt;6),1,0),IF(AND(AO48&lt;&gt;"",WEEKDAY(AN$1,2)&lt;6),1,0),IF(AND(AQ48&lt;&gt;"",WEEKDAY(AP$1,2)&lt;6),1,0),IF(AND(AS48&lt;&gt;"",WEEKDAY(AR$1,2)&lt;6),1,0),IF(AND(AU48&lt;&gt;"",WEEKDAY(AT$1,2)&lt;6),1,0),IF(AND(AW48&lt;&gt;"",WEEKDAY(AV$1,2)&lt;6),1,0),IF(AND(AY48&lt;&gt;"",WEEKDAY(AX$1,2)&lt;6),1,0),IF(AND(BA48&lt;&gt;"",WEEKDAY(AZ$1,2)&lt;6),1,0),IF(AND(BC48&lt;&gt;"",WEEKDAY(BB$1,2)&lt;6),1,0),IF(AND(BE48&lt;&gt;"",WEEKDAY(BD$1,2)&lt;6),1,0),IF(AND(BG48&lt;&gt;"",WEEKDAY(BF$1,2)&lt;6),1,0),IF(AND(BI48&lt;&gt;"",WEEKDAY(BH$1,2)&lt;6),1,0),IF(AND(BK48&lt;&gt;"",WEEKDAY(BJ$1,2)&lt;6),1,0),IF(AND(BM48&lt;&gt;"",WEEKDAY(BL$1,2)&lt;6),1,0))</f>
        <v>20</v>
      </c>
      <c r="BP48" s="85">
        <f>SUM(IF(AND((D48&lt;&gt;"")+(E48&lt;&gt;""),WEEKDAY(D$1,2)=6),1,0),IF(AND((F48&lt;&gt;"")+(G48&lt;&gt;""),WEEKDAY(F$1,2)=6),1,0),IF(AND((H48&lt;&gt;"")+(I48&lt;&gt;""),WEEKDAY(H$1,2)=6),1,0),IF(AND((J48&lt;&gt;"")+(K48&lt;&gt;""),WEEKDAY(J$1,2)=6),1,0),IF(AND((L48&lt;&gt;"")+(M48&lt;&gt;""),WEEKDAY(L$1,2)=6),1,0),IF(AND((N48&lt;&gt;"")+(O48&lt;&gt;""),WEEKDAY(N$1,2)=6),1,0),IF(AND((P48&lt;&gt;"")+(Q48&lt;&gt;""),WEEKDAY(P$1,2)=6),1,0),IF(AND((R48&lt;&gt;"")+(S48&lt;&gt;""),WEEKDAY(R$1,2)=6),1,0),IF(AND((T48&lt;&gt;"")+(U48&lt;&gt;""),WEEKDAY(T$1,2)=6),1,0),IF(AND((V48&lt;&gt;"")+(W48&lt;&gt;""),WEEKDAY(V$1,2)=6),1,0),IF(AND((X48&lt;&gt;"")+(Y48&lt;&gt;""),WEEKDAY(X$1,2)=6),1,0),IF(AND((Z48&lt;&gt;"")+(AA48&lt;&gt;""),WEEKDAY(Z$1,2)=6),1,0),IF(AND((AB48&lt;&gt;"")+(AC48&lt;&gt;""),WEEKDAY(AB$1,2)=6),1,0),IF(AND((AD48&lt;&gt;"")+(AE48&lt;&gt;""),WEEKDAY(AD$1,2)=6),1,0),IF(AND((AF48&lt;&gt;"")+(AG48&lt;&gt;""),WEEKDAY(AF$1,2)=6),1,0),IF(AND((AH48&lt;&gt;"")+(AI48&lt;&gt;""),WEEKDAY(AH$1,2)=6),1,0),IF(AND((AJ48&lt;&gt;"")+(AK48&lt;&gt;""),WEEKDAY(AJ$1,2)=6),1,0),IF(AND((AL48&lt;&gt;"")+(AM48&lt;&gt;""),WEEKDAY(AL$1,2)=6),1,0),IF(AND((AN48&lt;&gt;"")+(AO48&lt;&gt;""),WEEKDAY(AN$1,2)=6),1,0),IF(AND((AP48&lt;&gt;"")+(AQ48&lt;&gt;""),WEEKDAY(AP$1,2)=6),1,0),IF(AND((AR48&lt;&gt;"")+(AS48&lt;&gt;""),WEEKDAY(AR$1,2)=6),1,0),IF(AND((AT48&lt;&gt;"")+(AU48&lt;&gt;""),WEEKDAY(AT$1,2)=6),1,0),IF(AND((AV48&lt;&gt;"")+(AW48&lt;&gt;""),WEEKDAY(AV$1,2)=6),1,0),IF(AND((AX48&lt;&gt;"")+(AY48&lt;&gt;""),WEEKDAY(AX$1,2)=6),1,0),IF(AND((AZ48&lt;&gt;"")+(BA48&lt;&gt;""),WEEKDAY(AZ$1,2)=6),1,0),IF(AND((BB48&lt;&gt;"")+(BC48&lt;&gt;""),WEEKDAY(BB$1,2)=6),1,0),IF(AND((BD48&lt;&gt;"")+(BE48&lt;&gt;""),WEEKDAY(BD$1,2)=6),1,0),IF(AND((BF48&lt;&gt;"")+(BG48&lt;&gt;""),WEEKDAY(BF$1,2)=6),1,0),IF(AND((BH48&lt;&gt;"")+(BI48&lt;&gt;""),WEEKDAY(BH$1,2)=6),1,0),IF(AND((BJ48&lt;&gt;"")+(BK48&lt;&gt;""),WEEKDAY(BJ$1,2)=6),1,0),IF(AND((BL48&lt;&gt;"")+(BM48&lt;&gt;""),WEEKDAY(BL$1,2)=6),1,0))</f>
        <v>2</v>
      </c>
    </row>
    <row r="49" spans="1:68" ht="16.5">
      <c r="A49" s="86" t="s">
        <v>72</v>
      </c>
      <c r="B49" s="86" t="s">
        <v>76</v>
      </c>
      <c r="C49" s="92" t="s">
        <v>78</v>
      </c>
      <c r="D49" s="91"/>
      <c r="E49" s="91"/>
      <c r="F49" s="85"/>
      <c r="G49" s="85"/>
      <c r="H49" s="85"/>
      <c r="I49" s="85"/>
      <c r="J49" s="98"/>
      <c r="K49" s="98"/>
      <c r="L49" s="98"/>
      <c r="M49" s="98"/>
      <c r="N49" s="85"/>
      <c r="O49" s="85"/>
      <c r="P49" s="95"/>
      <c r="Q49" s="95"/>
      <c r="R49" s="91"/>
      <c r="S49" s="91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95"/>
      <c r="AE49" s="95"/>
      <c r="AF49" s="91"/>
      <c r="AG49" s="91"/>
      <c r="AH49" s="96"/>
      <c r="AI49" s="96"/>
      <c r="AJ49" s="85"/>
      <c r="AK49" s="85"/>
      <c r="AL49" s="85"/>
      <c r="AM49" s="85"/>
      <c r="AN49" s="85"/>
      <c r="AO49" s="85"/>
      <c r="AP49" s="85"/>
      <c r="AQ49" s="85"/>
      <c r="AR49" s="95"/>
      <c r="AS49" s="95"/>
      <c r="AT49" s="91"/>
      <c r="AU49" s="91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95"/>
      <c r="BG49" s="95"/>
      <c r="BH49" s="91"/>
      <c r="BI49" s="91"/>
      <c r="BJ49" s="85"/>
      <c r="BK49" s="85"/>
      <c r="BL49" s="98"/>
      <c r="BM49" s="98"/>
      <c r="BN49" s="85">
        <f>SUM(IF(AND(D49&lt;&gt;"",WEEKDAY(D$1,2)&lt;6),1,0),IF(AND(F49&lt;&gt;"",WEEKDAY(F$1,2)&lt;6),1,0),IF(AND(H49&lt;&gt;"",WEEKDAY(H$1,2)&lt;6),1,0),IF(AND(J49&lt;&gt;"",WEEKDAY(J$1,2)&lt;6),1,0),IF(AND(L49&lt;&gt;"",WEEKDAY(L$1,2)&lt;6),1,0),IF(AND(N49&lt;&gt;"",WEEKDAY(N$1,2)&lt;6),1,0),IF(AND(P49&lt;&gt;"",WEEKDAY(P$1,2)&lt;6),1,0),IF(AND(R49&lt;&gt;"",WEEKDAY(R$1,2)&lt;6),1,0),IF(AND(T49&lt;&gt;"",WEEKDAY(T$1,2)&lt;6),1,0),IF(AND(V49&lt;&gt;"",WEEKDAY(V$1,2)&lt;6),1,0),IF(AND(X49&lt;&gt;"",WEEKDAY(X$1,2)&lt;6),1,0),IF(AND(Z49&lt;&gt;"",WEEKDAY(Z$1,2)&lt;6),1,0),IF(AND(AB49&lt;&gt;"",WEEKDAY(AB$1,2)&lt;6),1,0),IF(AND(AD49&lt;&gt;"",WEEKDAY(AD$1,2)&lt;6),1,0),IF(AND(AF49&lt;&gt;"",WEEKDAY(AF$1,2)&lt;6),1,0),IF(AND(AH49&lt;&gt;"",WEEKDAY(AH$1,2)&lt;6),1,0),IF(AND(AJ49&lt;&gt;"",WEEKDAY(AJ$1,2)&lt;6),1,0),IF(AND(AL49&lt;&gt;"",WEEKDAY(AL$1,2)&lt;6),1,0),IF(AND(AN49&lt;&gt;"",WEEKDAY(AN$1,2)&lt;6),1,0),IF(AND(AP49&lt;&gt;"",WEEKDAY(AP$1,2)&lt;6),1,0),IF(AND(AR49&lt;&gt;"",WEEKDAY(AR$1,2)&lt;6),1,0),IF(AND(AT49&lt;&gt;"",WEEKDAY(AT$1,2)&lt;6),1,0),IF(AND(AV49&lt;&gt;"",WEEKDAY(AV$1,2)&lt;6),1,0),IF(AND(AX49&lt;&gt;"",WEEKDAY(AX$1,2)&lt;6),1,0),IF(AND(AZ49&lt;&gt;"",WEEKDAY(AZ$1,2)&lt;6),1,0),IF(AND(BB49&lt;&gt;"",WEEKDAY(BB$1,2)&lt;6),1,0),IF(AND(BD49&lt;&gt;"",WEEKDAY(BD$1,2)&lt;6),1,0),IF(AND(BF49&lt;&gt;"",WEEKDAY(BF$1,2)&lt;6),1,0),IF(AND(BH49&lt;&gt;"",WEEKDAY(BH$1,2)&lt;6),1,0),IF(AND(BJ49&lt;&gt;"",WEEKDAY(BJ$1,2)&lt;6),1,0),IF(AND(BL49&lt;&gt;"",WEEKDAY(BL$1,2)&lt;6),1,0))</f>
        <v>0</v>
      </c>
      <c r="BO49" s="85">
        <f>SUM(IF(AND(E49&lt;&gt;"",WEEKDAY(D$1,2)&lt;6),1,0),IF(AND(G49&lt;&gt;"",WEEKDAY(F$1,2)&lt;6),1,0),IF(AND(I49&lt;&gt;"",WEEKDAY(H$1,2)&lt;6),1,0),IF(AND(K49&lt;&gt;"",WEEKDAY(J$1,2)&lt;6),1,0),IF(AND(M49&lt;&gt;"",WEEKDAY(L$1,2)&lt;6),1,0),IF(AND(O49&lt;&gt;"",WEEKDAY(N$1,2)&lt;6),1,0),IF(AND(Q49&lt;&gt;"",WEEKDAY(P$1,2)&lt;6),1,0),IF(AND(S49&lt;&gt;"",WEEKDAY(R$1,2)&lt;6),1,0),IF(AND(U49&lt;&gt;"",WEEKDAY(T$1,2)&lt;6),1,0),IF(AND(W49&lt;&gt;"",WEEKDAY(V$1,2)&lt;6),1,0),IF(AND(Y49&lt;&gt;"",WEEKDAY(X$1,2)&lt;6),1,0),IF(AND(AA49&lt;&gt;"",WEEKDAY(Z$1,2)&lt;6),1,0),IF(AND(AC49&lt;&gt;"",WEEKDAY(AB$1,2)&lt;6),1,0),IF(AND(AE49&lt;&gt;"",WEEKDAY(AD$1,2)&lt;6),1,0),IF(AND(AG49&lt;&gt;"",WEEKDAY(AF$1,2)&lt;6),1,0),IF(AND(AI49&lt;&gt;"",WEEKDAY(AH$1,2)&lt;6),1,0),IF(AND(AK49&lt;&gt;"",WEEKDAY(AJ$1,2)&lt;6),1,0),IF(AND(AM49&lt;&gt;"",WEEKDAY(AL$1,2)&lt;6),1,0),IF(AND(AO49&lt;&gt;"",WEEKDAY(AN$1,2)&lt;6),1,0),IF(AND(AQ49&lt;&gt;"",WEEKDAY(AP$1,2)&lt;6),1,0),IF(AND(AS49&lt;&gt;"",WEEKDAY(AR$1,2)&lt;6),1,0),IF(AND(AU49&lt;&gt;"",WEEKDAY(AT$1,2)&lt;6),1,0),IF(AND(AW49&lt;&gt;"",WEEKDAY(AV$1,2)&lt;6),1,0),IF(AND(AY49&lt;&gt;"",WEEKDAY(AX$1,2)&lt;6),1,0),IF(AND(BA49&lt;&gt;"",WEEKDAY(AZ$1,2)&lt;6),1,0),IF(AND(BC49&lt;&gt;"",WEEKDAY(BB$1,2)&lt;6),1,0),IF(AND(BE49&lt;&gt;"",WEEKDAY(BD$1,2)&lt;6),1,0),IF(AND(BG49&lt;&gt;"",WEEKDAY(BF$1,2)&lt;6),1,0),IF(AND(BI49&lt;&gt;"",WEEKDAY(BH$1,2)&lt;6),1,0),IF(AND(BK49&lt;&gt;"",WEEKDAY(BJ$1,2)&lt;6),1,0),IF(AND(BM49&lt;&gt;"",WEEKDAY(BL$1,2)&lt;6),1,0))</f>
        <v>0</v>
      </c>
      <c r="BP49" s="85">
        <f>SUM(IF(AND((D49&lt;&gt;"")+(E49&lt;&gt;""),WEEKDAY(D$1,2)=6),1,0),IF(AND((F49&lt;&gt;"")+(G49&lt;&gt;""),WEEKDAY(F$1,2)=6),1,0),IF(AND((H49&lt;&gt;"")+(I49&lt;&gt;""),WEEKDAY(H$1,2)=6),1,0),IF(AND((J49&lt;&gt;"")+(K49&lt;&gt;""),WEEKDAY(J$1,2)=6),1,0),IF(AND((L49&lt;&gt;"")+(M49&lt;&gt;""),WEEKDAY(L$1,2)=6),1,0),IF(AND((N49&lt;&gt;"")+(O49&lt;&gt;""),WEEKDAY(N$1,2)=6),1,0),IF(AND((P49&lt;&gt;"")+(Q49&lt;&gt;""),WEEKDAY(P$1,2)=6),1,0),IF(AND((R49&lt;&gt;"")+(S49&lt;&gt;""),WEEKDAY(R$1,2)=6),1,0),IF(AND((T49&lt;&gt;"")+(U49&lt;&gt;""),WEEKDAY(T$1,2)=6),1,0),IF(AND((V49&lt;&gt;"")+(W49&lt;&gt;""),WEEKDAY(V$1,2)=6),1,0),IF(AND((X49&lt;&gt;"")+(Y49&lt;&gt;""),WEEKDAY(X$1,2)=6),1,0),IF(AND((Z49&lt;&gt;"")+(AA49&lt;&gt;""),WEEKDAY(Z$1,2)=6),1,0),IF(AND((AB49&lt;&gt;"")+(AC49&lt;&gt;""),WEEKDAY(AB$1,2)=6),1,0),IF(AND((AD49&lt;&gt;"")+(AE49&lt;&gt;""),WEEKDAY(AD$1,2)=6),1,0),IF(AND((AF49&lt;&gt;"")+(AG49&lt;&gt;""),WEEKDAY(AF$1,2)=6),1,0),IF(AND((AH49&lt;&gt;"")+(AI49&lt;&gt;""),WEEKDAY(AH$1,2)=6),1,0),IF(AND((AJ49&lt;&gt;"")+(AK49&lt;&gt;""),WEEKDAY(AJ$1,2)=6),1,0),IF(AND((AL49&lt;&gt;"")+(AM49&lt;&gt;""),WEEKDAY(AL$1,2)=6),1,0),IF(AND((AN49&lt;&gt;"")+(AO49&lt;&gt;""),WEEKDAY(AN$1,2)=6),1,0),IF(AND((AP49&lt;&gt;"")+(AQ49&lt;&gt;""),WEEKDAY(AP$1,2)=6),1,0),IF(AND((AR49&lt;&gt;"")+(AS49&lt;&gt;""),WEEKDAY(AR$1,2)=6),1,0),IF(AND((AT49&lt;&gt;"")+(AU49&lt;&gt;""),WEEKDAY(AT$1,2)=6),1,0),IF(AND((AV49&lt;&gt;"")+(AW49&lt;&gt;""),WEEKDAY(AV$1,2)=6),1,0),IF(AND((AX49&lt;&gt;"")+(AY49&lt;&gt;""),WEEKDAY(AX$1,2)=6),1,0),IF(AND((AZ49&lt;&gt;"")+(BA49&lt;&gt;""),WEEKDAY(AZ$1,2)=6),1,0),IF(AND((BB49&lt;&gt;"")+(BC49&lt;&gt;""),WEEKDAY(BB$1,2)=6),1,0),IF(AND((BD49&lt;&gt;"")+(BE49&lt;&gt;""),WEEKDAY(BD$1,2)=6),1,0),IF(AND((BF49&lt;&gt;"")+(BG49&lt;&gt;""),WEEKDAY(BF$1,2)=6),1,0),IF(AND((BH49&lt;&gt;"")+(BI49&lt;&gt;""),WEEKDAY(BH$1,2)=6),1,0),IF(AND((BJ49&lt;&gt;"")+(BK49&lt;&gt;""),WEEKDAY(BJ$1,2)=6),1,0),IF(AND((BL49&lt;&gt;"")+(BM49&lt;&gt;""),WEEKDAY(BL$1,2)=6),1,0))</f>
        <v>0</v>
      </c>
    </row>
    <row r="50" spans="1:68" ht="16.5">
      <c r="A50" s="86" t="s">
        <v>72</v>
      </c>
      <c r="B50" s="86" t="s">
        <v>76</v>
      </c>
      <c r="C50" s="92" t="s">
        <v>79</v>
      </c>
      <c r="D50" s="91"/>
      <c r="E50" s="91"/>
      <c r="F50" s="85"/>
      <c r="G50" s="85"/>
      <c r="H50" s="85"/>
      <c r="I50" s="85"/>
      <c r="J50" s="98"/>
      <c r="K50" s="98"/>
      <c r="L50" s="98"/>
      <c r="M50" s="98"/>
      <c r="N50" s="85"/>
      <c r="O50" s="85"/>
      <c r="P50" s="95"/>
      <c r="Q50" s="95"/>
      <c r="R50" s="91"/>
      <c r="S50" s="91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95"/>
      <c r="AE50" s="95"/>
      <c r="AF50" s="91"/>
      <c r="AG50" s="91"/>
      <c r="AH50" s="96"/>
      <c r="AI50" s="96"/>
      <c r="AJ50" s="85"/>
      <c r="AK50" s="85"/>
      <c r="AL50" s="85"/>
      <c r="AM50" s="85"/>
      <c r="AN50" s="85"/>
      <c r="AO50" s="85"/>
      <c r="AP50" s="85"/>
      <c r="AQ50" s="85"/>
      <c r="AR50" s="95"/>
      <c r="AS50" s="95"/>
      <c r="AT50" s="91"/>
      <c r="AU50" s="91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95"/>
      <c r="BG50" s="95"/>
      <c r="BH50" s="91"/>
      <c r="BI50" s="91"/>
      <c r="BJ50" s="85"/>
      <c r="BK50" s="85"/>
      <c r="BL50" s="98"/>
      <c r="BM50" s="98"/>
      <c r="BN50" s="85">
        <f>SUM(IF(AND(D50&lt;&gt;"",WEEKDAY(D$1,2)&lt;6),1,0),IF(AND(F50&lt;&gt;"",WEEKDAY(F$1,2)&lt;6),1,0),IF(AND(H50&lt;&gt;"",WEEKDAY(H$1,2)&lt;6),1,0),IF(AND(J50&lt;&gt;"",WEEKDAY(J$1,2)&lt;6),1,0),IF(AND(L50&lt;&gt;"",WEEKDAY(L$1,2)&lt;6),1,0),IF(AND(N50&lt;&gt;"",WEEKDAY(N$1,2)&lt;6),1,0),IF(AND(P50&lt;&gt;"",WEEKDAY(P$1,2)&lt;6),1,0),IF(AND(R50&lt;&gt;"",WEEKDAY(R$1,2)&lt;6),1,0),IF(AND(T50&lt;&gt;"",WEEKDAY(T$1,2)&lt;6),1,0),IF(AND(V50&lt;&gt;"",WEEKDAY(V$1,2)&lt;6),1,0),IF(AND(X50&lt;&gt;"",WEEKDAY(X$1,2)&lt;6),1,0),IF(AND(Z50&lt;&gt;"",WEEKDAY(Z$1,2)&lt;6),1,0),IF(AND(AB50&lt;&gt;"",WEEKDAY(AB$1,2)&lt;6),1,0),IF(AND(AD50&lt;&gt;"",WEEKDAY(AD$1,2)&lt;6),1,0),IF(AND(AF50&lt;&gt;"",WEEKDAY(AF$1,2)&lt;6),1,0),IF(AND(AH50&lt;&gt;"",WEEKDAY(AH$1,2)&lt;6),1,0),IF(AND(AJ50&lt;&gt;"",WEEKDAY(AJ$1,2)&lt;6),1,0),IF(AND(AL50&lt;&gt;"",WEEKDAY(AL$1,2)&lt;6),1,0),IF(AND(AN50&lt;&gt;"",WEEKDAY(AN$1,2)&lt;6),1,0),IF(AND(AP50&lt;&gt;"",WEEKDAY(AP$1,2)&lt;6),1,0),IF(AND(AR50&lt;&gt;"",WEEKDAY(AR$1,2)&lt;6),1,0),IF(AND(AT50&lt;&gt;"",WEEKDAY(AT$1,2)&lt;6),1,0),IF(AND(AV50&lt;&gt;"",WEEKDAY(AV$1,2)&lt;6),1,0),IF(AND(AX50&lt;&gt;"",WEEKDAY(AX$1,2)&lt;6),1,0),IF(AND(AZ50&lt;&gt;"",WEEKDAY(AZ$1,2)&lt;6),1,0),IF(AND(BB50&lt;&gt;"",WEEKDAY(BB$1,2)&lt;6),1,0),IF(AND(BD50&lt;&gt;"",WEEKDAY(BD$1,2)&lt;6),1,0),IF(AND(BF50&lt;&gt;"",WEEKDAY(BF$1,2)&lt;6),1,0),IF(AND(BH50&lt;&gt;"",WEEKDAY(BH$1,2)&lt;6),1,0),IF(AND(BJ50&lt;&gt;"",WEEKDAY(BJ$1,2)&lt;6),1,0),IF(AND(BL50&lt;&gt;"",WEEKDAY(BL$1,2)&lt;6),1,0))</f>
        <v>0</v>
      </c>
      <c r="BO50" s="85">
        <f>SUM(IF(AND(E50&lt;&gt;"",WEEKDAY(D$1,2)&lt;6),1,0),IF(AND(G50&lt;&gt;"",WEEKDAY(F$1,2)&lt;6),1,0),IF(AND(I50&lt;&gt;"",WEEKDAY(H$1,2)&lt;6),1,0),IF(AND(K50&lt;&gt;"",WEEKDAY(J$1,2)&lt;6),1,0),IF(AND(M50&lt;&gt;"",WEEKDAY(L$1,2)&lt;6),1,0),IF(AND(O50&lt;&gt;"",WEEKDAY(N$1,2)&lt;6),1,0),IF(AND(Q50&lt;&gt;"",WEEKDAY(P$1,2)&lt;6),1,0),IF(AND(S50&lt;&gt;"",WEEKDAY(R$1,2)&lt;6),1,0),IF(AND(U50&lt;&gt;"",WEEKDAY(T$1,2)&lt;6),1,0),IF(AND(W50&lt;&gt;"",WEEKDAY(V$1,2)&lt;6),1,0),IF(AND(Y50&lt;&gt;"",WEEKDAY(X$1,2)&lt;6),1,0),IF(AND(AA50&lt;&gt;"",WEEKDAY(Z$1,2)&lt;6),1,0),IF(AND(AC50&lt;&gt;"",WEEKDAY(AB$1,2)&lt;6),1,0),IF(AND(AE50&lt;&gt;"",WEEKDAY(AD$1,2)&lt;6),1,0),IF(AND(AG50&lt;&gt;"",WEEKDAY(AF$1,2)&lt;6),1,0),IF(AND(AI50&lt;&gt;"",WEEKDAY(AH$1,2)&lt;6),1,0),IF(AND(AK50&lt;&gt;"",WEEKDAY(AJ$1,2)&lt;6),1,0),IF(AND(AM50&lt;&gt;"",WEEKDAY(AL$1,2)&lt;6),1,0),IF(AND(AO50&lt;&gt;"",WEEKDAY(AN$1,2)&lt;6),1,0),IF(AND(AQ50&lt;&gt;"",WEEKDAY(AP$1,2)&lt;6),1,0),IF(AND(AS50&lt;&gt;"",WEEKDAY(AR$1,2)&lt;6),1,0),IF(AND(AU50&lt;&gt;"",WEEKDAY(AT$1,2)&lt;6),1,0),IF(AND(AW50&lt;&gt;"",WEEKDAY(AV$1,2)&lt;6),1,0),IF(AND(AY50&lt;&gt;"",WEEKDAY(AX$1,2)&lt;6),1,0),IF(AND(BA50&lt;&gt;"",WEEKDAY(AZ$1,2)&lt;6),1,0),IF(AND(BC50&lt;&gt;"",WEEKDAY(BB$1,2)&lt;6),1,0),IF(AND(BE50&lt;&gt;"",WEEKDAY(BD$1,2)&lt;6),1,0),IF(AND(BG50&lt;&gt;"",WEEKDAY(BF$1,2)&lt;6),1,0),IF(AND(BI50&lt;&gt;"",WEEKDAY(BH$1,2)&lt;6),1,0),IF(AND(BK50&lt;&gt;"",WEEKDAY(BJ$1,2)&lt;6),1,0),IF(AND(BM50&lt;&gt;"",WEEKDAY(BL$1,2)&lt;6),1,0))</f>
        <v>0</v>
      </c>
      <c r="BP50" s="85">
        <f>SUM(IF(AND((D50&lt;&gt;"")+(E50&lt;&gt;""),WEEKDAY(D$1,2)=6),1,0),IF(AND((F50&lt;&gt;"")+(G50&lt;&gt;""),WEEKDAY(F$1,2)=6),1,0),IF(AND((H50&lt;&gt;"")+(I50&lt;&gt;""),WEEKDAY(H$1,2)=6),1,0),IF(AND((J50&lt;&gt;"")+(K50&lt;&gt;""),WEEKDAY(J$1,2)=6),1,0),IF(AND((L50&lt;&gt;"")+(M50&lt;&gt;""),WEEKDAY(L$1,2)=6),1,0),IF(AND((N50&lt;&gt;"")+(O50&lt;&gt;""),WEEKDAY(N$1,2)=6),1,0),IF(AND((P50&lt;&gt;"")+(Q50&lt;&gt;""),WEEKDAY(P$1,2)=6),1,0),IF(AND((R50&lt;&gt;"")+(S50&lt;&gt;""),WEEKDAY(R$1,2)=6),1,0),IF(AND((T50&lt;&gt;"")+(U50&lt;&gt;""),WEEKDAY(T$1,2)=6),1,0),IF(AND((V50&lt;&gt;"")+(W50&lt;&gt;""),WEEKDAY(V$1,2)=6),1,0),IF(AND((X50&lt;&gt;"")+(Y50&lt;&gt;""),WEEKDAY(X$1,2)=6),1,0),IF(AND((Z50&lt;&gt;"")+(AA50&lt;&gt;""),WEEKDAY(Z$1,2)=6),1,0),IF(AND((AB50&lt;&gt;"")+(AC50&lt;&gt;""),WEEKDAY(AB$1,2)=6),1,0),IF(AND((AD50&lt;&gt;"")+(AE50&lt;&gt;""),WEEKDAY(AD$1,2)=6),1,0),IF(AND((AF50&lt;&gt;"")+(AG50&lt;&gt;""),WEEKDAY(AF$1,2)=6),1,0),IF(AND((AH50&lt;&gt;"")+(AI50&lt;&gt;""),WEEKDAY(AH$1,2)=6),1,0),IF(AND((AJ50&lt;&gt;"")+(AK50&lt;&gt;""),WEEKDAY(AJ$1,2)=6),1,0),IF(AND((AL50&lt;&gt;"")+(AM50&lt;&gt;""),WEEKDAY(AL$1,2)=6),1,0),IF(AND((AN50&lt;&gt;"")+(AO50&lt;&gt;""),WEEKDAY(AN$1,2)=6),1,0),IF(AND((AP50&lt;&gt;"")+(AQ50&lt;&gt;""),WEEKDAY(AP$1,2)=6),1,0),IF(AND((AR50&lt;&gt;"")+(AS50&lt;&gt;""),WEEKDAY(AR$1,2)=6),1,0),IF(AND((AT50&lt;&gt;"")+(AU50&lt;&gt;""),WEEKDAY(AT$1,2)=6),1,0),IF(AND((AV50&lt;&gt;"")+(AW50&lt;&gt;""),WEEKDAY(AV$1,2)=6),1,0),IF(AND((AX50&lt;&gt;"")+(AY50&lt;&gt;""),WEEKDAY(AX$1,2)=6),1,0),IF(AND((AZ50&lt;&gt;"")+(BA50&lt;&gt;""),WEEKDAY(AZ$1,2)=6),1,0),IF(AND((BB50&lt;&gt;"")+(BC50&lt;&gt;""),WEEKDAY(BB$1,2)=6),1,0),IF(AND((BD50&lt;&gt;"")+(BE50&lt;&gt;""),WEEKDAY(BD$1,2)=6),1,0),IF(AND((BF50&lt;&gt;"")+(BG50&lt;&gt;""),WEEKDAY(BF$1,2)=6),1,0),IF(AND((BH50&lt;&gt;"")+(BI50&lt;&gt;""),WEEKDAY(BH$1,2)=6),1,0),IF(AND((BJ50&lt;&gt;"")+(BK50&lt;&gt;""),WEEKDAY(BJ$1,2)=6),1,0),IF(AND((BL50&lt;&gt;"")+(BM50&lt;&gt;""),WEEKDAY(BL$1,2)=6),1,0))</f>
        <v>0</v>
      </c>
    </row>
    <row r="51" spans="1:68" ht="16.5">
      <c r="A51" s="86" t="s">
        <v>72</v>
      </c>
      <c r="B51" s="86" t="s">
        <v>76</v>
      </c>
      <c r="C51" s="92" t="s">
        <v>80</v>
      </c>
      <c r="D51" s="91"/>
      <c r="E51" s="91"/>
      <c r="F51" s="85"/>
      <c r="G51" s="85"/>
      <c r="H51" s="85"/>
      <c r="I51" s="85"/>
      <c r="J51" s="98"/>
      <c r="K51" s="98"/>
      <c r="L51" s="98"/>
      <c r="M51" s="98"/>
      <c r="N51" s="85"/>
      <c r="O51" s="85"/>
      <c r="P51" s="95"/>
      <c r="Q51" s="95"/>
      <c r="R51" s="91"/>
      <c r="S51" s="91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95"/>
      <c r="AE51" s="95"/>
      <c r="AF51" s="91"/>
      <c r="AG51" s="91"/>
      <c r="AH51" s="96"/>
      <c r="AI51" s="96"/>
      <c r="AJ51" s="85"/>
      <c r="AK51" s="85"/>
      <c r="AL51" s="85"/>
      <c r="AM51" s="85"/>
      <c r="AN51" s="85"/>
      <c r="AO51" s="85"/>
      <c r="AP51" s="85"/>
      <c r="AQ51" s="85"/>
      <c r="AR51" s="95"/>
      <c r="AS51" s="95"/>
      <c r="AT51" s="91"/>
      <c r="AU51" s="91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95"/>
      <c r="BG51" s="95"/>
      <c r="BH51" s="91"/>
      <c r="BI51" s="91"/>
      <c r="BJ51" s="85"/>
      <c r="BK51" s="85"/>
      <c r="BL51" s="98"/>
      <c r="BM51" s="98"/>
      <c r="BN51" s="85">
        <f>SUM(IF(AND(D51&lt;&gt;"",WEEKDAY(D$1,2)&lt;6),1,0),IF(AND(F51&lt;&gt;"",WEEKDAY(F$1,2)&lt;6),1,0),IF(AND(H51&lt;&gt;"",WEEKDAY(H$1,2)&lt;6),1,0),IF(AND(J51&lt;&gt;"",WEEKDAY(J$1,2)&lt;6),1,0),IF(AND(L51&lt;&gt;"",WEEKDAY(L$1,2)&lt;6),1,0),IF(AND(N51&lt;&gt;"",WEEKDAY(N$1,2)&lt;6),1,0),IF(AND(P51&lt;&gt;"",WEEKDAY(P$1,2)&lt;6),1,0),IF(AND(R51&lt;&gt;"",WEEKDAY(R$1,2)&lt;6),1,0),IF(AND(T51&lt;&gt;"",WEEKDAY(T$1,2)&lt;6),1,0),IF(AND(V51&lt;&gt;"",WEEKDAY(V$1,2)&lt;6),1,0),IF(AND(X51&lt;&gt;"",WEEKDAY(X$1,2)&lt;6),1,0),IF(AND(Z51&lt;&gt;"",WEEKDAY(Z$1,2)&lt;6),1,0),IF(AND(AB51&lt;&gt;"",WEEKDAY(AB$1,2)&lt;6),1,0),IF(AND(AD51&lt;&gt;"",WEEKDAY(AD$1,2)&lt;6),1,0),IF(AND(AF51&lt;&gt;"",WEEKDAY(AF$1,2)&lt;6),1,0),IF(AND(AH51&lt;&gt;"",WEEKDAY(AH$1,2)&lt;6),1,0),IF(AND(AJ51&lt;&gt;"",WEEKDAY(AJ$1,2)&lt;6),1,0),IF(AND(AL51&lt;&gt;"",WEEKDAY(AL$1,2)&lt;6),1,0),IF(AND(AN51&lt;&gt;"",WEEKDAY(AN$1,2)&lt;6),1,0),IF(AND(AP51&lt;&gt;"",WEEKDAY(AP$1,2)&lt;6),1,0),IF(AND(AR51&lt;&gt;"",WEEKDAY(AR$1,2)&lt;6),1,0),IF(AND(AT51&lt;&gt;"",WEEKDAY(AT$1,2)&lt;6),1,0),IF(AND(AV51&lt;&gt;"",WEEKDAY(AV$1,2)&lt;6),1,0),IF(AND(AX51&lt;&gt;"",WEEKDAY(AX$1,2)&lt;6),1,0),IF(AND(AZ51&lt;&gt;"",WEEKDAY(AZ$1,2)&lt;6),1,0),IF(AND(BB51&lt;&gt;"",WEEKDAY(BB$1,2)&lt;6),1,0),IF(AND(BD51&lt;&gt;"",WEEKDAY(BD$1,2)&lt;6),1,0),IF(AND(BF51&lt;&gt;"",WEEKDAY(BF$1,2)&lt;6),1,0),IF(AND(BH51&lt;&gt;"",WEEKDAY(BH$1,2)&lt;6),1,0),IF(AND(BJ51&lt;&gt;"",WEEKDAY(BJ$1,2)&lt;6),1,0),IF(AND(BL51&lt;&gt;"",WEEKDAY(BL$1,2)&lt;6),1,0))</f>
        <v>0</v>
      </c>
      <c r="BO51" s="85">
        <f>SUM(IF(AND(E51&lt;&gt;"",WEEKDAY(D$1,2)&lt;6),1,0),IF(AND(G51&lt;&gt;"",WEEKDAY(F$1,2)&lt;6),1,0),IF(AND(I51&lt;&gt;"",WEEKDAY(H$1,2)&lt;6),1,0),IF(AND(K51&lt;&gt;"",WEEKDAY(J$1,2)&lt;6),1,0),IF(AND(M51&lt;&gt;"",WEEKDAY(L$1,2)&lt;6),1,0),IF(AND(O51&lt;&gt;"",WEEKDAY(N$1,2)&lt;6),1,0),IF(AND(Q51&lt;&gt;"",WEEKDAY(P$1,2)&lt;6),1,0),IF(AND(S51&lt;&gt;"",WEEKDAY(R$1,2)&lt;6),1,0),IF(AND(U51&lt;&gt;"",WEEKDAY(T$1,2)&lt;6),1,0),IF(AND(W51&lt;&gt;"",WEEKDAY(V$1,2)&lt;6),1,0),IF(AND(Y51&lt;&gt;"",WEEKDAY(X$1,2)&lt;6),1,0),IF(AND(AA51&lt;&gt;"",WEEKDAY(Z$1,2)&lt;6),1,0),IF(AND(AC51&lt;&gt;"",WEEKDAY(AB$1,2)&lt;6),1,0),IF(AND(AE51&lt;&gt;"",WEEKDAY(AD$1,2)&lt;6),1,0),IF(AND(AG51&lt;&gt;"",WEEKDAY(AF$1,2)&lt;6),1,0),IF(AND(AI51&lt;&gt;"",WEEKDAY(AH$1,2)&lt;6),1,0),IF(AND(AK51&lt;&gt;"",WEEKDAY(AJ$1,2)&lt;6),1,0),IF(AND(AM51&lt;&gt;"",WEEKDAY(AL$1,2)&lt;6),1,0),IF(AND(AO51&lt;&gt;"",WEEKDAY(AN$1,2)&lt;6),1,0),IF(AND(AQ51&lt;&gt;"",WEEKDAY(AP$1,2)&lt;6),1,0),IF(AND(AS51&lt;&gt;"",WEEKDAY(AR$1,2)&lt;6),1,0),IF(AND(AU51&lt;&gt;"",WEEKDAY(AT$1,2)&lt;6),1,0),IF(AND(AW51&lt;&gt;"",WEEKDAY(AV$1,2)&lt;6),1,0),IF(AND(AY51&lt;&gt;"",WEEKDAY(AX$1,2)&lt;6),1,0),IF(AND(BA51&lt;&gt;"",WEEKDAY(AZ$1,2)&lt;6),1,0),IF(AND(BC51&lt;&gt;"",WEEKDAY(BB$1,2)&lt;6),1,0),IF(AND(BE51&lt;&gt;"",WEEKDAY(BD$1,2)&lt;6),1,0),IF(AND(BG51&lt;&gt;"",WEEKDAY(BF$1,2)&lt;6),1,0),IF(AND(BI51&lt;&gt;"",WEEKDAY(BH$1,2)&lt;6),1,0),IF(AND(BK51&lt;&gt;"",WEEKDAY(BJ$1,2)&lt;6),1,0),IF(AND(BM51&lt;&gt;"",WEEKDAY(BL$1,2)&lt;6),1,0))</f>
        <v>0</v>
      </c>
      <c r="BP51" s="85">
        <f>SUM(IF(AND((D51&lt;&gt;"")+(E51&lt;&gt;""),WEEKDAY(D$1,2)=6),1,0),IF(AND((F51&lt;&gt;"")+(G51&lt;&gt;""),WEEKDAY(F$1,2)=6),1,0),IF(AND((H51&lt;&gt;"")+(I51&lt;&gt;""),WEEKDAY(H$1,2)=6),1,0),IF(AND((J51&lt;&gt;"")+(K51&lt;&gt;""),WEEKDAY(J$1,2)=6),1,0),IF(AND((L51&lt;&gt;"")+(M51&lt;&gt;""),WEEKDAY(L$1,2)=6),1,0),IF(AND((N51&lt;&gt;"")+(O51&lt;&gt;""),WEEKDAY(N$1,2)=6),1,0),IF(AND((P51&lt;&gt;"")+(Q51&lt;&gt;""),WEEKDAY(P$1,2)=6),1,0),IF(AND((R51&lt;&gt;"")+(S51&lt;&gt;""),WEEKDAY(R$1,2)=6),1,0),IF(AND((T51&lt;&gt;"")+(U51&lt;&gt;""),WEEKDAY(T$1,2)=6),1,0),IF(AND((V51&lt;&gt;"")+(W51&lt;&gt;""),WEEKDAY(V$1,2)=6),1,0),IF(AND((X51&lt;&gt;"")+(Y51&lt;&gt;""),WEEKDAY(X$1,2)=6),1,0),IF(AND((Z51&lt;&gt;"")+(AA51&lt;&gt;""),WEEKDAY(Z$1,2)=6),1,0),IF(AND((AB51&lt;&gt;"")+(AC51&lt;&gt;""),WEEKDAY(AB$1,2)=6),1,0),IF(AND((AD51&lt;&gt;"")+(AE51&lt;&gt;""),WEEKDAY(AD$1,2)=6),1,0),IF(AND((AF51&lt;&gt;"")+(AG51&lt;&gt;""),WEEKDAY(AF$1,2)=6),1,0),IF(AND((AH51&lt;&gt;"")+(AI51&lt;&gt;""),WEEKDAY(AH$1,2)=6),1,0),IF(AND((AJ51&lt;&gt;"")+(AK51&lt;&gt;""),WEEKDAY(AJ$1,2)=6),1,0),IF(AND((AL51&lt;&gt;"")+(AM51&lt;&gt;""),WEEKDAY(AL$1,2)=6),1,0),IF(AND((AN51&lt;&gt;"")+(AO51&lt;&gt;""),WEEKDAY(AN$1,2)=6),1,0),IF(AND((AP51&lt;&gt;"")+(AQ51&lt;&gt;""),WEEKDAY(AP$1,2)=6),1,0),IF(AND((AR51&lt;&gt;"")+(AS51&lt;&gt;""),WEEKDAY(AR$1,2)=6),1,0),IF(AND((AT51&lt;&gt;"")+(AU51&lt;&gt;""),WEEKDAY(AT$1,2)=6),1,0),IF(AND((AV51&lt;&gt;"")+(AW51&lt;&gt;""),WEEKDAY(AV$1,2)=6),1,0),IF(AND((AX51&lt;&gt;"")+(AY51&lt;&gt;""),WEEKDAY(AX$1,2)=6),1,0),IF(AND((AZ51&lt;&gt;"")+(BA51&lt;&gt;""),WEEKDAY(AZ$1,2)=6),1,0),IF(AND((BB51&lt;&gt;"")+(BC51&lt;&gt;""),WEEKDAY(BB$1,2)=6),1,0),IF(AND((BD51&lt;&gt;"")+(BE51&lt;&gt;""),WEEKDAY(BD$1,2)=6),1,0),IF(AND((BF51&lt;&gt;"")+(BG51&lt;&gt;""),WEEKDAY(BF$1,2)=6),1,0),IF(AND((BH51&lt;&gt;"")+(BI51&lt;&gt;""),WEEKDAY(BH$1,2)=6),1,0),IF(AND((BJ51&lt;&gt;"")+(BK51&lt;&gt;""),WEEKDAY(BJ$1,2)=6),1,0),IF(AND((BL51&lt;&gt;"")+(BM51&lt;&gt;""),WEEKDAY(BL$1,2)=6),1,0))</f>
        <v>0</v>
      </c>
    </row>
    <row r="52" spans="1:68" ht="16.5">
      <c r="A52" s="86" t="s">
        <v>72</v>
      </c>
      <c r="B52" s="86" t="s">
        <v>76</v>
      </c>
      <c r="C52" s="92" t="s">
        <v>81</v>
      </c>
      <c r="D52" s="91"/>
      <c r="E52" s="91"/>
      <c r="F52" s="85"/>
      <c r="G52" s="85"/>
      <c r="H52" s="85"/>
      <c r="I52" s="85"/>
      <c r="J52" s="98"/>
      <c r="K52" s="98"/>
      <c r="L52" s="98"/>
      <c r="M52" s="98"/>
      <c r="N52" s="85"/>
      <c r="O52" s="85"/>
      <c r="P52" s="95"/>
      <c r="Q52" s="95"/>
      <c r="R52" s="91"/>
      <c r="S52" s="91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95"/>
      <c r="AE52" s="95"/>
      <c r="AF52" s="91"/>
      <c r="AG52" s="91"/>
      <c r="AH52" s="96"/>
      <c r="AI52" s="96"/>
      <c r="AJ52" s="85"/>
      <c r="AK52" s="85"/>
      <c r="AL52" s="85"/>
      <c r="AM52" s="85"/>
      <c r="AN52" s="85"/>
      <c r="AO52" s="85"/>
      <c r="AP52" s="85"/>
      <c r="AQ52" s="85"/>
      <c r="AR52" s="95"/>
      <c r="AS52" s="95"/>
      <c r="AT52" s="91"/>
      <c r="AU52" s="91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95"/>
      <c r="BG52" s="95"/>
      <c r="BH52" s="91"/>
      <c r="BI52" s="91"/>
      <c r="BJ52" s="85"/>
      <c r="BK52" s="85"/>
      <c r="BL52" s="98"/>
      <c r="BM52" s="98"/>
      <c r="BN52" s="85">
        <f>SUM(IF(AND(D52&lt;&gt;"",WEEKDAY(D$1,2)&lt;6),1,0),IF(AND(F52&lt;&gt;"",WEEKDAY(F$1,2)&lt;6),1,0),IF(AND(H52&lt;&gt;"",WEEKDAY(H$1,2)&lt;6),1,0),IF(AND(J52&lt;&gt;"",WEEKDAY(J$1,2)&lt;6),1,0),IF(AND(L52&lt;&gt;"",WEEKDAY(L$1,2)&lt;6),1,0),IF(AND(N52&lt;&gt;"",WEEKDAY(N$1,2)&lt;6),1,0),IF(AND(P52&lt;&gt;"",WEEKDAY(P$1,2)&lt;6),1,0),IF(AND(R52&lt;&gt;"",WEEKDAY(R$1,2)&lt;6),1,0),IF(AND(T52&lt;&gt;"",WEEKDAY(T$1,2)&lt;6),1,0),IF(AND(V52&lt;&gt;"",WEEKDAY(V$1,2)&lt;6),1,0),IF(AND(X52&lt;&gt;"",WEEKDAY(X$1,2)&lt;6),1,0),IF(AND(Z52&lt;&gt;"",WEEKDAY(Z$1,2)&lt;6),1,0),IF(AND(AB52&lt;&gt;"",WEEKDAY(AB$1,2)&lt;6),1,0),IF(AND(AD52&lt;&gt;"",WEEKDAY(AD$1,2)&lt;6),1,0),IF(AND(AF52&lt;&gt;"",WEEKDAY(AF$1,2)&lt;6),1,0),IF(AND(AH52&lt;&gt;"",WEEKDAY(AH$1,2)&lt;6),1,0),IF(AND(AJ52&lt;&gt;"",WEEKDAY(AJ$1,2)&lt;6),1,0),IF(AND(AL52&lt;&gt;"",WEEKDAY(AL$1,2)&lt;6),1,0),IF(AND(AN52&lt;&gt;"",WEEKDAY(AN$1,2)&lt;6),1,0),IF(AND(AP52&lt;&gt;"",WEEKDAY(AP$1,2)&lt;6),1,0),IF(AND(AR52&lt;&gt;"",WEEKDAY(AR$1,2)&lt;6),1,0),IF(AND(AT52&lt;&gt;"",WEEKDAY(AT$1,2)&lt;6),1,0),IF(AND(AV52&lt;&gt;"",WEEKDAY(AV$1,2)&lt;6),1,0),IF(AND(AX52&lt;&gt;"",WEEKDAY(AX$1,2)&lt;6),1,0),IF(AND(AZ52&lt;&gt;"",WEEKDAY(AZ$1,2)&lt;6),1,0),IF(AND(BB52&lt;&gt;"",WEEKDAY(BB$1,2)&lt;6),1,0),IF(AND(BD52&lt;&gt;"",WEEKDAY(BD$1,2)&lt;6),1,0),IF(AND(BF52&lt;&gt;"",WEEKDAY(BF$1,2)&lt;6),1,0),IF(AND(BH52&lt;&gt;"",WEEKDAY(BH$1,2)&lt;6),1,0),IF(AND(BJ52&lt;&gt;"",WEEKDAY(BJ$1,2)&lt;6),1,0),IF(AND(BL52&lt;&gt;"",WEEKDAY(BL$1,2)&lt;6),1,0))</f>
        <v>0</v>
      </c>
      <c r="BO52" s="85">
        <f>SUM(IF(AND(E52&lt;&gt;"",WEEKDAY(D$1,2)&lt;6),1,0),IF(AND(G52&lt;&gt;"",WEEKDAY(F$1,2)&lt;6),1,0),IF(AND(I52&lt;&gt;"",WEEKDAY(H$1,2)&lt;6),1,0),IF(AND(K52&lt;&gt;"",WEEKDAY(J$1,2)&lt;6),1,0),IF(AND(M52&lt;&gt;"",WEEKDAY(L$1,2)&lt;6),1,0),IF(AND(O52&lt;&gt;"",WEEKDAY(N$1,2)&lt;6),1,0),IF(AND(Q52&lt;&gt;"",WEEKDAY(P$1,2)&lt;6),1,0),IF(AND(S52&lt;&gt;"",WEEKDAY(R$1,2)&lt;6),1,0),IF(AND(U52&lt;&gt;"",WEEKDAY(T$1,2)&lt;6),1,0),IF(AND(W52&lt;&gt;"",WEEKDAY(V$1,2)&lt;6),1,0),IF(AND(Y52&lt;&gt;"",WEEKDAY(X$1,2)&lt;6),1,0),IF(AND(AA52&lt;&gt;"",WEEKDAY(Z$1,2)&lt;6),1,0),IF(AND(AC52&lt;&gt;"",WEEKDAY(AB$1,2)&lt;6),1,0),IF(AND(AE52&lt;&gt;"",WEEKDAY(AD$1,2)&lt;6),1,0),IF(AND(AG52&lt;&gt;"",WEEKDAY(AF$1,2)&lt;6),1,0),IF(AND(AI52&lt;&gt;"",WEEKDAY(AH$1,2)&lt;6),1,0),IF(AND(AK52&lt;&gt;"",WEEKDAY(AJ$1,2)&lt;6),1,0),IF(AND(AM52&lt;&gt;"",WEEKDAY(AL$1,2)&lt;6),1,0),IF(AND(AO52&lt;&gt;"",WEEKDAY(AN$1,2)&lt;6),1,0),IF(AND(AQ52&lt;&gt;"",WEEKDAY(AP$1,2)&lt;6),1,0),IF(AND(AS52&lt;&gt;"",WEEKDAY(AR$1,2)&lt;6),1,0),IF(AND(AU52&lt;&gt;"",WEEKDAY(AT$1,2)&lt;6),1,0),IF(AND(AW52&lt;&gt;"",WEEKDAY(AV$1,2)&lt;6),1,0),IF(AND(AY52&lt;&gt;"",WEEKDAY(AX$1,2)&lt;6),1,0),IF(AND(BA52&lt;&gt;"",WEEKDAY(AZ$1,2)&lt;6),1,0),IF(AND(BC52&lt;&gt;"",WEEKDAY(BB$1,2)&lt;6),1,0),IF(AND(BE52&lt;&gt;"",WEEKDAY(BD$1,2)&lt;6),1,0),IF(AND(BG52&lt;&gt;"",WEEKDAY(BF$1,2)&lt;6),1,0),IF(AND(BI52&lt;&gt;"",WEEKDAY(BH$1,2)&lt;6),1,0),IF(AND(BK52&lt;&gt;"",WEEKDAY(BJ$1,2)&lt;6),1,0),IF(AND(BM52&lt;&gt;"",WEEKDAY(BL$1,2)&lt;6),1,0))</f>
        <v>0</v>
      </c>
      <c r="BP52" s="85">
        <f>SUM(IF(AND((D52&lt;&gt;"")+(E52&lt;&gt;""),WEEKDAY(D$1,2)=6),1,0),IF(AND((F52&lt;&gt;"")+(G52&lt;&gt;""),WEEKDAY(F$1,2)=6),1,0),IF(AND((H52&lt;&gt;"")+(I52&lt;&gt;""),WEEKDAY(H$1,2)=6),1,0),IF(AND((J52&lt;&gt;"")+(K52&lt;&gt;""),WEEKDAY(J$1,2)=6),1,0),IF(AND((L52&lt;&gt;"")+(M52&lt;&gt;""),WEEKDAY(L$1,2)=6),1,0),IF(AND((N52&lt;&gt;"")+(O52&lt;&gt;""),WEEKDAY(N$1,2)=6),1,0),IF(AND((P52&lt;&gt;"")+(Q52&lt;&gt;""),WEEKDAY(P$1,2)=6),1,0),IF(AND((R52&lt;&gt;"")+(S52&lt;&gt;""),WEEKDAY(R$1,2)=6),1,0),IF(AND((T52&lt;&gt;"")+(U52&lt;&gt;""),WEEKDAY(T$1,2)=6),1,0),IF(AND((V52&lt;&gt;"")+(W52&lt;&gt;""),WEEKDAY(V$1,2)=6),1,0),IF(AND((X52&lt;&gt;"")+(Y52&lt;&gt;""),WEEKDAY(X$1,2)=6),1,0),IF(AND((Z52&lt;&gt;"")+(AA52&lt;&gt;""),WEEKDAY(Z$1,2)=6),1,0),IF(AND((AB52&lt;&gt;"")+(AC52&lt;&gt;""),WEEKDAY(AB$1,2)=6),1,0),IF(AND((AD52&lt;&gt;"")+(AE52&lt;&gt;""),WEEKDAY(AD$1,2)=6),1,0),IF(AND((AF52&lt;&gt;"")+(AG52&lt;&gt;""),WEEKDAY(AF$1,2)=6),1,0),IF(AND((AH52&lt;&gt;"")+(AI52&lt;&gt;""),WEEKDAY(AH$1,2)=6),1,0),IF(AND((AJ52&lt;&gt;"")+(AK52&lt;&gt;""),WEEKDAY(AJ$1,2)=6),1,0),IF(AND((AL52&lt;&gt;"")+(AM52&lt;&gt;""),WEEKDAY(AL$1,2)=6),1,0),IF(AND((AN52&lt;&gt;"")+(AO52&lt;&gt;""),WEEKDAY(AN$1,2)=6),1,0),IF(AND((AP52&lt;&gt;"")+(AQ52&lt;&gt;""),WEEKDAY(AP$1,2)=6),1,0),IF(AND((AR52&lt;&gt;"")+(AS52&lt;&gt;""),WEEKDAY(AR$1,2)=6),1,0),IF(AND((AT52&lt;&gt;"")+(AU52&lt;&gt;""),WEEKDAY(AT$1,2)=6),1,0),IF(AND((AV52&lt;&gt;"")+(AW52&lt;&gt;""),WEEKDAY(AV$1,2)=6),1,0),IF(AND((AX52&lt;&gt;"")+(AY52&lt;&gt;""),WEEKDAY(AX$1,2)=6),1,0),IF(AND((AZ52&lt;&gt;"")+(BA52&lt;&gt;""),WEEKDAY(AZ$1,2)=6),1,0),IF(AND((BB52&lt;&gt;"")+(BC52&lt;&gt;""),WEEKDAY(BB$1,2)=6),1,0),IF(AND((BD52&lt;&gt;"")+(BE52&lt;&gt;""),WEEKDAY(BD$1,2)=6),1,0),IF(AND((BF52&lt;&gt;"")+(BG52&lt;&gt;""),WEEKDAY(BF$1,2)=6),1,0),IF(AND((BH52&lt;&gt;"")+(BI52&lt;&gt;""),WEEKDAY(BH$1,2)=6),1,0),IF(AND((BJ52&lt;&gt;"")+(BK52&lt;&gt;""),WEEKDAY(BJ$1,2)=6),1,0),IF(AND((BL52&lt;&gt;"")+(BM52&lt;&gt;""),WEEKDAY(BL$1,2)=6),1,0))</f>
        <v>0</v>
      </c>
    </row>
    <row r="53" spans="1:68" ht="16.5">
      <c r="A53" s="86" t="s">
        <v>72</v>
      </c>
      <c r="B53" s="86" t="s">
        <v>82</v>
      </c>
      <c r="C53" s="92" t="s">
        <v>83</v>
      </c>
      <c r="D53" s="91"/>
      <c r="E53" s="91"/>
      <c r="F53" s="85"/>
      <c r="G53" s="85"/>
      <c r="H53" s="88">
        <v>0.40694444444444444</v>
      </c>
      <c r="I53" s="99">
        <v>0.20902777777777778</v>
      </c>
      <c r="J53" s="98"/>
      <c r="K53" s="98"/>
      <c r="L53" s="98"/>
      <c r="M53" s="98"/>
      <c r="N53" s="88">
        <v>0.38958333333333334</v>
      </c>
      <c r="O53" s="85"/>
      <c r="P53" s="102">
        <v>0.41666666666666669</v>
      </c>
      <c r="Q53" s="95"/>
      <c r="R53" s="91"/>
      <c r="S53" s="91"/>
      <c r="T53" s="88">
        <v>0.35694444444444445</v>
      </c>
      <c r="U53" s="88">
        <v>0.21458333333333332</v>
      </c>
      <c r="V53" s="88">
        <v>0.42430555555555555</v>
      </c>
      <c r="W53" s="85"/>
      <c r="X53" s="85"/>
      <c r="Y53" s="88">
        <v>0.21388888888888888</v>
      </c>
      <c r="Z53" s="85"/>
      <c r="AA53" s="85"/>
      <c r="AB53" s="88">
        <v>0.38541666666666669</v>
      </c>
      <c r="AC53" s="88">
        <v>0.1763888888888889</v>
      </c>
      <c r="AD53" s="95"/>
      <c r="AE53" s="95"/>
      <c r="AF53" s="91"/>
      <c r="AG53" s="91"/>
      <c r="AH53" s="96"/>
      <c r="AI53" s="96"/>
      <c r="AJ53" s="85"/>
      <c r="AK53" s="88">
        <v>0.19444444444444445</v>
      </c>
      <c r="AL53" s="85"/>
      <c r="AM53" s="88">
        <v>0.16666666666666666</v>
      </c>
      <c r="AN53" s="85"/>
      <c r="AO53" s="88">
        <v>0.16944444444444445</v>
      </c>
      <c r="AP53" s="88">
        <v>0.41388888888888886</v>
      </c>
      <c r="AQ53" s="85"/>
      <c r="AR53" s="102">
        <v>0.37777777777777777</v>
      </c>
      <c r="AS53" s="95"/>
      <c r="AT53" s="91"/>
      <c r="AU53" s="91"/>
      <c r="AV53" s="85"/>
      <c r="AW53" s="88">
        <v>0.13819444444444445</v>
      </c>
      <c r="AX53" s="88">
        <v>0.40833333333333333</v>
      </c>
      <c r="AY53" s="85"/>
      <c r="AZ53" s="85"/>
      <c r="BA53" s="85"/>
      <c r="BB53" s="85"/>
      <c r="BC53" s="88">
        <v>0.15833333333333333</v>
      </c>
      <c r="BD53" s="85"/>
      <c r="BE53" s="85"/>
      <c r="BF53" s="95"/>
      <c r="BG53" s="95"/>
      <c r="BH53" s="91"/>
      <c r="BI53" s="91"/>
      <c r="BJ53" s="85"/>
      <c r="BK53" s="85"/>
      <c r="BL53" s="99">
        <v>0.4513888888888889</v>
      </c>
      <c r="BM53" s="99">
        <v>0</v>
      </c>
      <c r="BN53" s="85">
        <f>SUM(IF(AND(D53&lt;&gt;"",WEEKDAY(D$1,2)&lt;6),1,0),IF(AND(F53&lt;&gt;"",WEEKDAY(F$1,2)&lt;6),1,0),IF(AND(H53&lt;&gt;"",WEEKDAY(H$1,2)&lt;6),1,0),IF(AND(J53&lt;&gt;"",WEEKDAY(J$1,2)&lt;6),1,0),IF(AND(L53&lt;&gt;"",WEEKDAY(L$1,2)&lt;6),1,0),IF(AND(N53&lt;&gt;"",WEEKDAY(N$1,2)&lt;6),1,0),IF(AND(P53&lt;&gt;"",WEEKDAY(P$1,2)&lt;6),1,0),IF(AND(R53&lt;&gt;"",WEEKDAY(R$1,2)&lt;6),1,0),IF(AND(T53&lt;&gt;"",WEEKDAY(T$1,2)&lt;6),1,0),IF(AND(V53&lt;&gt;"",WEEKDAY(V$1,2)&lt;6),1,0),IF(AND(X53&lt;&gt;"",WEEKDAY(X$1,2)&lt;6),1,0),IF(AND(Z53&lt;&gt;"",WEEKDAY(Z$1,2)&lt;6),1,0),IF(AND(AB53&lt;&gt;"",WEEKDAY(AB$1,2)&lt;6),1,0),IF(AND(AD53&lt;&gt;"",WEEKDAY(AD$1,2)&lt;6),1,0),IF(AND(AF53&lt;&gt;"",WEEKDAY(AF$1,2)&lt;6),1,0),IF(AND(AH53&lt;&gt;"",WEEKDAY(AH$1,2)&lt;6),1,0),IF(AND(AJ53&lt;&gt;"",WEEKDAY(AJ$1,2)&lt;6),1,0),IF(AND(AL53&lt;&gt;"",WEEKDAY(AL$1,2)&lt;6),1,0),IF(AND(AN53&lt;&gt;"",WEEKDAY(AN$1,2)&lt;6),1,0),IF(AND(AP53&lt;&gt;"",WEEKDAY(AP$1,2)&lt;6),1,0),IF(AND(AR53&lt;&gt;"",WEEKDAY(AR$1,2)&lt;6),1,0),IF(AND(AT53&lt;&gt;"",WEEKDAY(AT$1,2)&lt;6),1,0),IF(AND(AV53&lt;&gt;"",WEEKDAY(AV$1,2)&lt;6),1,0),IF(AND(AX53&lt;&gt;"",WEEKDAY(AX$1,2)&lt;6),1,0),IF(AND(AZ53&lt;&gt;"",WEEKDAY(AZ$1,2)&lt;6),1,0),IF(AND(BB53&lt;&gt;"",WEEKDAY(BB$1,2)&lt;6),1,0),IF(AND(BD53&lt;&gt;"",WEEKDAY(BD$1,2)&lt;6),1,0),IF(AND(BF53&lt;&gt;"",WEEKDAY(BF$1,2)&lt;6),1,0),IF(AND(BH53&lt;&gt;"",WEEKDAY(BH$1,2)&lt;6),1,0),IF(AND(BJ53&lt;&gt;"",WEEKDAY(BJ$1,2)&lt;6),1,0),IF(AND(BL53&lt;&gt;"",WEEKDAY(BL$1,2)&lt;6),1,0))</f>
        <v>8</v>
      </c>
      <c r="BO53" s="85">
        <f>SUM(IF(AND(E53&lt;&gt;"",WEEKDAY(D$1,2)&lt;6),1,0),IF(AND(G53&lt;&gt;"",WEEKDAY(F$1,2)&lt;6),1,0),IF(AND(I53&lt;&gt;"",WEEKDAY(H$1,2)&lt;6),1,0),IF(AND(K53&lt;&gt;"",WEEKDAY(J$1,2)&lt;6),1,0),IF(AND(M53&lt;&gt;"",WEEKDAY(L$1,2)&lt;6),1,0),IF(AND(O53&lt;&gt;"",WEEKDAY(N$1,2)&lt;6),1,0),IF(AND(Q53&lt;&gt;"",WEEKDAY(P$1,2)&lt;6),1,0),IF(AND(S53&lt;&gt;"",WEEKDAY(R$1,2)&lt;6),1,0),IF(AND(U53&lt;&gt;"",WEEKDAY(T$1,2)&lt;6),1,0),IF(AND(W53&lt;&gt;"",WEEKDAY(V$1,2)&lt;6),1,0),IF(AND(Y53&lt;&gt;"",WEEKDAY(X$1,2)&lt;6),1,0),IF(AND(AA53&lt;&gt;"",WEEKDAY(Z$1,2)&lt;6),1,0),IF(AND(AC53&lt;&gt;"",WEEKDAY(AB$1,2)&lt;6),1,0),IF(AND(AE53&lt;&gt;"",WEEKDAY(AD$1,2)&lt;6),1,0),IF(AND(AG53&lt;&gt;"",WEEKDAY(AF$1,2)&lt;6),1,0),IF(AND(AI53&lt;&gt;"",WEEKDAY(AH$1,2)&lt;6),1,0),IF(AND(AK53&lt;&gt;"",WEEKDAY(AJ$1,2)&lt;6),1,0),IF(AND(AM53&lt;&gt;"",WEEKDAY(AL$1,2)&lt;6),1,0),IF(AND(AO53&lt;&gt;"",WEEKDAY(AN$1,2)&lt;6),1,0),IF(AND(AQ53&lt;&gt;"",WEEKDAY(AP$1,2)&lt;6),1,0),IF(AND(AS53&lt;&gt;"",WEEKDAY(AR$1,2)&lt;6),1,0),IF(AND(AU53&lt;&gt;"",WEEKDAY(AT$1,2)&lt;6),1,0),IF(AND(AW53&lt;&gt;"",WEEKDAY(AV$1,2)&lt;6),1,0),IF(AND(AY53&lt;&gt;"",WEEKDAY(AX$1,2)&lt;6),1,0),IF(AND(BA53&lt;&gt;"",WEEKDAY(AZ$1,2)&lt;6),1,0),IF(AND(BC53&lt;&gt;"",WEEKDAY(BB$1,2)&lt;6),1,0),IF(AND(BE53&lt;&gt;"",WEEKDAY(BD$1,2)&lt;6),1,0),IF(AND(BG53&lt;&gt;"",WEEKDAY(BF$1,2)&lt;6),1,0),IF(AND(BI53&lt;&gt;"",WEEKDAY(BH$1,2)&lt;6),1,0),IF(AND(BK53&lt;&gt;"",WEEKDAY(BJ$1,2)&lt;6),1,0),IF(AND(BM53&lt;&gt;"",WEEKDAY(BL$1,2)&lt;6),1,0))</f>
        <v>10</v>
      </c>
      <c r="BP53" s="85">
        <f>SUM(IF(AND((D53&lt;&gt;"")+(E53&lt;&gt;""),WEEKDAY(D$1,2)=6),1,0),IF(AND((F53&lt;&gt;"")+(G53&lt;&gt;""),WEEKDAY(F$1,2)=6),1,0),IF(AND((H53&lt;&gt;"")+(I53&lt;&gt;""),WEEKDAY(H$1,2)=6),1,0),IF(AND((J53&lt;&gt;"")+(K53&lt;&gt;""),WEEKDAY(J$1,2)=6),1,0),IF(AND((L53&lt;&gt;"")+(M53&lt;&gt;""),WEEKDAY(L$1,2)=6),1,0),IF(AND((N53&lt;&gt;"")+(O53&lt;&gt;""),WEEKDAY(N$1,2)=6),1,0),IF(AND((P53&lt;&gt;"")+(Q53&lt;&gt;""),WEEKDAY(P$1,2)=6),1,0),IF(AND((R53&lt;&gt;"")+(S53&lt;&gt;""),WEEKDAY(R$1,2)=6),1,0),IF(AND((T53&lt;&gt;"")+(U53&lt;&gt;""),WEEKDAY(T$1,2)=6),1,0),IF(AND((V53&lt;&gt;"")+(W53&lt;&gt;""),WEEKDAY(V$1,2)=6),1,0),IF(AND((X53&lt;&gt;"")+(Y53&lt;&gt;""),WEEKDAY(X$1,2)=6),1,0),IF(AND((Z53&lt;&gt;"")+(AA53&lt;&gt;""),WEEKDAY(Z$1,2)=6),1,0),IF(AND((AB53&lt;&gt;"")+(AC53&lt;&gt;""),WEEKDAY(AB$1,2)=6),1,0),IF(AND((AD53&lt;&gt;"")+(AE53&lt;&gt;""),WEEKDAY(AD$1,2)=6),1,0),IF(AND((AF53&lt;&gt;"")+(AG53&lt;&gt;""),WEEKDAY(AF$1,2)=6),1,0),IF(AND((AH53&lt;&gt;"")+(AI53&lt;&gt;""),WEEKDAY(AH$1,2)=6),1,0),IF(AND((AJ53&lt;&gt;"")+(AK53&lt;&gt;""),WEEKDAY(AJ$1,2)=6),1,0),IF(AND((AL53&lt;&gt;"")+(AM53&lt;&gt;""),WEEKDAY(AL$1,2)=6),1,0),IF(AND((AN53&lt;&gt;"")+(AO53&lt;&gt;""),WEEKDAY(AN$1,2)=6),1,0),IF(AND((AP53&lt;&gt;"")+(AQ53&lt;&gt;""),WEEKDAY(AP$1,2)=6),1,0),IF(AND((AR53&lt;&gt;"")+(AS53&lt;&gt;""),WEEKDAY(AR$1,2)=6),1,0),IF(AND((AT53&lt;&gt;"")+(AU53&lt;&gt;""),WEEKDAY(AT$1,2)=6),1,0),IF(AND((AV53&lt;&gt;"")+(AW53&lt;&gt;""),WEEKDAY(AV$1,2)=6),1,0),IF(AND((AX53&lt;&gt;"")+(AY53&lt;&gt;""),WEEKDAY(AX$1,2)=6),1,0),IF(AND((AZ53&lt;&gt;"")+(BA53&lt;&gt;""),WEEKDAY(AZ$1,2)=6),1,0),IF(AND((BB53&lt;&gt;"")+(BC53&lt;&gt;""),WEEKDAY(BB$1,2)=6),1,0),IF(AND((BD53&lt;&gt;"")+(BE53&lt;&gt;""),WEEKDAY(BD$1,2)=6),1,0),IF(AND((BF53&lt;&gt;"")+(BG53&lt;&gt;""),WEEKDAY(BF$1,2)=6),1,0),IF(AND((BH53&lt;&gt;"")+(BI53&lt;&gt;""),WEEKDAY(BH$1,2)=6),1,0),IF(AND((BJ53&lt;&gt;"")+(BK53&lt;&gt;""),WEEKDAY(BJ$1,2)=6),1,0),IF(AND((BL53&lt;&gt;"")+(BM53&lt;&gt;""),WEEKDAY(BL$1,2)=6),1,0))</f>
        <v>2</v>
      </c>
    </row>
    <row r="54" spans="1:68" ht="16.5">
      <c r="A54" s="86" t="s">
        <v>72</v>
      </c>
      <c r="B54" s="86" t="s">
        <v>82</v>
      </c>
      <c r="C54" s="92" t="s">
        <v>84</v>
      </c>
      <c r="D54" s="91"/>
      <c r="E54" s="91"/>
      <c r="F54" s="88">
        <v>0.39583333333333331</v>
      </c>
      <c r="G54" s="88">
        <v>0.20833333333333334</v>
      </c>
      <c r="H54" s="85"/>
      <c r="I54" s="85"/>
      <c r="J54" s="99">
        <v>0.39444444444444443</v>
      </c>
      <c r="K54" s="99">
        <v>0.18402777777777779</v>
      </c>
      <c r="L54" s="99">
        <v>0.39583333333333331</v>
      </c>
      <c r="M54" s="99">
        <v>0.18055555555555555</v>
      </c>
      <c r="N54" s="85"/>
      <c r="O54" s="88">
        <v>0.17222222222222222</v>
      </c>
      <c r="P54" s="95"/>
      <c r="Q54" s="95"/>
      <c r="R54" s="91"/>
      <c r="S54" s="91"/>
      <c r="T54" s="85"/>
      <c r="U54" s="85"/>
      <c r="V54" s="85"/>
      <c r="W54" s="88">
        <v>0.19166666666666668</v>
      </c>
      <c r="X54" s="88">
        <v>0.40625</v>
      </c>
      <c r="Y54" s="85"/>
      <c r="Z54" s="88">
        <v>0.4152777777777778</v>
      </c>
      <c r="AA54" s="88">
        <v>0.19375000000000001</v>
      </c>
      <c r="AB54" s="85"/>
      <c r="AC54" s="85"/>
      <c r="AD54" s="95"/>
      <c r="AE54" s="95"/>
      <c r="AF54" s="91"/>
      <c r="AG54" s="91"/>
      <c r="AH54" s="96"/>
      <c r="AI54" s="96"/>
      <c r="AJ54" s="88">
        <v>0.42291666666666666</v>
      </c>
      <c r="AK54" s="85"/>
      <c r="AL54" s="88">
        <v>0.40208333333333335</v>
      </c>
      <c r="AM54" s="88"/>
      <c r="AN54" s="88">
        <v>0.39652777777777776</v>
      </c>
      <c r="AO54" s="85"/>
      <c r="AP54" s="85"/>
      <c r="AQ54" s="88">
        <v>0.16319444444444445</v>
      </c>
      <c r="AR54" s="95"/>
      <c r="AS54" s="95"/>
      <c r="AT54" s="91"/>
      <c r="AU54" s="91"/>
      <c r="AV54" s="88">
        <v>0.39305555555555555</v>
      </c>
      <c r="AW54" s="85"/>
      <c r="AX54" s="85"/>
      <c r="AY54" s="88">
        <v>0.13750000000000001</v>
      </c>
      <c r="AZ54" s="85"/>
      <c r="BA54" s="85"/>
      <c r="BB54" s="85"/>
      <c r="BC54" s="85"/>
      <c r="BD54" s="85"/>
      <c r="BE54" s="85"/>
      <c r="BF54" s="95"/>
      <c r="BG54" s="95"/>
      <c r="BH54" s="91"/>
      <c r="BI54" s="91"/>
      <c r="BJ54" s="85"/>
      <c r="BK54" s="85"/>
      <c r="BL54" s="98"/>
      <c r="BM54" s="98"/>
      <c r="BN54" s="85">
        <f>SUM(IF(AND(D54&lt;&gt;"",WEEKDAY(D$1,2)&lt;6),1,0),IF(AND(F54&lt;&gt;"",WEEKDAY(F$1,2)&lt;6),1,0),IF(AND(H54&lt;&gt;"",WEEKDAY(H$1,2)&lt;6),1,0),IF(AND(J54&lt;&gt;"",WEEKDAY(J$1,2)&lt;6),1,0),IF(AND(L54&lt;&gt;"",WEEKDAY(L$1,2)&lt;6),1,0),IF(AND(N54&lt;&gt;"",WEEKDAY(N$1,2)&lt;6),1,0),IF(AND(P54&lt;&gt;"",WEEKDAY(P$1,2)&lt;6),1,0),IF(AND(R54&lt;&gt;"",WEEKDAY(R$1,2)&lt;6),1,0),IF(AND(T54&lt;&gt;"",WEEKDAY(T$1,2)&lt;6),1,0),IF(AND(V54&lt;&gt;"",WEEKDAY(V$1,2)&lt;6),1,0),IF(AND(X54&lt;&gt;"",WEEKDAY(X$1,2)&lt;6),1,0),IF(AND(Z54&lt;&gt;"",WEEKDAY(Z$1,2)&lt;6),1,0),IF(AND(AB54&lt;&gt;"",WEEKDAY(AB$1,2)&lt;6),1,0),IF(AND(AD54&lt;&gt;"",WEEKDAY(AD$1,2)&lt;6),1,0),IF(AND(AF54&lt;&gt;"",WEEKDAY(AF$1,2)&lt;6),1,0),IF(AND(AH54&lt;&gt;"",WEEKDAY(AH$1,2)&lt;6),1,0),IF(AND(AJ54&lt;&gt;"",WEEKDAY(AJ$1,2)&lt;6),1,0),IF(AND(AL54&lt;&gt;"",WEEKDAY(AL$1,2)&lt;6),1,0),IF(AND(AN54&lt;&gt;"",WEEKDAY(AN$1,2)&lt;6),1,0),IF(AND(AP54&lt;&gt;"",WEEKDAY(AP$1,2)&lt;6),1,0),IF(AND(AR54&lt;&gt;"",WEEKDAY(AR$1,2)&lt;6),1,0),IF(AND(AT54&lt;&gt;"",WEEKDAY(AT$1,2)&lt;6),1,0),IF(AND(AV54&lt;&gt;"",WEEKDAY(AV$1,2)&lt;6),1,0),IF(AND(AX54&lt;&gt;"",WEEKDAY(AX$1,2)&lt;6),1,0),IF(AND(AZ54&lt;&gt;"",WEEKDAY(AZ$1,2)&lt;6),1,0),IF(AND(BB54&lt;&gt;"",WEEKDAY(BB$1,2)&lt;6),1,0),IF(AND(BD54&lt;&gt;"",WEEKDAY(BD$1,2)&lt;6),1,0),IF(AND(BF54&lt;&gt;"",WEEKDAY(BF$1,2)&lt;6),1,0),IF(AND(BH54&lt;&gt;"",WEEKDAY(BH$1,2)&lt;6),1,0),IF(AND(BJ54&lt;&gt;"",WEEKDAY(BJ$1,2)&lt;6),1,0),IF(AND(BL54&lt;&gt;"",WEEKDAY(BL$1,2)&lt;6),1,0))</f>
        <v>9</v>
      </c>
      <c r="BO54" s="85">
        <f>SUM(IF(AND(E54&lt;&gt;"",WEEKDAY(D$1,2)&lt;6),1,0),IF(AND(G54&lt;&gt;"",WEEKDAY(F$1,2)&lt;6),1,0),IF(AND(I54&lt;&gt;"",WEEKDAY(H$1,2)&lt;6),1,0),IF(AND(K54&lt;&gt;"",WEEKDAY(J$1,2)&lt;6),1,0),IF(AND(M54&lt;&gt;"",WEEKDAY(L$1,2)&lt;6),1,0),IF(AND(O54&lt;&gt;"",WEEKDAY(N$1,2)&lt;6),1,0),IF(AND(Q54&lt;&gt;"",WEEKDAY(P$1,2)&lt;6),1,0),IF(AND(S54&lt;&gt;"",WEEKDAY(R$1,2)&lt;6),1,0),IF(AND(U54&lt;&gt;"",WEEKDAY(T$1,2)&lt;6),1,0),IF(AND(W54&lt;&gt;"",WEEKDAY(V$1,2)&lt;6),1,0),IF(AND(Y54&lt;&gt;"",WEEKDAY(X$1,2)&lt;6),1,0),IF(AND(AA54&lt;&gt;"",WEEKDAY(Z$1,2)&lt;6),1,0),IF(AND(AC54&lt;&gt;"",WEEKDAY(AB$1,2)&lt;6),1,0),IF(AND(AE54&lt;&gt;"",WEEKDAY(AD$1,2)&lt;6),1,0),IF(AND(AG54&lt;&gt;"",WEEKDAY(AF$1,2)&lt;6),1,0),IF(AND(AI54&lt;&gt;"",WEEKDAY(AH$1,2)&lt;6),1,0),IF(AND(AK54&lt;&gt;"",WEEKDAY(AJ$1,2)&lt;6),1,0),IF(AND(AM54&lt;&gt;"",WEEKDAY(AL$1,2)&lt;6),1,0),IF(AND(AO54&lt;&gt;"",WEEKDAY(AN$1,2)&lt;6),1,0),IF(AND(AQ54&lt;&gt;"",WEEKDAY(AP$1,2)&lt;6),1,0),IF(AND(AS54&lt;&gt;"",WEEKDAY(AR$1,2)&lt;6),1,0),IF(AND(AU54&lt;&gt;"",WEEKDAY(AT$1,2)&lt;6),1,0),IF(AND(AW54&lt;&gt;"",WEEKDAY(AV$1,2)&lt;6),1,0),IF(AND(AY54&lt;&gt;"",WEEKDAY(AX$1,2)&lt;6),1,0),IF(AND(BA54&lt;&gt;"",WEEKDAY(AZ$1,2)&lt;6),1,0),IF(AND(BC54&lt;&gt;"",WEEKDAY(BB$1,2)&lt;6),1,0),IF(AND(BE54&lt;&gt;"",WEEKDAY(BD$1,2)&lt;6),1,0),IF(AND(BG54&lt;&gt;"",WEEKDAY(BF$1,2)&lt;6),1,0),IF(AND(BI54&lt;&gt;"",WEEKDAY(BH$1,2)&lt;6),1,0),IF(AND(BK54&lt;&gt;"",WEEKDAY(BJ$1,2)&lt;6),1,0),IF(AND(BM54&lt;&gt;"",WEEKDAY(BL$1,2)&lt;6),1,0))</f>
        <v>8</v>
      </c>
      <c r="BP54" s="85">
        <f>SUM(IF(AND((D54&lt;&gt;"")+(E54&lt;&gt;""),WEEKDAY(D$1,2)=6),1,0),IF(AND((F54&lt;&gt;"")+(G54&lt;&gt;""),WEEKDAY(F$1,2)=6),1,0),IF(AND((H54&lt;&gt;"")+(I54&lt;&gt;""),WEEKDAY(H$1,2)=6),1,0),IF(AND((J54&lt;&gt;"")+(K54&lt;&gt;""),WEEKDAY(J$1,2)=6),1,0),IF(AND((L54&lt;&gt;"")+(M54&lt;&gt;""),WEEKDAY(L$1,2)=6),1,0),IF(AND((N54&lt;&gt;"")+(O54&lt;&gt;""),WEEKDAY(N$1,2)=6),1,0),IF(AND((P54&lt;&gt;"")+(Q54&lt;&gt;""),WEEKDAY(P$1,2)=6),1,0),IF(AND((R54&lt;&gt;"")+(S54&lt;&gt;""),WEEKDAY(R$1,2)=6),1,0),IF(AND((T54&lt;&gt;"")+(U54&lt;&gt;""),WEEKDAY(T$1,2)=6),1,0),IF(AND((V54&lt;&gt;"")+(W54&lt;&gt;""),WEEKDAY(V$1,2)=6),1,0),IF(AND((X54&lt;&gt;"")+(Y54&lt;&gt;""),WEEKDAY(X$1,2)=6),1,0),IF(AND((Z54&lt;&gt;"")+(AA54&lt;&gt;""),WEEKDAY(Z$1,2)=6),1,0),IF(AND((AB54&lt;&gt;"")+(AC54&lt;&gt;""),WEEKDAY(AB$1,2)=6),1,0),IF(AND((AD54&lt;&gt;"")+(AE54&lt;&gt;""),WEEKDAY(AD$1,2)=6),1,0),IF(AND((AF54&lt;&gt;"")+(AG54&lt;&gt;""),WEEKDAY(AF$1,2)=6),1,0),IF(AND((AH54&lt;&gt;"")+(AI54&lt;&gt;""),WEEKDAY(AH$1,2)=6),1,0),IF(AND((AJ54&lt;&gt;"")+(AK54&lt;&gt;""),WEEKDAY(AJ$1,2)=6),1,0),IF(AND((AL54&lt;&gt;"")+(AM54&lt;&gt;""),WEEKDAY(AL$1,2)=6),1,0),IF(AND((AN54&lt;&gt;"")+(AO54&lt;&gt;""),WEEKDAY(AN$1,2)=6),1,0),IF(AND((AP54&lt;&gt;"")+(AQ54&lt;&gt;""),WEEKDAY(AP$1,2)=6),1,0),IF(AND((AR54&lt;&gt;"")+(AS54&lt;&gt;""),WEEKDAY(AR$1,2)=6),1,0),IF(AND((AT54&lt;&gt;"")+(AU54&lt;&gt;""),WEEKDAY(AT$1,2)=6),1,0),IF(AND((AV54&lt;&gt;"")+(AW54&lt;&gt;""),WEEKDAY(AV$1,2)=6),1,0),IF(AND((AX54&lt;&gt;"")+(AY54&lt;&gt;""),WEEKDAY(AX$1,2)=6),1,0),IF(AND((AZ54&lt;&gt;"")+(BA54&lt;&gt;""),WEEKDAY(AZ$1,2)=6),1,0),IF(AND((BB54&lt;&gt;"")+(BC54&lt;&gt;""),WEEKDAY(BB$1,2)=6),1,0),IF(AND((BD54&lt;&gt;"")+(BE54&lt;&gt;""),WEEKDAY(BD$1,2)=6),1,0),IF(AND((BF54&lt;&gt;"")+(BG54&lt;&gt;""),WEEKDAY(BF$1,2)=6),1,0),IF(AND((BH54&lt;&gt;"")+(BI54&lt;&gt;""),WEEKDAY(BH$1,2)=6),1,0),IF(AND((BJ54&lt;&gt;"")+(BK54&lt;&gt;""),WEEKDAY(BJ$1,2)=6),1,0),IF(AND((BL54&lt;&gt;"")+(BM54&lt;&gt;""),WEEKDAY(BL$1,2)=6),1,0))</f>
        <v>0</v>
      </c>
    </row>
    <row r="55" spans="1:68" ht="16.5">
      <c r="A55" s="86" t="s">
        <v>72</v>
      </c>
      <c r="B55" s="86" t="s">
        <v>85</v>
      </c>
      <c r="C55" s="92" t="s">
        <v>86</v>
      </c>
      <c r="D55" s="91"/>
      <c r="E55" s="91"/>
      <c r="F55" s="88">
        <v>0.3888888888888889</v>
      </c>
      <c r="G55" s="88">
        <v>0.14722222222222223</v>
      </c>
      <c r="H55" s="88">
        <v>0.38819444444444445</v>
      </c>
      <c r="I55" s="85"/>
      <c r="J55" s="99">
        <v>0.38333333333333336</v>
      </c>
      <c r="K55" s="98"/>
      <c r="L55" s="99">
        <v>0.39583333333333331</v>
      </c>
      <c r="M55" s="98"/>
      <c r="N55" s="88">
        <v>0.39374999999999999</v>
      </c>
      <c r="O55" s="88">
        <v>0.17222222222222222</v>
      </c>
      <c r="P55" s="95"/>
      <c r="Q55" s="95"/>
      <c r="R55" s="91"/>
      <c r="S55" s="91"/>
      <c r="T55" s="88">
        <v>0.38472222222222224</v>
      </c>
      <c r="U55" s="85"/>
      <c r="V55" s="88">
        <v>0.40833333333333333</v>
      </c>
      <c r="W55" s="88">
        <v>0.17499999999999999</v>
      </c>
      <c r="X55" s="85"/>
      <c r="Y55" s="88">
        <v>0.15069444444444444</v>
      </c>
      <c r="Z55" s="88">
        <v>0.3840277777777778</v>
      </c>
      <c r="AA55" s="88">
        <v>0.15833333333333333</v>
      </c>
      <c r="AB55" s="85"/>
      <c r="AC55" s="88">
        <v>0.13263888888888889</v>
      </c>
      <c r="AD55" s="102">
        <v>0.38472222222222224</v>
      </c>
      <c r="AE55" s="95"/>
      <c r="AF55" s="91"/>
      <c r="AG55" s="91"/>
      <c r="AH55" s="96"/>
      <c r="AI55" s="96"/>
      <c r="AJ55" s="88">
        <v>0.39097222222222222</v>
      </c>
      <c r="AK55" s="85"/>
      <c r="AL55" s="88">
        <v>0.38263888888888886</v>
      </c>
      <c r="AM55" s="85"/>
      <c r="AN55" s="88">
        <v>0.39652777777777776</v>
      </c>
      <c r="AO55" s="85"/>
      <c r="AP55" s="88">
        <v>0.37986111111111109</v>
      </c>
      <c r="AQ55" s="88">
        <v>0.16319444444444445</v>
      </c>
      <c r="AR55" s="95"/>
      <c r="AS55" s="95"/>
      <c r="AT55" s="91"/>
      <c r="AU55" s="91"/>
      <c r="AV55" s="85"/>
      <c r="AW55" s="88">
        <v>0.14027777777777778</v>
      </c>
      <c r="AX55" s="88">
        <v>0.3840277777777778</v>
      </c>
      <c r="AY55" s="88">
        <v>0.13750000000000001</v>
      </c>
      <c r="AZ55" s="88">
        <v>0.3840277777777778</v>
      </c>
      <c r="BA55" s="88">
        <v>0.11944444444444445</v>
      </c>
      <c r="BB55" s="85"/>
      <c r="BC55" s="88">
        <v>0.15833333333333333</v>
      </c>
      <c r="BD55" s="88">
        <v>0.40902777777777777</v>
      </c>
      <c r="BE55" s="85"/>
      <c r="BF55" s="95"/>
      <c r="BG55" s="95"/>
      <c r="BH55" s="91"/>
      <c r="BI55" s="91"/>
      <c r="BJ55" s="85"/>
      <c r="BK55" s="85"/>
      <c r="BL55" s="98"/>
      <c r="BM55" s="98"/>
      <c r="BN55" s="85">
        <f>SUM(IF(AND(D55&lt;&gt;"",WEEKDAY(D$1,2)&lt;6),1,0),IF(AND(F55&lt;&gt;"",WEEKDAY(F$1,2)&lt;6),1,0),IF(AND(H55&lt;&gt;"",WEEKDAY(H$1,2)&lt;6),1,0),IF(AND(J55&lt;&gt;"",WEEKDAY(J$1,2)&lt;6),1,0),IF(AND(L55&lt;&gt;"",WEEKDAY(L$1,2)&lt;6),1,0),IF(AND(N55&lt;&gt;"",WEEKDAY(N$1,2)&lt;6),1,0),IF(AND(P55&lt;&gt;"",WEEKDAY(P$1,2)&lt;6),1,0),IF(AND(R55&lt;&gt;"",WEEKDAY(R$1,2)&lt;6),1,0),IF(AND(T55&lt;&gt;"",WEEKDAY(T$1,2)&lt;6),1,0),IF(AND(V55&lt;&gt;"",WEEKDAY(V$1,2)&lt;6),1,0),IF(AND(X55&lt;&gt;"",WEEKDAY(X$1,2)&lt;6),1,0),IF(AND(Z55&lt;&gt;"",WEEKDAY(Z$1,2)&lt;6),1,0),IF(AND(AB55&lt;&gt;"",WEEKDAY(AB$1,2)&lt;6),1,0),IF(AND(AD55&lt;&gt;"",WEEKDAY(AD$1,2)&lt;6),1,0),IF(AND(AF55&lt;&gt;"",WEEKDAY(AF$1,2)&lt;6),1,0),IF(AND(AH55&lt;&gt;"",WEEKDAY(AH$1,2)&lt;6),1,0),IF(AND(AJ55&lt;&gt;"",WEEKDAY(AJ$1,2)&lt;6),1,0),IF(AND(AL55&lt;&gt;"",WEEKDAY(AL$1,2)&lt;6),1,0),IF(AND(AN55&lt;&gt;"",WEEKDAY(AN$1,2)&lt;6),1,0),IF(AND(AP55&lt;&gt;"",WEEKDAY(AP$1,2)&lt;6),1,0),IF(AND(AR55&lt;&gt;"",WEEKDAY(AR$1,2)&lt;6),1,0),IF(AND(AT55&lt;&gt;"",WEEKDAY(AT$1,2)&lt;6),1,0),IF(AND(AV55&lt;&gt;"",WEEKDAY(AV$1,2)&lt;6),1,0),IF(AND(AX55&lt;&gt;"",WEEKDAY(AX$1,2)&lt;6),1,0),IF(AND(AZ55&lt;&gt;"",WEEKDAY(AZ$1,2)&lt;6),1,0),IF(AND(BB55&lt;&gt;"",WEEKDAY(BB$1,2)&lt;6),1,0),IF(AND(BD55&lt;&gt;"",WEEKDAY(BD$1,2)&lt;6),1,0),IF(AND(BF55&lt;&gt;"",WEEKDAY(BF$1,2)&lt;6),1,0),IF(AND(BH55&lt;&gt;"",WEEKDAY(BH$1,2)&lt;6),1,0),IF(AND(BJ55&lt;&gt;"",WEEKDAY(BJ$1,2)&lt;6),1,0),IF(AND(BL55&lt;&gt;"",WEEKDAY(BL$1,2)&lt;6),1,0))</f>
        <v>15</v>
      </c>
      <c r="BO55" s="85">
        <f>SUM(IF(AND(E55&lt;&gt;"",WEEKDAY(D$1,2)&lt;6),1,0),IF(AND(G55&lt;&gt;"",WEEKDAY(F$1,2)&lt;6),1,0),IF(AND(I55&lt;&gt;"",WEEKDAY(H$1,2)&lt;6),1,0),IF(AND(K55&lt;&gt;"",WEEKDAY(J$1,2)&lt;6),1,0),IF(AND(M55&lt;&gt;"",WEEKDAY(L$1,2)&lt;6),1,0),IF(AND(O55&lt;&gt;"",WEEKDAY(N$1,2)&lt;6),1,0),IF(AND(Q55&lt;&gt;"",WEEKDAY(P$1,2)&lt;6),1,0),IF(AND(S55&lt;&gt;"",WEEKDAY(R$1,2)&lt;6),1,0),IF(AND(U55&lt;&gt;"",WEEKDAY(T$1,2)&lt;6),1,0),IF(AND(W55&lt;&gt;"",WEEKDAY(V$1,2)&lt;6),1,0),IF(AND(Y55&lt;&gt;"",WEEKDAY(X$1,2)&lt;6),1,0),IF(AND(AA55&lt;&gt;"",WEEKDAY(Z$1,2)&lt;6),1,0),IF(AND(AC55&lt;&gt;"",WEEKDAY(AB$1,2)&lt;6),1,0),IF(AND(AE55&lt;&gt;"",WEEKDAY(AD$1,2)&lt;6),1,0),IF(AND(AG55&lt;&gt;"",WEEKDAY(AF$1,2)&lt;6),1,0),IF(AND(AI55&lt;&gt;"",WEEKDAY(AH$1,2)&lt;6),1,0),IF(AND(AK55&lt;&gt;"",WEEKDAY(AJ$1,2)&lt;6),1,0),IF(AND(AM55&lt;&gt;"",WEEKDAY(AL$1,2)&lt;6),1,0),IF(AND(AO55&lt;&gt;"",WEEKDAY(AN$1,2)&lt;6),1,0),IF(AND(AQ55&lt;&gt;"",WEEKDAY(AP$1,2)&lt;6),1,0),IF(AND(AS55&lt;&gt;"",WEEKDAY(AR$1,2)&lt;6),1,0),IF(AND(AU55&lt;&gt;"",WEEKDAY(AT$1,2)&lt;6),1,0),IF(AND(AW55&lt;&gt;"",WEEKDAY(AV$1,2)&lt;6),1,0),IF(AND(AY55&lt;&gt;"",WEEKDAY(AX$1,2)&lt;6),1,0),IF(AND(BA55&lt;&gt;"",WEEKDAY(AZ$1,2)&lt;6),1,0),IF(AND(BC55&lt;&gt;"",WEEKDAY(BB$1,2)&lt;6),1,0),IF(AND(BE55&lt;&gt;"",WEEKDAY(BD$1,2)&lt;6),1,0),IF(AND(BG55&lt;&gt;"",WEEKDAY(BF$1,2)&lt;6),1,0),IF(AND(BI55&lt;&gt;"",WEEKDAY(BH$1,2)&lt;6),1,0),IF(AND(BK55&lt;&gt;"",WEEKDAY(BJ$1,2)&lt;6),1,0),IF(AND(BM55&lt;&gt;"",WEEKDAY(BL$1,2)&lt;6),1,0))</f>
        <v>11</v>
      </c>
      <c r="BP55" s="85">
        <f>SUM(IF(AND((D55&lt;&gt;"")+(E55&lt;&gt;""),WEEKDAY(D$1,2)=6),1,0),IF(AND((F55&lt;&gt;"")+(G55&lt;&gt;""),WEEKDAY(F$1,2)=6),1,0),IF(AND((H55&lt;&gt;"")+(I55&lt;&gt;""),WEEKDAY(H$1,2)=6),1,0),IF(AND((J55&lt;&gt;"")+(K55&lt;&gt;""),WEEKDAY(J$1,2)=6),1,0),IF(AND((L55&lt;&gt;"")+(M55&lt;&gt;""),WEEKDAY(L$1,2)=6),1,0),IF(AND((N55&lt;&gt;"")+(O55&lt;&gt;""),WEEKDAY(N$1,2)=6),1,0),IF(AND((P55&lt;&gt;"")+(Q55&lt;&gt;""),WEEKDAY(P$1,2)=6),1,0),IF(AND((R55&lt;&gt;"")+(S55&lt;&gt;""),WEEKDAY(R$1,2)=6),1,0),IF(AND((T55&lt;&gt;"")+(U55&lt;&gt;""),WEEKDAY(T$1,2)=6),1,0),IF(AND((V55&lt;&gt;"")+(W55&lt;&gt;""),WEEKDAY(V$1,2)=6),1,0),IF(AND((X55&lt;&gt;"")+(Y55&lt;&gt;""),WEEKDAY(X$1,2)=6),1,0),IF(AND((Z55&lt;&gt;"")+(AA55&lt;&gt;""),WEEKDAY(Z$1,2)=6),1,0),IF(AND((AB55&lt;&gt;"")+(AC55&lt;&gt;""),WEEKDAY(AB$1,2)=6),1,0),IF(AND((AD55&lt;&gt;"")+(AE55&lt;&gt;""),WEEKDAY(AD$1,2)=6),1,0),IF(AND((AF55&lt;&gt;"")+(AG55&lt;&gt;""),WEEKDAY(AF$1,2)=6),1,0),IF(AND((AH55&lt;&gt;"")+(AI55&lt;&gt;""),WEEKDAY(AH$1,2)=6),1,0),IF(AND((AJ55&lt;&gt;"")+(AK55&lt;&gt;""),WEEKDAY(AJ$1,2)=6),1,0),IF(AND((AL55&lt;&gt;"")+(AM55&lt;&gt;""),WEEKDAY(AL$1,2)=6),1,0),IF(AND((AN55&lt;&gt;"")+(AO55&lt;&gt;""),WEEKDAY(AN$1,2)=6),1,0),IF(AND((AP55&lt;&gt;"")+(AQ55&lt;&gt;""),WEEKDAY(AP$1,2)=6),1,0),IF(AND((AR55&lt;&gt;"")+(AS55&lt;&gt;""),WEEKDAY(AR$1,2)=6),1,0),IF(AND((AT55&lt;&gt;"")+(AU55&lt;&gt;""),WEEKDAY(AT$1,2)=6),1,0),IF(AND((AV55&lt;&gt;"")+(AW55&lt;&gt;""),WEEKDAY(AV$1,2)=6),1,0),IF(AND((AX55&lt;&gt;"")+(AY55&lt;&gt;""),WEEKDAY(AX$1,2)=6),1,0),IF(AND((AZ55&lt;&gt;"")+(BA55&lt;&gt;""),WEEKDAY(AZ$1,2)=6),1,0),IF(AND((BB55&lt;&gt;"")+(BC55&lt;&gt;""),WEEKDAY(BB$1,2)=6),1,0),IF(AND((BD55&lt;&gt;"")+(BE55&lt;&gt;""),WEEKDAY(BD$1,2)=6),1,0),IF(AND((BF55&lt;&gt;"")+(BG55&lt;&gt;""),WEEKDAY(BF$1,2)=6),1,0),IF(AND((BH55&lt;&gt;"")+(BI55&lt;&gt;""),WEEKDAY(BH$1,2)=6),1,0),IF(AND((BJ55&lt;&gt;"")+(BK55&lt;&gt;""),WEEKDAY(BJ$1,2)=6),1,0),IF(AND((BL55&lt;&gt;"")+(BM55&lt;&gt;""),WEEKDAY(BL$1,2)=6),1,0))</f>
        <v>1</v>
      </c>
    </row>
    <row r="56" spans="1:68" ht="16.5">
      <c r="A56" s="86" t="s">
        <v>72</v>
      </c>
      <c r="B56" s="86" t="s">
        <v>85</v>
      </c>
      <c r="C56" s="92" t="s">
        <v>87</v>
      </c>
      <c r="D56" s="91"/>
      <c r="E56" s="91"/>
      <c r="F56" s="85"/>
      <c r="G56" s="85"/>
      <c r="H56" s="85"/>
      <c r="I56" s="88">
        <v>0.15972222222222221</v>
      </c>
      <c r="J56" s="98"/>
      <c r="K56" s="99">
        <v>0.16388888888888889</v>
      </c>
      <c r="L56" s="98"/>
      <c r="M56" s="99">
        <v>0.15625</v>
      </c>
      <c r="N56" s="85"/>
      <c r="O56" s="85"/>
      <c r="P56" s="95"/>
      <c r="Q56" s="95"/>
      <c r="R56" s="91"/>
      <c r="S56" s="91"/>
      <c r="T56" s="85"/>
      <c r="U56" s="88">
        <v>0.12986111111111112</v>
      </c>
      <c r="V56" s="85"/>
      <c r="W56" s="85"/>
      <c r="X56" s="88">
        <v>0.41597222222222224</v>
      </c>
      <c r="Y56" s="85"/>
      <c r="Z56" s="85"/>
      <c r="AA56" s="85"/>
      <c r="AB56" s="88">
        <v>0.38124999999999998</v>
      </c>
      <c r="AC56" s="85"/>
      <c r="AD56" s="95"/>
      <c r="AE56" s="95"/>
      <c r="AF56" s="91"/>
      <c r="AG56" s="91"/>
      <c r="AH56" s="96"/>
      <c r="AI56" s="96"/>
      <c r="AJ56" s="85"/>
      <c r="AK56" s="88">
        <v>0.13680555555555557</v>
      </c>
      <c r="AL56" s="85"/>
      <c r="AM56" s="88">
        <v>0.15972222222222221</v>
      </c>
      <c r="AN56" s="85"/>
      <c r="AO56" s="88">
        <v>0.13750000000000001</v>
      </c>
      <c r="AP56" s="85"/>
      <c r="AQ56" s="85"/>
      <c r="AR56" s="95"/>
      <c r="AS56" s="95"/>
      <c r="AT56" s="91"/>
      <c r="AU56" s="91"/>
      <c r="AV56" s="88">
        <v>0.38263888888888886</v>
      </c>
      <c r="AW56" s="85"/>
      <c r="AX56" s="85"/>
      <c r="AY56" s="85"/>
      <c r="AZ56" s="85"/>
      <c r="BA56" s="85"/>
      <c r="BB56" s="88">
        <v>0.36527777777777776</v>
      </c>
      <c r="BC56" s="85"/>
      <c r="BD56" s="85"/>
      <c r="BE56" s="85"/>
      <c r="BF56" s="95"/>
      <c r="BG56" s="95"/>
      <c r="BH56" s="91"/>
      <c r="BI56" s="91"/>
      <c r="BJ56" s="88">
        <v>0.37847222222222221</v>
      </c>
      <c r="BK56" s="88">
        <v>0.14652777777777778</v>
      </c>
      <c r="BL56" s="99">
        <v>0.38472222222222224</v>
      </c>
      <c r="BM56" s="99">
        <v>0.15486111111111112</v>
      </c>
      <c r="BN56" s="85">
        <f>SUM(IF(AND(D56&lt;&gt;"",WEEKDAY(D$1,2)&lt;6),1,0),IF(AND(F56&lt;&gt;"",WEEKDAY(F$1,2)&lt;6),1,0),IF(AND(H56&lt;&gt;"",WEEKDAY(H$1,2)&lt;6),1,0),IF(AND(J56&lt;&gt;"",WEEKDAY(J$1,2)&lt;6),1,0),IF(AND(L56&lt;&gt;"",WEEKDAY(L$1,2)&lt;6),1,0),IF(AND(N56&lt;&gt;"",WEEKDAY(N$1,2)&lt;6),1,0),IF(AND(P56&lt;&gt;"",WEEKDAY(P$1,2)&lt;6),1,0),IF(AND(R56&lt;&gt;"",WEEKDAY(R$1,2)&lt;6),1,0),IF(AND(T56&lt;&gt;"",WEEKDAY(T$1,2)&lt;6),1,0),IF(AND(V56&lt;&gt;"",WEEKDAY(V$1,2)&lt;6),1,0),IF(AND(X56&lt;&gt;"",WEEKDAY(X$1,2)&lt;6),1,0),IF(AND(Z56&lt;&gt;"",WEEKDAY(Z$1,2)&lt;6),1,0),IF(AND(AB56&lt;&gt;"",WEEKDAY(AB$1,2)&lt;6),1,0),IF(AND(AD56&lt;&gt;"",WEEKDAY(AD$1,2)&lt;6),1,0),IF(AND(AF56&lt;&gt;"",WEEKDAY(AF$1,2)&lt;6),1,0),IF(AND(AH56&lt;&gt;"",WEEKDAY(AH$1,2)&lt;6),1,0),IF(AND(AJ56&lt;&gt;"",WEEKDAY(AJ$1,2)&lt;6),1,0),IF(AND(AL56&lt;&gt;"",WEEKDAY(AL$1,2)&lt;6),1,0),IF(AND(AN56&lt;&gt;"",WEEKDAY(AN$1,2)&lt;6),1,0),IF(AND(AP56&lt;&gt;"",WEEKDAY(AP$1,2)&lt;6),1,0),IF(AND(AR56&lt;&gt;"",WEEKDAY(AR$1,2)&lt;6),1,0),IF(AND(AT56&lt;&gt;"",WEEKDAY(AT$1,2)&lt;6),1,0),IF(AND(AV56&lt;&gt;"",WEEKDAY(AV$1,2)&lt;6),1,0),IF(AND(AX56&lt;&gt;"",WEEKDAY(AX$1,2)&lt;6),1,0),IF(AND(AZ56&lt;&gt;"",WEEKDAY(AZ$1,2)&lt;6),1,0),IF(AND(BB56&lt;&gt;"",WEEKDAY(BB$1,2)&lt;6),1,0),IF(AND(BD56&lt;&gt;"",WEEKDAY(BD$1,2)&lt;6),1,0),IF(AND(BF56&lt;&gt;"",WEEKDAY(BF$1,2)&lt;6),1,0),IF(AND(BH56&lt;&gt;"",WEEKDAY(BH$1,2)&lt;6),1,0),IF(AND(BJ56&lt;&gt;"",WEEKDAY(BJ$1,2)&lt;6),1,0),IF(AND(BL56&lt;&gt;"",WEEKDAY(BL$1,2)&lt;6),1,0))</f>
        <v>6</v>
      </c>
      <c r="BO56" s="85">
        <f>SUM(IF(AND(E56&lt;&gt;"",WEEKDAY(D$1,2)&lt;6),1,0),IF(AND(G56&lt;&gt;"",WEEKDAY(F$1,2)&lt;6),1,0),IF(AND(I56&lt;&gt;"",WEEKDAY(H$1,2)&lt;6),1,0),IF(AND(K56&lt;&gt;"",WEEKDAY(J$1,2)&lt;6),1,0),IF(AND(M56&lt;&gt;"",WEEKDAY(L$1,2)&lt;6),1,0),IF(AND(O56&lt;&gt;"",WEEKDAY(N$1,2)&lt;6),1,0),IF(AND(Q56&lt;&gt;"",WEEKDAY(P$1,2)&lt;6),1,0),IF(AND(S56&lt;&gt;"",WEEKDAY(R$1,2)&lt;6),1,0),IF(AND(U56&lt;&gt;"",WEEKDAY(T$1,2)&lt;6),1,0),IF(AND(W56&lt;&gt;"",WEEKDAY(V$1,2)&lt;6),1,0),IF(AND(Y56&lt;&gt;"",WEEKDAY(X$1,2)&lt;6),1,0),IF(AND(AA56&lt;&gt;"",WEEKDAY(Z$1,2)&lt;6),1,0),IF(AND(AC56&lt;&gt;"",WEEKDAY(AB$1,2)&lt;6),1,0),IF(AND(AE56&lt;&gt;"",WEEKDAY(AD$1,2)&lt;6),1,0),IF(AND(AG56&lt;&gt;"",WEEKDAY(AF$1,2)&lt;6),1,0),IF(AND(AI56&lt;&gt;"",WEEKDAY(AH$1,2)&lt;6),1,0),IF(AND(AK56&lt;&gt;"",WEEKDAY(AJ$1,2)&lt;6),1,0),IF(AND(AM56&lt;&gt;"",WEEKDAY(AL$1,2)&lt;6),1,0),IF(AND(AO56&lt;&gt;"",WEEKDAY(AN$1,2)&lt;6),1,0),IF(AND(AQ56&lt;&gt;"",WEEKDAY(AP$1,2)&lt;6),1,0),IF(AND(AS56&lt;&gt;"",WEEKDAY(AR$1,2)&lt;6),1,0),IF(AND(AU56&lt;&gt;"",WEEKDAY(AT$1,2)&lt;6),1,0),IF(AND(AW56&lt;&gt;"",WEEKDAY(AV$1,2)&lt;6),1,0),IF(AND(AY56&lt;&gt;"",WEEKDAY(AX$1,2)&lt;6),1,0),IF(AND(BA56&lt;&gt;"",WEEKDAY(AZ$1,2)&lt;6),1,0),IF(AND(BC56&lt;&gt;"",WEEKDAY(BB$1,2)&lt;6),1,0),IF(AND(BE56&lt;&gt;"",WEEKDAY(BD$1,2)&lt;6),1,0),IF(AND(BG56&lt;&gt;"",WEEKDAY(BF$1,2)&lt;6),1,0),IF(AND(BI56&lt;&gt;"",WEEKDAY(BH$1,2)&lt;6),1,0),IF(AND(BK56&lt;&gt;"",WEEKDAY(BJ$1,2)&lt;6),1,0),IF(AND(BM56&lt;&gt;"",WEEKDAY(BL$1,2)&lt;6),1,0))</f>
        <v>9</v>
      </c>
      <c r="BP56" s="85">
        <f>SUM(IF(AND((D56&lt;&gt;"")+(E56&lt;&gt;""),WEEKDAY(D$1,2)=6),1,0),IF(AND((F56&lt;&gt;"")+(G56&lt;&gt;""),WEEKDAY(F$1,2)=6),1,0),IF(AND((H56&lt;&gt;"")+(I56&lt;&gt;""),WEEKDAY(H$1,2)=6),1,0),IF(AND((J56&lt;&gt;"")+(K56&lt;&gt;""),WEEKDAY(J$1,2)=6),1,0),IF(AND((L56&lt;&gt;"")+(M56&lt;&gt;""),WEEKDAY(L$1,2)=6),1,0),IF(AND((N56&lt;&gt;"")+(O56&lt;&gt;""),WEEKDAY(N$1,2)=6),1,0),IF(AND((P56&lt;&gt;"")+(Q56&lt;&gt;""),WEEKDAY(P$1,2)=6),1,0),IF(AND((R56&lt;&gt;"")+(S56&lt;&gt;""),WEEKDAY(R$1,2)=6),1,0),IF(AND((T56&lt;&gt;"")+(U56&lt;&gt;""),WEEKDAY(T$1,2)=6),1,0),IF(AND((V56&lt;&gt;"")+(W56&lt;&gt;""),WEEKDAY(V$1,2)=6),1,0),IF(AND((X56&lt;&gt;"")+(Y56&lt;&gt;""),WEEKDAY(X$1,2)=6),1,0),IF(AND((Z56&lt;&gt;"")+(AA56&lt;&gt;""),WEEKDAY(Z$1,2)=6),1,0),IF(AND((AB56&lt;&gt;"")+(AC56&lt;&gt;""),WEEKDAY(AB$1,2)=6),1,0),IF(AND((AD56&lt;&gt;"")+(AE56&lt;&gt;""),WEEKDAY(AD$1,2)=6),1,0),IF(AND((AF56&lt;&gt;"")+(AG56&lt;&gt;""),WEEKDAY(AF$1,2)=6),1,0),IF(AND((AH56&lt;&gt;"")+(AI56&lt;&gt;""),WEEKDAY(AH$1,2)=6),1,0),IF(AND((AJ56&lt;&gt;"")+(AK56&lt;&gt;""),WEEKDAY(AJ$1,2)=6),1,0),IF(AND((AL56&lt;&gt;"")+(AM56&lt;&gt;""),WEEKDAY(AL$1,2)=6),1,0),IF(AND((AN56&lt;&gt;"")+(AO56&lt;&gt;""),WEEKDAY(AN$1,2)=6),1,0),IF(AND((AP56&lt;&gt;"")+(AQ56&lt;&gt;""),WEEKDAY(AP$1,2)=6),1,0),IF(AND((AR56&lt;&gt;"")+(AS56&lt;&gt;""),WEEKDAY(AR$1,2)=6),1,0),IF(AND((AT56&lt;&gt;"")+(AU56&lt;&gt;""),WEEKDAY(AT$1,2)=6),1,0),IF(AND((AV56&lt;&gt;"")+(AW56&lt;&gt;""),WEEKDAY(AV$1,2)=6),1,0),IF(AND((AX56&lt;&gt;"")+(AY56&lt;&gt;""),WEEKDAY(AX$1,2)=6),1,0),IF(AND((AZ56&lt;&gt;"")+(BA56&lt;&gt;""),WEEKDAY(AZ$1,2)=6),1,0),IF(AND((BB56&lt;&gt;"")+(BC56&lt;&gt;""),WEEKDAY(BB$1,2)=6),1,0),IF(AND((BD56&lt;&gt;"")+(BE56&lt;&gt;""),WEEKDAY(BD$1,2)=6),1,0),IF(AND((BF56&lt;&gt;"")+(BG56&lt;&gt;""),WEEKDAY(BF$1,2)=6),1,0),IF(AND((BH56&lt;&gt;"")+(BI56&lt;&gt;""),WEEKDAY(BH$1,2)=6),1,0),IF(AND((BJ56&lt;&gt;"")+(BK56&lt;&gt;""),WEEKDAY(BJ$1,2)=6),1,0),IF(AND((BL56&lt;&gt;"")+(BM56&lt;&gt;""),WEEKDAY(BL$1,2)=6),1,0))</f>
        <v>0</v>
      </c>
    </row>
    <row r="57" spans="1:68" ht="16.5">
      <c r="A57" s="86" t="s">
        <v>72</v>
      </c>
      <c r="B57" s="86" t="s">
        <v>85</v>
      </c>
      <c r="C57" s="92" t="s">
        <v>88</v>
      </c>
      <c r="D57" s="91"/>
      <c r="E57" s="91"/>
      <c r="F57" s="88">
        <v>0.40902777777777777</v>
      </c>
      <c r="G57" s="85"/>
      <c r="H57" s="88">
        <v>0.38333333333333336</v>
      </c>
      <c r="I57" s="85"/>
      <c r="J57" s="98"/>
      <c r="K57" s="98"/>
      <c r="L57" s="98"/>
      <c r="M57" s="98"/>
      <c r="N57" s="85"/>
      <c r="O57" s="85"/>
      <c r="P57" s="95"/>
      <c r="Q57" s="95"/>
      <c r="R57" s="91"/>
      <c r="S57" s="91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95"/>
      <c r="AE57" s="95"/>
      <c r="AF57" s="91"/>
      <c r="AG57" s="91"/>
      <c r="AH57" s="96"/>
      <c r="AI57" s="96"/>
      <c r="AJ57" s="85"/>
      <c r="AK57" s="85"/>
      <c r="AL57" s="85"/>
      <c r="AM57" s="85"/>
      <c r="AN57" s="85"/>
      <c r="AO57" s="85"/>
      <c r="AP57" s="85"/>
      <c r="AQ57" s="85"/>
      <c r="AR57" s="95"/>
      <c r="AS57" s="95"/>
      <c r="AT57" s="91"/>
      <c r="AU57" s="91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95"/>
      <c r="BG57" s="95"/>
      <c r="BH57" s="91"/>
      <c r="BI57" s="91"/>
      <c r="BJ57" s="85"/>
      <c r="BK57" s="85"/>
      <c r="BL57" s="98"/>
      <c r="BM57" s="98"/>
      <c r="BN57" s="85">
        <f>SUM(IF(AND(D57&lt;&gt;"",WEEKDAY(D$1,2)&lt;6),1,0),IF(AND(F57&lt;&gt;"",WEEKDAY(F$1,2)&lt;6),1,0),IF(AND(H57&lt;&gt;"",WEEKDAY(H$1,2)&lt;6),1,0),IF(AND(J57&lt;&gt;"",WEEKDAY(J$1,2)&lt;6),1,0),IF(AND(L57&lt;&gt;"",WEEKDAY(L$1,2)&lt;6),1,0),IF(AND(N57&lt;&gt;"",WEEKDAY(N$1,2)&lt;6),1,0),IF(AND(P57&lt;&gt;"",WEEKDAY(P$1,2)&lt;6),1,0),IF(AND(R57&lt;&gt;"",WEEKDAY(R$1,2)&lt;6),1,0),IF(AND(T57&lt;&gt;"",WEEKDAY(T$1,2)&lt;6),1,0),IF(AND(V57&lt;&gt;"",WEEKDAY(V$1,2)&lt;6),1,0),IF(AND(X57&lt;&gt;"",WEEKDAY(X$1,2)&lt;6),1,0),IF(AND(Z57&lt;&gt;"",WEEKDAY(Z$1,2)&lt;6),1,0),IF(AND(AB57&lt;&gt;"",WEEKDAY(AB$1,2)&lt;6),1,0),IF(AND(AD57&lt;&gt;"",WEEKDAY(AD$1,2)&lt;6),1,0),IF(AND(AF57&lt;&gt;"",WEEKDAY(AF$1,2)&lt;6),1,0),IF(AND(AH57&lt;&gt;"",WEEKDAY(AH$1,2)&lt;6),1,0),IF(AND(AJ57&lt;&gt;"",WEEKDAY(AJ$1,2)&lt;6),1,0),IF(AND(AL57&lt;&gt;"",WEEKDAY(AL$1,2)&lt;6),1,0),IF(AND(AN57&lt;&gt;"",WEEKDAY(AN$1,2)&lt;6),1,0),IF(AND(AP57&lt;&gt;"",WEEKDAY(AP$1,2)&lt;6),1,0),IF(AND(AR57&lt;&gt;"",WEEKDAY(AR$1,2)&lt;6),1,0),IF(AND(AT57&lt;&gt;"",WEEKDAY(AT$1,2)&lt;6),1,0),IF(AND(AV57&lt;&gt;"",WEEKDAY(AV$1,2)&lt;6),1,0),IF(AND(AX57&lt;&gt;"",WEEKDAY(AX$1,2)&lt;6),1,0),IF(AND(AZ57&lt;&gt;"",WEEKDAY(AZ$1,2)&lt;6),1,0),IF(AND(BB57&lt;&gt;"",WEEKDAY(BB$1,2)&lt;6),1,0),IF(AND(BD57&lt;&gt;"",WEEKDAY(BD$1,2)&lt;6),1,0),IF(AND(BF57&lt;&gt;"",WEEKDAY(BF$1,2)&lt;6),1,0),IF(AND(BH57&lt;&gt;"",WEEKDAY(BH$1,2)&lt;6),1,0),IF(AND(BJ57&lt;&gt;"",WEEKDAY(BJ$1,2)&lt;6),1,0),IF(AND(BL57&lt;&gt;"",WEEKDAY(BL$1,2)&lt;6),1,0))</f>
        <v>2</v>
      </c>
      <c r="BO57" s="85">
        <f>SUM(IF(AND(E57&lt;&gt;"",WEEKDAY(D$1,2)&lt;6),1,0),IF(AND(G57&lt;&gt;"",WEEKDAY(F$1,2)&lt;6),1,0),IF(AND(I57&lt;&gt;"",WEEKDAY(H$1,2)&lt;6),1,0),IF(AND(K57&lt;&gt;"",WEEKDAY(J$1,2)&lt;6),1,0),IF(AND(M57&lt;&gt;"",WEEKDAY(L$1,2)&lt;6),1,0),IF(AND(O57&lt;&gt;"",WEEKDAY(N$1,2)&lt;6),1,0),IF(AND(Q57&lt;&gt;"",WEEKDAY(P$1,2)&lt;6),1,0),IF(AND(S57&lt;&gt;"",WEEKDAY(R$1,2)&lt;6),1,0),IF(AND(U57&lt;&gt;"",WEEKDAY(T$1,2)&lt;6),1,0),IF(AND(W57&lt;&gt;"",WEEKDAY(V$1,2)&lt;6),1,0),IF(AND(Y57&lt;&gt;"",WEEKDAY(X$1,2)&lt;6),1,0),IF(AND(AA57&lt;&gt;"",WEEKDAY(Z$1,2)&lt;6),1,0),IF(AND(AC57&lt;&gt;"",WEEKDAY(AB$1,2)&lt;6),1,0),IF(AND(AE57&lt;&gt;"",WEEKDAY(AD$1,2)&lt;6),1,0),IF(AND(AG57&lt;&gt;"",WEEKDAY(AF$1,2)&lt;6),1,0),IF(AND(AI57&lt;&gt;"",WEEKDAY(AH$1,2)&lt;6),1,0),IF(AND(AK57&lt;&gt;"",WEEKDAY(AJ$1,2)&lt;6),1,0),IF(AND(AM57&lt;&gt;"",WEEKDAY(AL$1,2)&lt;6),1,0),IF(AND(AO57&lt;&gt;"",WEEKDAY(AN$1,2)&lt;6),1,0),IF(AND(AQ57&lt;&gt;"",WEEKDAY(AP$1,2)&lt;6),1,0),IF(AND(AS57&lt;&gt;"",WEEKDAY(AR$1,2)&lt;6),1,0),IF(AND(AU57&lt;&gt;"",WEEKDAY(AT$1,2)&lt;6),1,0),IF(AND(AW57&lt;&gt;"",WEEKDAY(AV$1,2)&lt;6),1,0),IF(AND(AY57&lt;&gt;"",WEEKDAY(AX$1,2)&lt;6),1,0),IF(AND(BA57&lt;&gt;"",WEEKDAY(AZ$1,2)&lt;6),1,0),IF(AND(BC57&lt;&gt;"",WEEKDAY(BB$1,2)&lt;6),1,0),IF(AND(BE57&lt;&gt;"",WEEKDAY(BD$1,2)&lt;6),1,0),IF(AND(BG57&lt;&gt;"",WEEKDAY(BF$1,2)&lt;6),1,0),IF(AND(BI57&lt;&gt;"",WEEKDAY(BH$1,2)&lt;6),1,0),IF(AND(BK57&lt;&gt;"",WEEKDAY(BJ$1,2)&lt;6),1,0),IF(AND(BM57&lt;&gt;"",WEEKDAY(BL$1,2)&lt;6),1,0))</f>
        <v>0</v>
      </c>
      <c r="BP57" s="85">
        <f>SUM(IF(AND((D57&lt;&gt;"")+(E57&lt;&gt;""),WEEKDAY(D$1,2)=6),1,0),IF(AND((F57&lt;&gt;"")+(G57&lt;&gt;""),WEEKDAY(F$1,2)=6),1,0),IF(AND((H57&lt;&gt;"")+(I57&lt;&gt;""),WEEKDAY(H$1,2)=6),1,0),IF(AND((J57&lt;&gt;"")+(K57&lt;&gt;""),WEEKDAY(J$1,2)=6),1,0),IF(AND((L57&lt;&gt;"")+(M57&lt;&gt;""),WEEKDAY(L$1,2)=6),1,0),IF(AND((N57&lt;&gt;"")+(O57&lt;&gt;""),WEEKDAY(N$1,2)=6),1,0),IF(AND((P57&lt;&gt;"")+(Q57&lt;&gt;""),WEEKDAY(P$1,2)=6),1,0),IF(AND((R57&lt;&gt;"")+(S57&lt;&gt;""),WEEKDAY(R$1,2)=6),1,0),IF(AND((T57&lt;&gt;"")+(U57&lt;&gt;""),WEEKDAY(T$1,2)=6),1,0),IF(AND((V57&lt;&gt;"")+(W57&lt;&gt;""),WEEKDAY(V$1,2)=6),1,0),IF(AND((X57&lt;&gt;"")+(Y57&lt;&gt;""),WEEKDAY(X$1,2)=6),1,0),IF(AND((Z57&lt;&gt;"")+(AA57&lt;&gt;""),WEEKDAY(Z$1,2)=6),1,0),IF(AND((AB57&lt;&gt;"")+(AC57&lt;&gt;""),WEEKDAY(AB$1,2)=6),1,0),IF(AND((AD57&lt;&gt;"")+(AE57&lt;&gt;""),WEEKDAY(AD$1,2)=6),1,0),IF(AND((AF57&lt;&gt;"")+(AG57&lt;&gt;""),WEEKDAY(AF$1,2)=6),1,0),IF(AND((AH57&lt;&gt;"")+(AI57&lt;&gt;""),WEEKDAY(AH$1,2)=6),1,0),IF(AND((AJ57&lt;&gt;"")+(AK57&lt;&gt;""),WEEKDAY(AJ$1,2)=6),1,0),IF(AND((AL57&lt;&gt;"")+(AM57&lt;&gt;""),WEEKDAY(AL$1,2)=6),1,0),IF(AND((AN57&lt;&gt;"")+(AO57&lt;&gt;""),WEEKDAY(AN$1,2)=6),1,0),IF(AND((AP57&lt;&gt;"")+(AQ57&lt;&gt;""),WEEKDAY(AP$1,2)=6),1,0),IF(AND((AR57&lt;&gt;"")+(AS57&lt;&gt;""),WEEKDAY(AR$1,2)=6),1,0),IF(AND((AT57&lt;&gt;"")+(AU57&lt;&gt;""),WEEKDAY(AT$1,2)=6),1,0),IF(AND((AV57&lt;&gt;"")+(AW57&lt;&gt;""),WEEKDAY(AV$1,2)=6),1,0),IF(AND((AX57&lt;&gt;"")+(AY57&lt;&gt;""),WEEKDAY(AX$1,2)=6),1,0),IF(AND((AZ57&lt;&gt;"")+(BA57&lt;&gt;""),WEEKDAY(AZ$1,2)=6),1,0),IF(AND((BB57&lt;&gt;"")+(BC57&lt;&gt;""),WEEKDAY(BB$1,2)=6),1,0),IF(AND((BD57&lt;&gt;"")+(BE57&lt;&gt;""),WEEKDAY(BD$1,2)=6),1,0),IF(AND((BF57&lt;&gt;"")+(BG57&lt;&gt;""),WEEKDAY(BF$1,2)=6),1,0),IF(AND((BH57&lt;&gt;"")+(BI57&lt;&gt;""),WEEKDAY(BH$1,2)=6),1,0),IF(AND((BJ57&lt;&gt;"")+(BK57&lt;&gt;""),WEEKDAY(BJ$1,2)=6),1,0),IF(AND((BL57&lt;&gt;"")+(BM57&lt;&gt;""),WEEKDAY(BL$1,2)=6),1,0))</f>
        <v>0</v>
      </c>
    </row>
    <row r="58" spans="1:68" ht="16.5">
      <c r="A58" s="86" t="s">
        <v>72</v>
      </c>
      <c r="B58" s="86" t="s">
        <v>89</v>
      </c>
      <c r="C58" s="92" t="s">
        <v>90</v>
      </c>
      <c r="D58" s="91"/>
      <c r="E58" s="91"/>
      <c r="F58" s="88">
        <v>0.37916666666666665</v>
      </c>
      <c r="G58" s="88">
        <v>0.18124999999999999</v>
      </c>
      <c r="H58" s="88">
        <v>0.38472222222222224</v>
      </c>
      <c r="I58" s="88">
        <v>0.16458333333333333</v>
      </c>
      <c r="J58" s="99">
        <v>0.38124999999999998</v>
      </c>
      <c r="K58" s="99">
        <v>0.17916666666666667</v>
      </c>
      <c r="L58" s="99">
        <v>0.44583333333333336</v>
      </c>
      <c r="M58" s="99">
        <v>0.2951388888888889</v>
      </c>
      <c r="N58" s="88">
        <v>0.44861111111111113</v>
      </c>
      <c r="O58" s="85"/>
      <c r="P58" s="102">
        <v>0.39305555555555555</v>
      </c>
      <c r="Q58" s="95"/>
      <c r="R58" s="91"/>
      <c r="S58" s="91"/>
      <c r="T58" s="88">
        <v>0.39374999999999999</v>
      </c>
      <c r="U58" s="88">
        <v>0.18888888888888888</v>
      </c>
      <c r="V58" s="88">
        <v>0.37986111111111109</v>
      </c>
      <c r="W58" s="88">
        <v>0.16875000000000001</v>
      </c>
      <c r="X58" s="88">
        <v>0.38333333333333336</v>
      </c>
      <c r="Y58" s="88">
        <v>0.15694444444444444</v>
      </c>
      <c r="Z58" s="88">
        <v>0.3840277777777778</v>
      </c>
      <c r="AA58" s="88">
        <v>0.15625</v>
      </c>
      <c r="AB58" s="88">
        <v>0.37430555555555556</v>
      </c>
      <c r="AC58" s="88">
        <v>0.16388888888888889</v>
      </c>
      <c r="AD58" s="102">
        <v>0.41041666666666665</v>
      </c>
      <c r="AE58" s="102">
        <v>0.53541666666666665</v>
      </c>
      <c r="AF58" s="91"/>
      <c r="AG58" s="91"/>
      <c r="AH58" s="96"/>
      <c r="AI58" s="96"/>
      <c r="AJ58" s="88">
        <v>0.38333333333333336</v>
      </c>
      <c r="AK58" s="88">
        <v>0.1736111111111111</v>
      </c>
      <c r="AL58" s="88">
        <v>0.40972222222222221</v>
      </c>
      <c r="AM58" s="88">
        <v>0.17083333333333334</v>
      </c>
      <c r="AN58" s="88">
        <v>0.3840277777777778</v>
      </c>
      <c r="AO58" s="88">
        <v>0.16388888888888889</v>
      </c>
      <c r="AP58" s="88">
        <v>0.37638888888888888</v>
      </c>
      <c r="AQ58" s="88">
        <v>0.15972222222222221</v>
      </c>
      <c r="AR58" s="102">
        <v>0.38124999999999998</v>
      </c>
      <c r="AS58" s="95"/>
      <c r="AT58" s="91"/>
      <c r="AU58" s="91"/>
      <c r="AV58" s="88">
        <v>0.38194444444444442</v>
      </c>
      <c r="AW58" s="88">
        <v>0.16250000000000001</v>
      </c>
      <c r="AX58" s="88">
        <v>0.37986111111111109</v>
      </c>
      <c r="AY58" s="88">
        <v>0.15833333333333333</v>
      </c>
      <c r="AZ58" s="88">
        <v>0.3888888888888889</v>
      </c>
      <c r="BA58" s="88">
        <v>0.15902777777777777</v>
      </c>
      <c r="BB58" s="88">
        <v>0.39305555555555555</v>
      </c>
      <c r="BC58" s="88">
        <v>0.16805555555555557</v>
      </c>
      <c r="BD58" s="88">
        <v>0.38055555555555554</v>
      </c>
      <c r="BE58" s="85"/>
      <c r="BF58" s="95"/>
      <c r="BG58" s="95"/>
      <c r="BH58" s="91"/>
      <c r="BI58" s="91"/>
      <c r="BJ58" s="88">
        <v>0.38055555555555554</v>
      </c>
      <c r="BK58" s="88">
        <v>0.16944444444444445</v>
      </c>
      <c r="BL58" s="99">
        <v>0.37430555555555556</v>
      </c>
      <c r="BM58" s="99">
        <v>0.19375000000000001</v>
      </c>
      <c r="BN58" s="85">
        <f>SUM(IF(AND(D58&lt;&gt;"",WEEKDAY(D$1,2)&lt;6),1,0),IF(AND(F58&lt;&gt;"",WEEKDAY(F$1,2)&lt;6),1,0),IF(AND(H58&lt;&gt;"",WEEKDAY(H$1,2)&lt;6),1,0),IF(AND(J58&lt;&gt;"",WEEKDAY(J$1,2)&lt;6),1,0),IF(AND(L58&lt;&gt;"",WEEKDAY(L$1,2)&lt;6),1,0),IF(AND(N58&lt;&gt;"",WEEKDAY(N$1,2)&lt;6),1,0),IF(AND(P58&lt;&gt;"",WEEKDAY(P$1,2)&lt;6),1,0),IF(AND(R58&lt;&gt;"",WEEKDAY(R$1,2)&lt;6),1,0),IF(AND(T58&lt;&gt;"",WEEKDAY(T$1,2)&lt;6),1,0),IF(AND(V58&lt;&gt;"",WEEKDAY(V$1,2)&lt;6),1,0),IF(AND(X58&lt;&gt;"",WEEKDAY(X$1,2)&lt;6),1,0),IF(AND(Z58&lt;&gt;"",WEEKDAY(Z$1,2)&lt;6),1,0),IF(AND(AB58&lt;&gt;"",WEEKDAY(AB$1,2)&lt;6),1,0),IF(AND(AD58&lt;&gt;"",WEEKDAY(AD$1,2)&lt;6),1,0),IF(AND(AF58&lt;&gt;"",WEEKDAY(AF$1,2)&lt;6),1,0),IF(AND(AH58&lt;&gt;"",WEEKDAY(AH$1,2)&lt;6),1,0),IF(AND(AJ58&lt;&gt;"",WEEKDAY(AJ$1,2)&lt;6),1,0),IF(AND(AL58&lt;&gt;"",WEEKDAY(AL$1,2)&lt;6),1,0),IF(AND(AN58&lt;&gt;"",WEEKDAY(AN$1,2)&lt;6),1,0),IF(AND(AP58&lt;&gt;"",WEEKDAY(AP$1,2)&lt;6),1,0),IF(AND(AR58&lt;&gt;"",WEEKDAY(AR$1,2)&lt;6),1,0),IF(AND(AT58&lt;&gt;"",WEEKDAY(AT$1,2)&lt;6),1,0),IF(AND(AV58&lt;&gt;"",WEEKDAY(AV$1,2)&lt;6),1,0),IF(AND(AX58&lt;&gt;"",WEEKDAY(AX$1,2)&lt;6),1,0),IF(AND(AZ58&lt;&gt;"",WEEKDAY(AZ$1,2)&lt;6),1,0),IF(AND(BB58&lt;&gt;"",WEEKDAY(BB$1,2)&lt;6),1,0),IF(AND(BD58&lt;&gt;"",WEEKDAY(BD$1,2)&lt;6),1,0),IF(AND(BF58&lt;&gt;"",WEEKDAY(BF$1,2)&lt;6),1,0),IF(AND(BH58&lt;&gt;"",WEEKDAY(BH$1,2)&lt;6),1,0),IF(AND(BJ58&lt;&gt;"",WEEKDAY(BJ$1,2)&lt;6),1,0),IF(AND(BL58&lt;&gt;"",WEEKDAY(BL$1,2)&lt;6),1,0))</f>
        <v>21</v>
      </c>
      <c r="BO58" s="85">
        <f>SUM(IF(AND(E58&lt;&gt;"",WEEKDAY(D$1,2)&lt;6),1,0),IF(AND(G58&lt;&gt;"",WEEKDAY(F$1,2)&lt;6),1,0),IF(AND(I58&lt;&gt;"",WEEKDAY(H$1,2)&lt;6),1,0),IF(AND(K58&lt;&gt;"",WEEKDAY(J$1,2)&lt;6),1,0),IF(AND(M58&lt;&gt;"",WEEKDAY(L$1,2)&lt;6),1,0),IF(AND(O58&lt;&gt;"",WEEKDAY(N$1,2)&lt;6),1,0),IF(AND(Q58&lt;&gt;"",WEEKDAY(P$1,2)&lt;6),1,0),IF(AND(S58&lt;&gt;"",WEEKDAY(R$1,2)&lt;6),1,0),IF(AND(U58&lt;&gt;"",WEEKDAY(T$1,2)&lt;6),1,0),IF(AND(W58&lt;&gt;"",WEEKDAY(V$1,2)&lt;6),1,0),IF(AND(Y58&lt;&gt;"",WEEKDAY(X$1,2)&lt;6),1,0),IF(AND(AA58&lt;&gt;"",WEEKDAY(Z$1,2)&lt;6),1,0),IF(AND(AC58&lt;&gt;"",WEEKDAY(AB$1,2)&lt;6),1,0),IF(AND(AE58&lt;&gt;"",WEEKDAY(AD$1,2)&lt;6),1,0),IF(AND(AG58&lt;&gt;"",WEEKDAY(AF$1,2)&lt;6),1,0),IF(AND(AI58&lt;&gt;"",WEEKDAY(AH$1,2)&lt;6),1,0),IF(AND(AK58&lt;&gt;"",WEEKDAY(AJ$1,2)&lt;6),1,0),IF(AND(AM58&lt;&gt;"",WEEKDAY(AL$1,2)&lt;6),1,0),IF(AND(AO58&lt;&gt;"",WEEKDAY(AN$1,2)&lt;6),1,0),IF(AND(AQ58&lt;&gt;"",WEEKDAY(AP$1,2)&lt;6),1,0),IF(AND(AS58&lt;&gt;"",WEEKDAY(AR$1,2)&lt;6),1,0),IF(AND(AU58&lt;&gt;"",WEEKDAY(AT$1,2)&lt;6),1,0),IF(AND(AW58&lt;&gt;"",WEEKDAY(AV$1,2)&lt;6),1,0),IF(AND(AY58&lt;&gt;"",WEEKDAY(AX$1,2)&lt;6),1,0),IF(AND(BA58&lt;&gt;"",WEEKDAY(AZ$1,2)&lt;6),1,0),IF(AND(BC58&lt;&gt;"",WEEKDAY(BB$1,2)&lt;6),1,0),IF(AND(BE58&lt;&gt;"",WEEKDAY(BD$1,2)&lt;6),1,0),IF(AND(BG58&lt;&gt;"",WEEKDAY(BF$1,2)&lt;6),1,0),IF(AND(BI58&lt;&gt;"",WEEKDAY(BH$1,2)&lt;6),1,0),IF(AND(BK58&lt;&gt;"",WEEKDAY(BJ$1,2)&lt;6),1,0),IF(AND(BM58&lt;&gt;"",WEEKDAY(BL$1,2)&lt;6),1,0))</f>
        <v>19</v>
      </c>
      <c r="BP58" s="85">
        <f>SUM(IF(AND((D58&lt;&gt;"")+(E58&lt;&gt;""),WEEKDAY(D$1,2)=6),1,0),IF(AND((F58&lt;&gt;"")+(G58&lt;&gt;""),WEEKDAY(F$1,2)=6),1,0),IF(AND((H58&lt;&gt;"")+(I58&lt;&gt;""),WEEKDAY(H$1,2)=6),1,0),IF(AND((J58&lt;&gt;"")+(K58&lt;&gt;""),WEEKDAY(J$1,2)=6),1,0),IF(AND((L58&lt;&gt;"")+(M58&lt;&gt;""),WEEKDAY(L$1,2)=6),1,0),IF(AND((N58&lt;&gt;"")+(O58&lt;&gt;""),WEEKDAY(N$1,2)=6),1,0),IF(AND((P58&lt;&gt;"")+(Q58&lt;&gt;""),WEEKDAY(P$1,2)=6),1,0),IF(AND((R58&lt;&gt;"")+(S58&lt;&gt;""),WEEKDAY(R$1,2)=6),1,0),IF(AND((T58&lt;&gt;"")+(U58&lt;&gt;""),WEEKDAY(T$1,2)=6),1,0),IF(AND((V58&lt;&gt;"")+(W58&lt;&gt;""),WEEKDAY(V$1,2)=6),1,0),IF(AND((X58&lt;&gt;"")+(Y58&lt;&gt;""),WEEKDAY(X$1,2)=6),1,0),IF(AND((Z58&lt;&gt;"")+(AA58&lt;&gt;""),WEEKDAY(Z$1,2)=6),1,0),IF(AND((AB58&lt;&gt;"")+(AC58&lt;&gt;""),WEEKDAY(AB$1,2)=6),1,0),IF(AND((AD58&lt;&gt;"")+(AE58&lt;&gt;""),WEEKDAY(AD$1,2)=6),1,0),IF(AND((AF58&lt;&gt;"")+(AG58&lt;&gt;""),WEEKDAY(AF$1,2)=6),1,0),IF(AND((AH58&lt;&gt;"")+(AI58&lt;&gt;""),WEEKDAY(AH$1,2)=6),1,0),IF(AND((AJ58&lt;&gt;"")+(AK58&lt;&gt;""),WEEKDAY(AJ$1,2)=6),1,0),IF(AND((AL58&lt;&gt;"")+(AM58&lt;&gt;""),WEEKDAY(AL$1,2)=6),1,0),IF(AND((AN58&lt;&gt;"")+(AO58&lt;&gt;""),WEEKDAY(AN$1,2)=6),1,0),IF(AND((AP58&lt;&gt;"")+(AQ58&lt;&gt;""),WEEKDAY(AP$1,2)=6),1,0),IF(AND((AR58&lt;&gt;"")+(AS58&lt;&gt;""),WEEKDAY(AR$1,2)=6),1,0),IF(AND((AT58&lt;&gt;"")+(AU58&lt;&gt;""),WEEKDAY(AT$1,2)=6),1,0),IF(AND((AV58&lt;&gt;"")+(AW58&lt;&gt;""),WEEKDAY(AV$1,2)=6),1,0),IF(AND((AX58&lt;&gt;"")+(AY58&lt;&gt;""),WEEKDAY(AX$1,2)=6),1,0),IF(AND((AZ58&lt;&gt;"")+(BA58&lt;&gt;""),WEEKDAY(AZ$1,2)=6),1,0),IF(AND((BB58&lt;&gt;"")+(BC58&lt;&gt;""),WEEKDAY(BB$1,2)=6),1,0),IF(AND((BD58&lt;&gt;"")+(BE58&lt;&gt;""),WEEKDAY(BD$1,2)=6),1,0),IF(AND((BF58&lt;&gt;"")+(BG58&lt;&gt;""),WEEKDAY(BF$1,2)=6),1,0),IF(AND((BH58&lt;&gt;"")+(BI58&lt;&gt;""),WEEKDAY(BH$1,2)=6),1,0),IF(AND((BJ58&lt;&gt;"")+(BK58&lt;&gt;""),WEEKDAY(BJ$1,2)=6),1,0),IF(AND((BL58&lt;&gt;"")+(BM58&lt;&gt;""),WEEKDAY(BL$1,2)=6),1,0))</f>
        <v>3</v>
      </c>
    </row>
    <row r="59" spans="1:68" ht="16.5">
      <c r="A59" s="86" t="s">
        <v>72</v>
      </c>
      <c r="B59" s="86" t="s">
        <v>91</v>
      </c>
      <c r="C59" s="92" t="s">
        <v>92</v>
      </c>
      <c r="D59" s="91"/>
      <c r="E59" s="91"/>
      <c r="F59" s="88">
        <v>0.41388888888888886</v>
      </c>
      <c r="G59" s="88">
        <v>0.22013888888888888</v>
      </c>
      <c r="H59" s="88">
        <v>0.375</v>
      </c>
      <c r="I59" s="99">
        <v>0.1701388888888889</v>
      </c>
      <c r="J59" s="99">
        <v>0.41388888888888886</v>
      </c>
      <c r="K59" s="99">
        <v>0.22152777777777777</v>
      </c>
      <c r="L59" s="99">
        <v>0.40625</v>
      </c>
      <c r="M59" s="99">
        <v>0.24930555555555556</v>
      </c>
      <c r="N59" s="88">
        <v>0.41319444444444442</v>
      </c>
      <c r="O59" s="88">
        <v>0.22152777777777777</v>
      </c>
      <c r="P59" s="102">
        <v>0.49375000000000002</v>
      </c>
      <c r="Q59" s="95"/>
      <c r="R59" s="91"/>
      <c r="S59" s="91"/>
      <c r="T59" s="88">
        <v>0.46875</v>
      </c>
      <c r="U59" s="88">
        <v>0.17916666666666667</v>
      </c>
      <c r="V59" s="85"/>
      <c r="W59" s="88">
        <v>0.25416666666666665</v>
      </c>
      <c r="X59" s="88">
        <v>0.40208333333333335</v>
      </c>
      <c r="Y59" s="85"/>
      <c r="Z59" s="88">
        <v>0.40625</v>
      </c>
      <c r="AA59" s="88">
        <v>0.21111111111111111</v>
      </c>
      <c r="AB59" s="88">
        <v>0.41041666666666665</v>
      </c>
      <c r="AC59" s="88">
        <v>0.21180555555555555</v>
      </c>
      <c r="AD59" s="102">
        <v>0.37638888888888888</v>
      </c>
      <c r="AE59" s="102">
        <v>0.52222222222222225</v>
      </c>
      <c r="AF59" s="91"/>
      <c r="AG59" s="91"/>
      <c r="AH59" s="96"/>
      <c r="AI59" s="96"/>
      <c r="AJ59" s="88">
        <v>0.42986111111111114</v>
      </c>
      <c r="AK59" s="88">
        <v>0.19375000000000001</v>
      </c>
      <c r="AL59" s="88">
        <v>0.37013888888888891</v>
      </c>
      <c r="AM59" s="88">
        <v>0.24444444444444444</v>
      </c>
      <c r="AN59" s="88">
        <v>0.4777777777777778</v>
      </c>
      <c r="AO59" s="88">
        <v>0.25833333333333336</v>
      </c>
      <c r="AP59" s="88">
        <v>0.37708333333333333</v>
      </c>
      <c r="AQ59" s="88">
        <v>0.16319444444444445</v>
      </c>
      <c r="AR59" s="102">
        <v>0.38472222222222224</v>
      </c>
      <c r="AS59" s="102">
        <v>5.347222222222222E-2</v>
      </c>
      <c r="AT59" s="91"/>
      <c r="AU59" s="91"/>
      <c r="AV59" s="88">
        <v>0.43263888888888891</v>
      </c>
      <c r="AW59" s="88">
        <v>0.23541666666666666</v>
      </c>
      <c r="AX59" s="88">
        <v>0.41805555555555557</v>
      </c>
      <c r="AY59" s="88">
        <v>0.27152777777777776</v>
      </c>
      <c r="AZ59" s="88">
        <v>0.41111111111111109</v>
      </c>
      <c r="BA59" s="85"/>
      <c r="BB59" s="88">
        <v>0.42986111111111114</v>
      </c>
      <c r="BC59" s="88">
        <v>0.23958333333333334</v>
      </c>
      <c r="BD59" s="88">
        <v>0.45694444444444443</v>
      </c>
      <c r="BE59" s="85"/>
      <c r="BF59" s="95"/>
      <c r="BG59" s="95"/>
      <c r="BH59" s="91"/>
      <c r="BI59" s="91"/>
      <c r="BJ59" s="88">
        <v>0.41319444444444442</v>
      </c>
      <c r="BK59" s="88">
        <v>0.24027777777777778</v>
      </c>
      <c r="BL59" s="99">
        <v>0.45763888888888887</v>
      </c>
      <c r="BM59" s="99">
        <v>0.25486111111111109</v>
      </c>
      <c r="BN59" s="85">
        <f>SUM(IF(AND(D59&lt;&gt;"",WEEKDAY(D$1,2)&lt;6),1,0),IF(AND(F59&lt;&gt;"",WEEKDAY(F$1,2)&lt;6),1,0),IF(AND(H59&lt;&gt;"",WEEKDAY(H$1,2)&lt;6),1,0),IF(AND(J59&lt;&gt;"",WEEKDAY(J$1,2)&lt;6),1,0),IF(AND(L59&lt;&gt;"",WEEKDAY(L$1,2)&lt;6),1,0),IF(AND(N59&lt;&gt;"",WEEKDAY(N$1,2)&lt;6),1,0),IF(AND(P59&lt;&gt;"",WEEKDAY(P$1,2)&lt;6),1,0),IF(AND(R59&lt;&gt;"",WEEKDAY(R$1,2)&lt;6),1,0),IF(AND(T59&lt;&gt;"",WEEKDAY(T$1,2)&lt;6),1,0),IF(AND(V59&lt;&gt;"",WEEKDAY(V$1,2)&lt;6),1,0),IF(AND(X59&lt;&gt;"",WEEKDAY(X$1,2)&lt;6),1,0),IF(AND(Z59&lt;&gt;"",WEEKDAY(Z$1,2)&lt;6),1,0),IF(AND(AB59&lt;&gt;"",WEEKDAY(AB$1,2)&lt;6),1,0),IF(AND(AD59&lt;&gt;"",WEEKDAY(AD$1,2)&lt;6),1,0),IF(AND(AF59&lt;&gt;"",WEEKDAY(AF$1,2)&lt;6),1,0),IF(AND(AH59&lt;&gt;"",WEEKDAY(AH$1,2)&lt;6),1,0),IF(AND(AJ59&lt;&gt;"",WEEKDAY(AJ$1,2)&lt;6),1,0),IF(AND(AL59&lt;&gt;"",WEEKDAY(AL$1,2)&lt;6),1,0),IF(AND(AN59&lt;&gt;"",WEEKDAY(AN$1,2)&lt;6),1,0),IF(AND(AP59&lt;&gt;"",WEEKDAY(AP$1,2)&lt;6),1,0),IF(AND(AR59&lt;&gt;"",WEEKDAY(AR$1,2)&lt;6),1,0),IF(AND(AT59&lt;&gt;"",WEEKDAY(AT$1,2)&lt;6),1,0),IF(AND(AV59&lt;&gt;"",WEEKDAY(AV$1,2)&lt;6),1,0),IF(AND(AX59&lt;&gt;"",WEEKDAY(AX$1,2)&lt;6),1,0),IF(AND(AZ59&lt;&gt;"",WEEKDAY(AZ$1,2)&lt;6),1,0),IF(AND(BB59&lt;&gt;"",WEEKDAY(BB$1,2)&lt;6),1,0),IF(AND(BD59&lt;&gt;"",WEEKDAY(BD$1,2)&lt;6),1,0),IF(AND(BF59&lt;&gt;"",WEEKDAY(BF$1,2)&lt;6),1,0),IF(AND(BH59&lt;&gt;"",WEEKDAY(BH$1,2)&lt;6),1,0),IF(AND(BJ59&lt;&gt;"",WEEKDAY(BJ$1,2)&lt;6),1,0),IF(AND(BL59&lt;&gt;"",WEEKDAY(BL$1,2)&lt;6),1,0))</f>
        <v>20</v>
      </c>
      <c r="BO59" s="85">
        <f>SUM(IF(AND(E59&lt;&gt;"",WEEKDAY(D$1,2)&lt;6),1,0),IF(AND(G59&lt;&gt;"",WEEKDAY(F$1,2)&lt;6),1,0),IF(AND(I59&lt;&gt;"",WEEKDAY(H$1,2)&lt;6),1,0),IF(AND(K59&lt;&gt;"",WEEKDAY(J$1,2)&lt;6),1,0),IF(AND(M59&lt;&gt;"",WEEKDAY(L$1,2)&lt;6),1,0),IF(AND(O59&lt;&gt;"",WEEKDAY(N$1,2)&lt;6),1,0),IF(AND(Q59&lt;&gt;"",WEEKDAY(P$1,2)&lt;6),1,0),IF(AND(S59&lt;&gt;"",WEEKDAY(R$1,2)&lt;6),1,0),IF(AND(U59&lt;&gt;"",WEEKDAY(T$1,2)&lt;6),1,0),IF(AND(W59&lt;&gt;"",WEEKDAY(V$1,2)&lt;6),1,0),IF(AND(Y59&lt;&gt;"",WEEKDAY(X$1,2)&lt;6),1,0),IF(AND(AA59&lt;&gt;"",WEEKDAY(Z$1,2)&lt;6),1,0),IF(AND(AC59&lt;&gt;"",WEEKDAY(AB$1,2)&lt;6),1,0),IF(AND(AE59&lt;&gt;"",WEEKDAY(AD$1,2)&lt;6),1,0),IF(AND(AG59&lt;&gt;"",WEEKDAY(AF$1,2)&lt;6),1,0),IF(AND(AI59&lt;&gt;"",WEEKDAY(AH$1,2)&lt;6),1,0),IF(AND(AK59&lt;&gt;"",WEEKDAY(AJ$1,2)&lt;6),1,0),IF(AND(AM59&lt;&gt;"",WEEKDAY(AL$1,2)&lt;6),1,0),IF(AND(AO59&lt;&gt;"",WEEKDAY(AN$1,2)&lt;6),1,0),IF(AND(AQ59&lt;&gt;"",WEEKDAY(AP$1,2)&lt;6),1,0),IF(AND(AS59&lt;&gt;"",WEEKDAY(AR$1,2)&lt;6),1,0),IF(AND(AU59&lt;&gt;"",WEEKDAY(AT$1,2)&lt;6),1,0),IF(AND(AW59&lt;&gt;"",WEEKDAY(AV$1,2)&lt;6),1,0),IF(AND(AY59&lt;&gt;"",WEEKDAY(AX$1,2)&lt;6),1,0),IF(AND(BA59&lt;&gt;"",WEEKDAY(AZ$1,2)&lt;6),1,0),IF(AND(BC59&lt;&gt;"",WEEKDAY(BB$1,2)&lt;6),1,0),IF(AND(BE59&lt;&gt;"",WEEKDAY(BD$1,2)&lt;6),1,0),IF(AND(BG59&lt;&gt;"",WEEKDAY(BF$1,2)&lt;6),1,0),IF(AND(BI59&lt;&gt;"",WEEKDAY(BH$1,2)&lt;6),1,0),IF(AND(BK59&lt;&gt;"",WEEKDAY(BJ$1,2)&lt;6),1,0),IF(AND(BM59&lt;&gt;"",WEEKDAY(BL$1,2)&lt;6),1,0))</f>
        <v>18</v>
      </c>
      <c r="BP59" s="85">
        <f>SUM(IF(AND((D59&lt;&gt;"")+(E59&lt;&gt;""),WEEKDAY(D$1,2)=6),1,0),IF(AND((F59&lt;&gt;"")+(G59&lt;&gt;""),WEEKDAY(F$1,2)=6),1,0),IF(AND((H59&lt;&gt;"")+(I59&lt;&gt;""),WEEKDAY(H$1,2)=6),1,0),IF(AND((J59&lt;&gt;"")+(K59&lt;&gt;""),WEEKDAY(J$1,2)=6),1,0),IF(AND((L59&lt;&gt;"")+(M59&lt;&gt;""),WEEKDAY(L$1,2)=6),1,0),IF(AND((N59&lt;&gt;"")+(O59&lt;&gt;""),WEEKDAY(N$1,2)=6),1,0),IF(AND((P59&lt;&gt;"")+(Q59&lt;&gt;""),WEEKDAY(P$1,2)=6),1,0),IF(AND((R59&lt;&gt;"")+(S59&lt;&gt;""),WEEKDAY(R$1,2)=6),1,0),IF(AND((T59&lt;&gt;"")+(U59&lt;&gt;""),WEEKDAY(T$1,2)=6),1,0),IF(AND((V59&lt;&gt;"")+(W59&lt;&gt;""),WEEKDAY(V$1,2)=6),1,0),IF(AND((X59&lt;&gt;"")+(Y59&lt;&gt;""),WEEKDAY(X$1,2)=6),1,0),IF(AND((Z59&lt;&gt;"")+(AA59&lt;&gt;""),WEEKDAY(Z$1,2)=6),1,0),IF(AND((AB59&lt;&gt;"")+(AC59&lt;&gt;""),WEEKDAY(AB$1,2)=6),1,0),IF(AND((AD59&lt;&gt;"")+(AE59&lt;&gt;""),WEEKDAY(AD$1,2)=6),1,0),IF(AND((AF59&lt;&gt;"")+(AG59&lt;&gt;""),WEEKDAY(AF$1,2)=6),1,0),IF(AND((AH59&lt;&gt;"")+(AI59&lt;&gt;""),WEEKDAY(AH$1,2)=6),1,0),IF(AND((AJ59&lt;&gt;"")+(AK59&lt;&gt;""),WEEKDAY(AJ$1,2)=6),1,0),IF(AND((AL59&lt;&gt;"")+(AM59&lt;&gt;""),WEEKDAY(AL$1,2)=6),1,0),IF(AND((AN59&lt;&gt;"")+(AO59&lt;&gt;""),WEEKDAY(AN$1,2)=6),1,0),IF(AND((AP59&lt;&gt;"")+(AQ59&lt;&gt;""),WEEKDAY(AP$1,2)=6),1,0),IF(AND((AR59&lt;&gt;"")+(AS59&lt;&gt;""),WEEKDAY(AR$1,2)=6),1,0),IF(AND((AT59&lt;&gt;"")+(AU59&lt;&gt;""),WEEKDAY(AT$1,2)=6),1,0),IF(AND((AV59&lt;&gt;"")+(AW59&lt;&gt;""),WEEKDAY(AV$1,2)=6),1,0),IF(AND((AX59&lt;&gt;"")+(AY59&lt;&gt;""),WEEKDAY(AX$1,2)=6),1,0),IF(AND((AZ59&lt;&gt;"")+(BA59&lt;&gt;""),WEEKDAY(AZ$1,2)=6),1,0),IF(AND((BB59&lt;&gt;"")+(BC59&lt;&gt;""),WEEKDAY(BB$1,2)=6),1,0),IF(AND((BD59&lt;&gt;"")+(BE59&lt;&gt;""),WEEKDAY(BD$1,2)=6),1,0),IF(AND((BF59&lt;&gt;"")+(BG59&lt;&gt;""),WEEKDAY(BF$1,2)=6),1,0),IF(AND((BH59&lt;&gt;"")+(BI59&lt;&gt;""),WEEKDAY(BH$1,2)=6),1,0),IF(AND((BJ59&lt;&gt;"")+(BK59&lt;&gt;""),WEEKDAY(BJ$1,2)=6),1,0),IF(AND((BL59&lt;&gt;"")+(BM59&lt;&gt;""),WEEKDAY(BL$1,2)=6),1,0))</f>
        <v>3</v>
      </c>
    </row>
    <row r="60" spans="1:68" ht="16.5">
      <c r="A60" s="86" t="s">
        <v>72</v>
      </c>
      <c r="B60" s="86" t="s">
        <v>91</v>
      </c>
      <c r="C60" s="92" t="s">
        <v>93</v>
      </c>
      <c r="D60" s="91"/>
      <c r="E60" s="91"/>
      <c r="F60" s="85"/>
      <c r="G60" s="85"/>
      <c r="H60" s="85"/>
      <c r="I60" s="85"/>
      <c r="J60" s="98"/>
      <c r="K60" s="98"/>
      <c r="L60" s="98"/>
      <c r="M60" s="98"/>
      <c r="N60" s="85"/>
      <c r="O60" s="85"/>
      <c r="P60" s="95"/>
      <c r="Q60" s="95"/>
      <c r="R60" s="91"/>
      <c r="S60" s="91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95"/>
      <c r="AE60" s="95"/>
      <c r="AF60" s="91"/>
      <c r="AG60" s="91"/>
      <c r="AH60" s="96"/>
      <c r="AI60" s="96"/>
      <c r="AJ60" s="85"/>
      <c r="AK60" s="85"/>
      <c r="AL60" s="85"/>
      <c r="AM60" s="85"/>
      <c r="AN60" s="85"/>
      <c r="AO60" s="85"/>
      <c r="AP60" s="85"/>
      <c r="AQ60" s="85"/>
      <c r="AR60" s="95"/>
      <c r="AS60" s="95"/>
      <c r="AT60" s="91"/>
      <c r="AU60" s="91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95"/>
      <c r="BG60" s="95"/>
      <c r="BH60" s="91"/>
      <c r="BI60" s="91"/>
      <c r="BJ60" s="85"/>
      <c r="BK60" s="85"/>
      <c r="BL60" s="98"/>
      <c r="BM60" s="98"/>
      <c r="BN60" s="85">
        <f>SUM(IF(AND(D60&lt;&gt;"",WEEKDAY(D$1,2)&lt;6),1,0),IF(AND(F60&lt;&gt;"",WEEKDAY(F$1,2)&lt;6),1,0),IF(AND(H60&lt;&gt;"",WEEKDAY(H$1,2)&lt;6),1,0),IF(AND(J60&lt;&gt;"",WEEKDAY(J$1,2)&lt;6),1,0),IF(AND(L60&lt;&gt;"",WEEKDAY(L$1,2)&lt;6),1,0),IF(AND(N60&lt;&gt;"",WEEKDAY(N$1,2)&lt;6),1,0),IF(AND(P60&lt;&gt;"",WEEKDAY(P$1,2)&lt;6),1,0),IF(AND(R60&lt;&gt;"",WEEKDAY(R$1,2)&lt;6),1,0),IF(AND(T60&lt;&gt;"",WEEKDAY(T$1,2)&lt;6),1,0),IF(AND(V60&lt;&gt;"",WEEKDAY(V$1,2)&lt;6),1,0),IF(AND(X60&lt;&gt;"",WEEKDAY(X$1,2)&lt;6),1,0),IF(AND(Z60&lt;&gt;"",WEEKDAY(Z$1,2)&lt;6),1,0),IF(AND(AB60&lt;&gt;"",WEEKDAY(AB$1,2)&lt;6),1,0),IF(AND(AD60&lt;&gt;"",WEEKDAY(AD$1,2)&lt;6),1,0),IF(AND(AF60&lt;&gt;"",WEEKDAY(AF$1,2)&lt;6),1,0),IF(AND(AH60&lt;&gt;"",WEEKDAY(AH$1,2)&lt;6),1,0),IF(AND(AJ60&lt;&gt;"",WEEKDAY(AJ$1,2)&lt;6),1,0),IF(AND(AL60&lt;&gt;"",WEEKDAY(AL$1,2)&lt;6),1,0),IF(AND(AN60&lt;&gt;"",WEEKDAY(AN$1,2)&lt;6),1,0),IF(AND(AP60&lt;&gt;"",WEEKDAY(AP$1,2)&lt;6),1,0),IF(AND(AR60&lt;&gt;"",WEEKDAY(AR$1,2)&lt;6),1,0),IF(AND(AT60&lt;&gt;"",WEEKDAY(AT$1,2)&lt;6),1,0),IF(AND(AV60&lt;&gt;"",WEEKDAY(AV$1,2)&lt;6),1,0),IF(AND(AX60&lt;&gt;"",WEEKDAY(AX$1,2)&lt;6),1,0),IF(AND(AZ60&lt;&gt;"",WEEKDAY(AZ$1,2)&lt;6),1,0),IF(AND(BB60&lt;&gt;"",WEEKDAY(BB$1,2)&lt;6),1,0),IF(AND(BD60&lt;&gt;"",WEEKDAY(BD$1,2)&lt;6),1,0),IF(AND(BF60&lt;&gt;"",WEEKDAY(BF$1,2)&lt;6),1,0),IF(AND(BH60&lt;&gt;"",WEEKDAY(BH$1,2)&lt;6),1,0),IF(AND(BJ60&lt;&gt;"",WEEKDAY(BJ$1,2)&lt;6),1,0),IF(AND(BL60&lt;&gt;"",WEEKDAY(BL$1,2)&lt;6),1,0))</f>
        <v>0</v>
      </c>
      <c r="BO60" s="85">
        <f>SUM(IF(AND(E60&lt;&gt;"",WEEKDAY(D$1,2)&lt;6),1,0),IF(AND(G60&lt;&gt;"",WEEKDAY(F$1,2)&lt;6),1,0),IF(AND(I60&lt;&gt;"",WEEKDAY(H$1,2)&lt;6),1,0),IF(AND(K60&lt;&gt;"",WEEKDAY(J$1,2)&lt;6),1,0),IF(AND(M60&lt;&gt;"",WEEKDAY(L$1,2)&lt;6),1,0),IF(AND(O60&lt;&gt;"",WEEKDAY(N$1,2)&lt;6),1,0),IF(AND(Q60&lt;&gt;"",WEEKDAY(P$1,2)&lt;6),1,0),IF(AND(S60&lt;&gt;"",WEEKDAY(R$1,2)&lt;6),1,0),IF(AND(U60&lt;&gt;"",WEEKDAY(T$1,2)&lt;6),1,0),IF(AND(W60&lt;&gt;"",WEEKDAY(V$1,2)&lt;6),1,0),IF(AND(Y60&lt;&gt;"",WEEKDAY(X$1,2)&lt;6),1,0),IF(AND(AA60&lt;&gt;"",WEEKDAY(Z$1,2)&lt;6),1,0),IF(AND(AC60&lt;&gt;"",WEEKDAY(AB$1,2)&lt;6),1,0),IF(AND(AE60&lt;&gt;"",WEEKDAY(AD$1,2)&lt;6),1,0),IF(AND(AG60&lt;&gt;"",WEEKDAY(AF$1,2)&lt;6),1,0),IF(AND(AI60&lt;&gt;"",WEEKDAY(AH$1,2)&lt;6),1,0),IF(AND(AK60&lt;&gt;"",WEEKDAY(AJ$1,2)&lt;6),1,0),IF(AND(AM60&lt;&gt;"",WEEKDAY(AL$1,2)&lt;6),1,0),IF(AND(AO60&lt;&gt;"",WEEKDAY(AN$1,2)&lt;6),1,0),IF(AND(AQ60&lt;&gt;"",WEEKDAY(AP$1,2)&lt;6),1,0),IF(AND(AS60&lt;&gt;"",WEEKDAY(AR$1,2)&lt;6),1,0),IF(AND(AU60&lt;&gt;"",WEEKDAY(AT$1,2)&lt;6),1,0),IF(AND(AW60&lt;&gt;"",WEEKDAY(AV$1,2)&lt;6),1,0),IF(AND(AY60&lt;&gt;"",WEEKDAY(AX$1,2)&lt;6),1,0),IF(AND(BA60&lt;&gt;"",WEEKDAY(AZ$1,2)&lt;6),1,0),IF(AND(BC60&lt;&gt;"",WEEKDAY(BB$1,2)&lt;6),1,0),IF(AND(BE60&lt;&gt;"",WEEKDAY(BD$1,2)&lt;6),1,0),IF(AND(BG60&lt;&gt;"",WEEKDAY(BF$1,2)&lt;6),1,0),IF(AND(BI60&lt;&gt;"",WEEKDAY(BH$1,2)&lt;6),1,0),IF(AND(BK60&lt;&gt;"",WEEKDAY(BJ$1,2)&lt;6),1,0),IF(AND(BM60&lt;&gt;"",WEEKDAY(BL$1,2)&lt;6),1,0))</f>
        <v>0</v>
      </c>
      <c r="BP60" s="85">
        <f>SUM(IF(AND((D60&lt;&gt;"")+(E60&lt;&gt;""),WEEKDAY(D$1,2)=6),1,0),IF(AND((F60&lt;&gt;"")+(G60&lt;&gt;""),WEEKDAY(F$1,2)=6),1,0),IF(AND((H60&lt;&gt;"")+(I60&lt;&gt;""),WEEKDAY(H$1,2)=6),1,0),IF(AND((J60&lt;&gt;"")+(K60&lt;&gt;""),WEEKDAY(J$1,2)=6),1,0),IF(AND((L60&lt;&gt;"")+(M60&lt;&gt;""),WEEKDAY(L$1,2)=6),1,0),IF(AND((N60&lt;&gt;"")+(O60&lt;&gt;""),WEEKDAY(N$1,2)=6),1,0),IF(AND((P60&lt;&gt;"")+(Q60&lt;&gt;""),WEEKDAY(P$1,2)=6),1,0),IF(AND((R60&lt;&gt;"")+(S60&lt;&gt;""),WEEKDAY(R$1,2)=6),1,0),IF(AND((T60&lt;&gt;"")+(U60&lt;&gt;""),WEEKDAY(T$1,2)=6),1,0),IF(AND((V60&lt;&gt;"")+(W60&lt;&gt;""),WEEKDAY(V$1,2)=6),1,0),IF(AND((X60&lt;&gt;"")+(Y60&lt;&gt;""),WEEKDAY(X$1,2)=6),1,0),IF(AND((Z60&lt;&gt;"")+(AA60&lt;&gt;""),WEEKDAY(Z$1,2)=6),1,0),IF(AND((AB60&lt;&gt;"")+(AC60&lt;&gt;""),WEEKDAY(AB$1,2)=6),1,0),IF(AND((AD60&lt;&gt;"")+(AE60&lt;&gt;""),WEEKDAY(AD$1,2)=6),1,0),IF(AND((AF60&lt;&gt;"")+(AG60&lt;&gt;""),WEEKDAY(AF$1,2)=6),1,0),IF(AND((AH60&lt;&gt;"")+(AI60&lt;&gt;""),WEEKDAY(AH$1,2)=6),1,0),IF(AND((AJ60&lt;&gt;"")+(AK60&lt;&gt;""),WEEKDAY(AJ$1,2)=6),1,0),IF(AND((AL60&lt;&gt;"")+(AM60&lt;&gt;""),WEEKDAY(AL$1,2)=6),1,0),IF(AND((AN60&lt;&gt;"")+(AO60&lt;&gt;""),WEEKDAY(AN$1,2)=6),1,0),IF(AND((AP60&lt;&gt;"")+(AQ60&lt;&gt;""),WEEKDAY(AP$1,2)=6),1,0),IF(AND((AR60&lt;&gt;"")+(AS60&lt;&gt;""),WEEKDAY(AR$1,2)=6),1,0),IF(AND((AT60&lt;&gt;"")+(AU60&lt;&gt;""),WEEKDAY(AT$1,2)=6),1,0),IF(AND((AV60&lt;&gt;"")+(AW60&lt;&gt;""),WEEKDAY(AV$1,2)=6),1,0),IF(AND((AX60&lt;&gt;"")+(AY60&lt;&gt;""),WEEKDAY(AX$1,2)=6),1,0),IF(AND((AZ60&lt;&gt;"")+(BA60&lt;&gt;""),WEEKDAY(AZ$1,2)=6),1,0),IF(AND((BB60&lt;&gt;"")+(BC60&lt;&gt;""),WEEKDAY(BB$1,2)=6),1,0),IF(AND((BD60&lt;&gt;"")+(BE60&lt;&gt;""),WEEKDAY(BD$1,2)=6),1,0),IF(AND((BF60&lt;&gt;"")+(BG60&lt;&gt;""),WEEKDAY(BF$1,2)=6),1,0),IF(AND((BH60&lt;&gt;"")+(BI60&lt;&gt;""),WEEKDAY(BH$1,2)=6),1,0),IF(AND((BJ60&lt;&gt;"")+(BK60&lt;&gt;""),WEEKDAY(BJ$1,2)=6),1,0),IF(AND((BL60&lt;&gt;"")+(BM60&lt;&gt;""),WEEKDAY(BL$1,2)=6),1,0))</f>
        <v>0</v>
      </c>
    </row>
    <row r="61" spans="1:68" ht="16.5">
      <c r="A61" s="86" t="s">
        <v>94</v>
      </c>
      <c r="B61" s="86" t="s">
        <v>95</v>
      </c>
      <c r="C61" s="92" t="s">
        <v>96</v>
      </c>
      <c r="D61" s="91"/>
      <c r="E61" s="91"/>
      <c r="F61" s="88">
        <v>0.36388888888888887</v>
      </c>
      <c r="G61" s="88">
        <v>0.11666666666666667</v>
      </c>
      <c r="H61" s="88">
        <v>0.36388888888888887</v>
      </c>
      <c r="I61" s="99">
        <v>0.18333333333333332</v>
      </c>
      <c r="J61" s="99">
        <v>0.38333333333333336</v>
      </c>
      <c r="K61" s="99">
        <v>0.18124999999999999</v>
      </c>
      <c r="L61" s="99">
        <v>0.36180555555555555</v>
      </c>
      <c r="M61" s="99">
        <v>0.11527777777777778</v>
      </c>
      <c r="N61" s="88">
        <v>0.35902777777777778</v>
      </c>
      <c r="O61" s="88">
        <v>0.12638888888888888</v>
      </c>
      <c r="P61" s="95"/>
      <c r="Q61" s="95"/>
      <c r="R61" s="91"/>
      <c r="S61" s="91"/>
      <c r="T61" s="88">
        <v>0.38263888888888886</v>
      </c>
      <c r="U61" s="88">
        <v>0.18333333333333332</v>
      </c>
      <c r="V61" s="88">
        <v>0.3840277777777778</v>
      </c>
      <c r="W61" s="88">
        <v>0.11388888888888889</v>
      </c>
      <c r="X61" s="88">
        <v>0.36875000000000002</v>
      </c>
      <c r="Y61" s="88">
        <v>0.15277777777777779</v>
      </c>
      <c r="Z61" s="88">
        <v>0.3611111111111111</v>
      </c>
      <c r="AA61" s="88">
        <v>0.18055555555555555</v>
      </c>
      <c r="AB61" s="88">
        <v>0.38819444444444445</v>
      </c>
      <c r="AC61" s="88">
        <v>0.13958333333333334</v>
      </c>
      <c r="AD61" s="95"/>
      <c r="AE61" s="95"/>
      <c r="AF61" s="91"/>
      <c r="AG61" s="91"/>
      <c r="AH61" s="96"/>
      <c r="AI61" s="96"/>
      <c r="AJ61" s="88">
        <v>0.35694444444444445</v>
      </c>
      <c r="AK61" s="88">
        <v>0.14722222222222223</v>
      </c>
      <c r="AL61" s="88">
        <v>0.36180555555555555</v>
      </c>
      <c r="AM61" s="88">
        <v>0.12986111111111112</v>
      </c>
      <c r="AN61" s="88">
        <v>0.36041666666666666</v>
      </c>
      <c r="AO61" s="88">
        <v>0.1361111111111111</v>
      </c>
      <c r="AP61" s="88">
        <v>0.36875000000000002</v>
      </c>
      <c r="AQ61" s="88">
        <v>0.1736111111111111</v>
      </c>
      <c r="AR61" s="95"/>
      <c r="AS61" s="95"/>
      <c r="AT61" s="91"/>
      <c r="AU61" s="91"/>
      <c r="AV61" s="88">
        <v>0.36736111111111114</v>
      </c>
      <c r="AW61" s="88">
        <v>0.15833333333333333</v>
      </c>
      <c r="AX61" s="88">
        <v>0.36458333333333331</v>
      </c>
      <c r="AY61" s="88">
        <v>0.15069444444444444</v>
      </c>
      <c r="AZ61" s="88">
        <v>0.34583333333333333</v>
      </c>
      <c r="BA61" s="88">
        <v>0.19791666666666666</v>
      </c>
      <c r="BB61" s="88">
        <v>0.37152777777777779</v>
      </c>
      <c r="BC61" s="85">
        <v>534</v>
      </c>
      <c r="BD61" s="88">
        <v>0.38124999999999998</v>
      </c>
      <c r="BE61" s="88">
        <v>0.12708333333333333</v>
      </c>
      <c r="BF61" s="95"/>
      <c r="BG61" s="95"/>
      <c r="BH61" s="91"/>
      <c r="BI61" s="91"/>
      <c r="BJ61" s="88">
        <v>0.40138888888888891</v>
      </c>
      <c r="BK61" s="88">
        <v>0.17430555555555555</v>
      </c>
      <c r="BL61" s="99">
        <v>0.35555555555555557</v>
      </c>
      <c r="BM61" s="99">
        <v>0.14027777777777778</v>
      </c>
      <c r="BN61" s="85">
        <f>SUM(IF(AND(D61&lt;&gt;"",WEEKDAY(D$1,2)&lt;6),1,0),IF(AND(F61&lt;&gt;"",WEEKDAY(F$1,2)&lt;6),1,0),IF(AND(H61&lt;&gt;"",WEEKDAY(H$1,2)&lt;6),1,0),IF(AND(J61&lt;&gt;"",WEEKDAY(J$1,2)&lt;6),1,0),IF(AND(L61&lt;&gt;"",WEEKDAY(L$1,2)&lt;6),1,0),IF(AND(N61&lt;&gt;"",WEEKDAY(N$1,2)&lt;6),1,0),IF(AND(P61&lt;&gt;"",WEEKDAY(P$1,2)&lt;6),1,0),IF(AND(R61&lt;&gt;"",WEEKDAY(R$1,2)&lt;6),1,0),IF(AND(T61&lt;&gt;"",WEEKDAY(T$1,2)&lt;6),1,0),IF(AND(V61&lt;&gt;"",WEEKDAY(V$1,2)&lt;6),1,0),IF(AND(X61&lt;&gt;"",WEEKDAY(X$1,2)&lt;6),1,0),IF(AND(Z61&lt;&gt;"",WEEKDAY(Z$1,2)&lt;6),1,0),IF(AND(AB61&lt;&gt;"",WEEKDAY(AB$1,2)&lt;6),1,0),IF(AND(AD61&lt;&gt;"",WEEKDAY(AD$1,2)&lt;6),1,0),IF(AND(AF61&lt;&gt;"",WEEKDAY(AF$1,2)&lt;6),1,0),IF(AND(AH61&lt;&gt;"",WEEKDAY(AH$1,2)&lt;6),1,0),IF(AND(AJ61&lt;&gt;"",WEEKDAY(AJ$1,2)&lt;6),1,0),IF(AND(AL61&lt;&gt;"",WEEKDAY(AL$1,2)&lt;6),1,0),IF(AND(AN61&lt;&gt;"",WEEKDAY(AN$1,2)&lt;6),1,0),IF(AND(AP61&lt;&gt;"",WEEKDAY(AP$1,2)&lt;6),1,0),IF(AND(AR61&lt;&gt;"",WEEKDAY(AR$1,2)&lt;6),1,0),IF(AND(AT61&lt;&gt;"",WEEKDAY(AT$1,2)&lt;6),1,0),IF(AND(AV61&lt;&gt;"",WEEKDAY(AV$1,2)&lt;6),1,0),IF(AND(AX61&lt;&gt;"",WEEKDAY(AX$1,2)&lt;6),1,0),IF(AND(AZ61&lt;&gt;"",WEEKDAY(AZ$1,2)&lt;6),1,0),IF(AND(BB61&lt;&gt;"",WEEKDAY(BB$1,2)&lt;6),1,0),IF(AND(BD61&lt;&gt;"",WEEKDAY(BD$1,2)&lt;6),1,0),IF(AND(BF61&lt;&gt;"",WEEKDAY(BF$1,2)&lt;6),1,0),IF(AND(BH61&lt;&gt;"",WEEKDAY(BH$1,2)&lt;6),1,0),IF(AND(BJ61&lt;&gt;"",WEEKDAY(BJ$1,2)&lt;6),1,0),IF(AND(BL61&lt;&gt;"",WEEKDAY(BL$1,2)&lt;6),1,0))</f>
        <v>21</v>
      </c>
      <c r="BO61" s="85">
        <f>SUM(IF(AND(E61&lt;&gt;"",WEEKDAY(D$1,2)&lt;6),1,0),IF(AND(G61&lt;&gt;"",WEEKDAY(F$1,2)&lt;6),1,0),IF(AND(I61&lt;&gt;"",WEEKDAY(H$1,2)&lt;6),1,0),IF(AND(K61&lt;&gt;"",WEEKDAY(J$1,2)&lt;6),1,0),IF(AND(M61&lt;&gt;"",WEEKDAY(L$1,2)&lt;6),1,0),IF(AND(O61&lt;&gt;"",WEEKDAY(N$1,2)&lt;6),1,0),IF(AND(Q61&lt;&gt;"",WEEKDAY(P$1,2)&lt;6),1,0),IF(AND(S61&lt;&gt;"",WEEKDAY(R$1,2)&lt;6),1,0),IF(AND(U61&lt;&gt;"",WEEKDAY(T$1,2)&lt;6),1,0),IF(AND(W61&lt;&gt;"",WEEKDAY(V$1,2)&lt;6),1,0),IF(AND(Y61&lt;&gt;"",WEEKDAY(X$1,2)&lt;6),1,0),IF(AND(AA61&lt;&gt;"",WEEKDAY(Z$1,2)&lt;6),1,0),IF(AND(AC61&lt;&gt;"",WEEKDAY(AB$1,2)&lt;6),1,0),IF(AND(AE61&lt;&gt;"",WEEKDAY(AD$1,2)&lt;6),1,0),IF(AND(AG61&lt;&gt;"",WEEKDAY(AF$1,2)&lt;6),1,0),IF(AND(AI61&lt;&gt;"",WEEKDAY(AH$1,2)&lt;6),1,0),IF(AND(AK61&lt;&gt;"",WEEKDAY(AJ$1,2)&lt;6),1,0),IF(AND(AM61&lt;&gt;"",WEEKDAY(AL$1,2)&lt;6),1,0),IF(AND(AO61&lt;&gt;"",WEEKDAY(AN$1,2)&lt;6),1,0),IF(AND(AQ61&lt;&gt;"",WEEKDAY(AP$1,2)&lt;6),1,0),IF(AND(AS61&lt;&gt;"",WEEKDAY(AR$1,2)&lt;6),1,0),IF(AND(AU61&lt;&gt;"",WEEKDAY(AT$1,2)&lt;6),1,0),IF(AND(AW61&lt;&gt;"",WEEKDAY(AV$1,2)&lt;6),1,0),IF(AND(AY61&lt;&gt;"",WEEKDAY(AX$1,2)&lt;6),1,0),IF(AND(BA61&lt;&gt;"",WEEKDAY(AZ$1,2)&lt;6),1,0),IF(AND(BC61&lt;&gt;"",WEEKDAY(BB$1,2)&lt;6),1,0),IF(AND(BE61&lt;&gt;"",WEEKDAY(BD$1,2)&lt;6),1,0),IF(AND(BG61&lt;&gt;"",WEEKDAY(BF$1,2)&lt;6),1,0),IF(AND(BI61&lt;&gt;"",WEEKDAY(BH$1,2)&lt;6),1,0),IF(AND(BK61&lt;&gt;"",WEEKDAY(BJ$1,2)&lt;6),1,0),IF(AND(BM61&lt;&gt;"",WEEKDAY(BL$1,2)&lt;6),1,0))</f>
        <v>21</v>
      </c>
      <c r="BP61" s="85">
        <f>SUM(IF(AND((D61&lt;&gt;"")+(E61&lt;&gt;""),WEEKDAY(D$1,2)=6),1,0),IF(AND((F61&lt;&gt;"")+(G61&lt;&gt;""),WEEKDAY(F$1,2)=6),1,0),IF(AND((H61&lt;&gt;"")+(I61&lt;&gt;""),WEEKDAY(H$1,2)=6),1,0),IF(AND((J61&lt;&gt;"")+(K61&lt;&gt;""),WEEKDAY(J$1,2)=6),1,0),IF(AND((L61&lt;&gt;"")+(M61&lt;&gt;""),WEEKDAY(L$1,2)=6),1,0),IF(AND((N61&lt;&gt;"")+(O61&lt;&gt;""),WEEKDAY(N$1,2)=6),1,0),IF(AND((P61&lt;&gt;"")+(Q61&lt;&gt;""),WEEKDAY(P$1,2)=6),1,0),IF(AND((R61&lt;&gt;"")+(S61&lt;&gt;""),WEEKDAY(R$1,2)=6),1,0),IF(AND((T61&lt;&gt;"")+(U61&lt;&gt;""),WEEKDAY(T$1,2)=6),1,0),IF(AND((V61&lt;&gt;"")+(W61&lt;&gt;""),WEEKDAY(V$1,2)=6),1,0),IF(AND((X61&lt;&gt;"")+(Y61&lt;&gt;""),WEEKDAY(X$1,2)=6),1,0),IF(AND((Z61&lt;&gt;"")+(AA61&lt;&gt;""),WEEKDAY(Z$1,2)=6),1,0),IF(AND((AB61&lt;&gt;"")+(AC61&lt;&gt;""),WEEKDAY(AB$1,2)=6),1,0),IF(AND((AD61&lt;&gt;"")+(AE61&lt;&gt;""),WEEKDAY(AD$1,2)=6),1,0),IF(AND((AF61&lt;&gt;"")+(AG61&lt;&gt;""),WEEKDAY(AF$1,2)=6),1,0),IF(AND((AH61&lt;&gt;"")+(AI61&lt;&gt;""),WEEKDAY(AH$1,2)=6),1,0),IF(AND((AJ61&lt;&gt;"")+(AK61&lt;&gt;""),WEEKDAY(AJ$1,2)=6),1,0),IF(AND((AL61&lt;&gt;"")+(AM61&lt;&gt;""),WEEKDAY(AL$1,2)=6),1,0),IF(AND((AN61&lt;&gt;"")+(AO61&lt;&gt;""),WEEKDAY(AN$1,2)=6),1,0),IF(AND((AP61&lt;&gt;"")+(AQ61&lt;&gt;""),WEEKDAY(AP$1,2)=6),1,0),IF(AND((AR61&lt;&gt;"")+(AS61&lt;&gt;""),WEEKDAY(AR$1,2)=6),1,0),IF(AND((AT61&lt;&gt;"")+(AU61&lt;&gt;""),WEEKDAY(AT$1,2)=6),1,0),IF(AND((AV61&lt;&gt;"")+(AW61&lt;&gt;""),WEEKDAY(AV$1,2)=6),1,0),IF(AND((AX61&lt;&gt;"")+(AY61&lt;&gt;""),WEEKDAY(AX$1,2)=6),1,0),IF(AND((AZ61&lt;&gt;"")+(BA61&lt;&gt;""),WEEKDAY(AZ$1,2)=6),1,0),IF(AND((BB61&lt;&gt;"")+(BC61&lt;&gt;""),WEEKDAY(BB$1,2)=6),1,0),IF(AND((BD61&lt;&gt;"")+(BE61&lt;&gt;""),WEEKDAY(BD$1,2)=6),1,0),IF(AND((BF61&lt;&gt;"")+(BG61&lt;&gt;""),WEEKDAY(BF$1,2)=6),1,0),IF(AND((BH61&lt;&gt;"")+(BI61&lt;&gt;""),WEEKDAY(BH$1,2)=6),1,0),IF(AND((BJ61&lt;&gt;"")+(BK61&lt;&gt;""),WEEKDAY(BJ$1,2)=6),1,0),IF(AND((BL61&lt;&gt;"")+(BM61&lt;&gt;""),WEEKDAY(BL$1,2)=6),1,0))</f>
        <v>0</v>
      </c>
    </row>
    <row r="62" spans="1:68" ht="16.5">
      <c r="A62" s="86" t="s">
        <v>97</v>
      </c>
      <c r="B62" s="86" t="s">
        <v>192</v>
      </c>
      <c r="C62" s="92" t="s">
        <v>99</v>
      </c>
      <c r="D62" s="91"/>
      <c r="E62" s="91"/>
      <c r="F62" s="88">
        <v>0.38055555555555554</v>
      </c>
      <c r="G62" s="88">
        <v>0.23680555555555555</v>
      </c>
      <c r="H62" s="88">
        <v>0.40416666666666667</v>
      </c>
      <c r="I62" s="85"/>
      <c r="J62" s="99">
        <v>0.42152777777777778</v>
      </c>
      <c r="K62" s="99">
        <v>0.17499999999999999</v>
      </c>
      <c r="L62" s="99">
        <v>0.36805555555555558</v>
      </c>
      <c r="M62" s="99">
        <v>0.18263888888888888</v>
      </c>
      <c r="N62" s="88">
        <v>0.38680555555555557</v>
      </c>
      <c r="O62" s="88">
        <v>0.20208333333333334</v>
      </c>
      <c r="P62" s="95"/>
      <c r="Q62" s="95"/>
      <c r="R62" s="91"/>
      <c r="S62" s="91"/>
      <c r="T62" s="88">
        <v>0.35625000000000001</v>
      </c>
      <c r="U62" s="88">
        <v>0.16458333333333333</v>
      </c>
      <c r="V62" s="88">
        <v>0.36249999999999999</v>
      </c>
      <c r="W62" s="88">
        <v>0.23194444444444445</v>
      </c>
      <c r="X62" s="88">
        <v>0.3611111111111111</v>
      </c>
      <c r="Y62" s="88">
        <v>0.22777777777777777</v>
      </c>
      <c r="Z62" s="88">
        <v>0.34930555555555554</v>
      </c>
      <c r="AA62" s="88">
        <v>0.25069444444444444</v>
      </c>
      <c r="AB62" s="88">
        <v>0.38263888888888886</v>
      </c>
      <c r="AC62" s="85"/>
      <c r="AD62" s="95"/>
      <c r="AE62" s="95"/>
      <c r="AF62" s="91"/>
      <c r="AG62" s="91"/>
      <c r="AH62" s="96"/>
      <c r="AI62" s="96"/>
      <c r="AJ62" s="88">
        <v>0.37152777777777779</v>
      </c>
      <c r="AK62" s="85"/>
      <c r="AL62" s="88">
        <v>0.37777777777777777</v>
      </c>
      <c r="AM62" s="88">
        <v>0.25138888888888888</v>
      </c>
      <c r="AN62" s="88">
        <v>0.38124999999999998</v>
      </c>
      <c r="AO62" s="88">
        <v>0.22222222222222221</v>
      </c>
      <c r="AP62" s="88">
        <v>0.37777777777777777</v>
      </c>
      <c r="AQ62" s="88">
        <v>0.24166666666666667</v>
      </c>
      <c r="AR62" s="95"/>
      <c r="AS62" s="95"/>
      <c r="AT62" s="91"/>
      <c r="AU62" s="91"/>
      <c r="AV62" s="88">
        <v>0.37013888888888891</v>
      </c>
      <c r="AW62" s="88">
        <v>0.22361111111111112</v>
      </c>
      <c r="AX62" s="88">
        <v>0.38124999999999998</v>
      </c>
      <c r="AY62" s="88">
        <v>0.27430555555555558</v>
      </c>
      <c r="AZ62" s="88">
        <v>0.38263888888888886</v>
      </c>
      <c r="BA62" s="88">
        <v>0.21458333333333332</v>
      </c>
      <c r="BB62" s="88">
        <v>0.44374999999999998</v>
      </c>
      <c r="BC62" s="88">
        <v>0.24097222222222223</v>
      </c>
      <c r="BD62" s="88">
        <v>0.35347222222222224</v>
      </c>
      <c r="BE62" s="85"/>
      <c r="BF62" s="95"/>
      <c r="BG62" s="95"/>
      <c r="BH62" s="91"/>
      <c r="BI62" s="91"/>
      <c r="BJ62" s="88">
        <v>0.3840277777777778</v>
      </c>
      <c r="BK62" s="85"/>
      <c r="BL62" s="99">
        <v>0.36319444444444443</v>
      </c>
      <c r="BM62" s="99">
        <v>0.20624999999999999</v>
      </c>
      <c r="BN62" s="85">
        <f>SUM(IF(AND(D62&lt;&gt;"",WEEKDAY(D$1,2)&lt;6),1,0),IF(AND(F62&lt;&gt;"",WEEKDAY(F$1,2)&lt;6),1,0),IF(AND(H62&lt;&gt;"",WEEKDAY(H$1,2)&lt;6),1,0),IF(AND(J62&lt;&gt;"",WEEKDAY(J$1,2)&lt;6),1,0),IF(AND(L62&lt;&gt;"",WEEKDAY(L$1,2)&lt;6),1,0),IF(AND(N62&lt;&gt;"",WEEKDAY(N$1,2)&lt;6),1,0),IF(AND(P62&lt;&gt;"",WEEKDAY(P$1,2)&lt;6),1,0),IF(AND(R62&lt;&gt;"",WEEKDAY(R$1,2)&lt;6),1,0),IF(AND(T62&lt;&gt;"",WEEKDAY(T$1,2)&lt;6),1,0),IF(AND(V62&lt;&gt;"",WEEKDAY(V$1,2)&lt;6),1,0),IF(AND(X62&lt;&gt;"",WEEKDAY(X$1,2)&lt;6),1,0),IF(AND(Z62&lt;&gt;"",WEEKDAY(Z$1,2)&lt;6),1,0),IF(AND(AB62&lt;&gt;"",WEEKDAY(AB$1,2)&lt;6),1,0),IF(AND(AD62&lt;&gt;"",WEEKDAY(AD$1,2)&lt;6),1,0),IF(AND(AF62&lt;&gt;"",WEEKDAY(AF$1,2)&lt;6),1,0),IF(AND(AH62&lt;&gt;"",WEEKDAY(AH$1,2)&lt;6),1,0),IF(AND(AJ62&lt;&gt;"",WEEKDAY(AJ$1,2)&lt;6),1,0),IF(AND(AL62&lt;&gt;"",WEEKDAY(AL$1,2)&lt;6),1,0),IF(AND(AN62&lt;&gt;"",WEEKDAY(AN$1,2)&lt;6),1,0),IF(AND(AP62&lt;&gt;"",WEEKDAY(AP$1,2)&lt;6),1,0),IF(AND(AR62&lt;&gt;"",WEEKDAY(AR$1,2)&lt;6),1,0),IF(AND(AT62&lt;&gt;"",WEEKDAY(AT$1,2)&lt;6),1,0),IF(AND(AV62&lt;&gt;"",WEEKDAY(AV$1,2)&lt;6),1,0),IF(AND(AX62&lt;&gt;"",WEEKDAY(AX$1,2)&lt;6),1,0),IF(AND(AZ62&lt;&gt;"",WEEKDAY(AZ$1,2)&lt;6),1,0),IF(AND(BB62&lt;&gt;"",WEEKDAY(BB$1,2)&lt;6),1,0),IF(AND(BD62&lt;&gt;"",WEEKDAY(BD$1,2)&lt;6),1,0),IF(AND(BF62&lt;&gt;"",WEEKDAY(BF$1,2)&lt;6),1,0),IF(AND(BH62&lt;&gt;"",WEEKDAY(BH$1,2)&lt;6),1,0),IF(AND(BJ62&lt;&gt;"",WEEKDAY(BJ$1,2)&lt;6),1,0),IF(AND(BL62&lt;&gt;"",WEEKDAY(BL$1,2)&lt;6),1,0))</f>
        <v>21</v>
      </c>
      <c r="BO62" s="85">
        <f>SUM(IF(AND(E62&lt;&gt;"",WEEKDAY(D$1,2)&lt;6),1,0),IF(AND(G62&lt;&gt;"",WEEKDAY(F$1,2)&lt;6),1,0),IF(AND(I62&lt;&gt;"",WEEKDAY(H$1,2)&lt;6),1,0),IF(AND(K62&lt;&gt;"",WEEKDAY(J$1,2)&lt;6),1,0),IF(AND(M62&lt;&gt;"",WEEKDAY(L$1,2)&lt;6),1,0),IF(AND(O62&lt;&gt;"",WEEKDAY(N$1,2)&lt;6),1,0),IF(AND(Q62&lt;&gt;"",WEEKDAY(P$1,2)&lt;6),1,0),IF(AND(S62&lt;&gt;"",WEEKDAY(R$1,2)&lt;6),1,0),IF(AND(U62&lt;&gt;"",WEEKDAY(T$1,2)&lt;6),1,0),IF(AND(W62&lt;&gt;"",WEEKDAY(V$1,2)&lt;6),1,0),IF(AND(Y62&lt;&gt;"",WEEKDAY(X$1,2)&lt;6),1,0),IF(AND(AA62&lt;&gt;"",WEEKDAY(Z$1,2)&lt;6),1,0),IF(AND(AC62&lt;&gt;"",WEEKDAY(AB$1,2)&lt;6),1,0),IF(AND(AE62&lt;&gt;"",WEEKDAY(AD$1,2)&lt;6),1,0),IF(AND(AG62&lt;&gt;"",WEEKDAY(AF$1,2)&lt;6),1,0),IF(AND(AI62&lt;&gt;"",WEEKDAY(AH$1,2)&lt;6),1,0),IF(AND(AK62&lt;&gt;"",WEEKDAY(AJ$1,2)&lt;6),1,0),IF(AND(AM62&lt;&gt;"",WEEKDAY(AL$1,2)&lt;6),1,0),IF(AND(AO62&lt;&gt;"",WEEKDAY(AN$1,2)&lt;6),1,0),IF(AND(AQ62&lt;&gt;"",WEEKDAY(AP$1,2)&lt;6),1,0),IF(AND(AS62&lt;&gt;"",WEEKDAY(AR$1,2)&lt;6),1,0),IF(AND(AU62&lt;&gt;"",WEEKDAY(AT$1,2)&lt;6),1,0),IF(AND(AW62&lt;&gt;"",WEEKDAY(AV$1,2)&lt;6),1,0),IF(AND(AY62&lt;&gt;"",WEEKDAY(AX$1,2)&lt;6),1,0),IF(AND(BA62&lt;&gt;"",WEEKDAY(AZ$1,2)&lt;6),1,0),IF(AND(BC62&lt;&gt;"",WEEKDAY(BB$1,2)&lt;6),1,0),IF(AND(BE62&lt;&gt;"",WEEKDAY(BD$1,2)&lt;6),1,0),IF(AND(BG62&lt;&gt;"",WEEKDAY(BF$1,2)&lt;6),1,0),IF(AND(BI62&lt;&gt;"",WEEKDAY(BH$1,2)&lt;6),1,0),IF(AND(BK62&lt;&gt;"",WEEKDAY(BJ$1,2)&lt;6),1,0),IF(AND(BM62&lt;&gt;"",WEEKDAY(BL$1,2)&lt;6),1,0))</f>
        <v>16</v>
      </c>
      <c r="BP62" s="85">
        <f>SUM(IF(AND((D62&lt;&gt;"")+(E62&lt;&gt;""),WEEKDAY(D$1,2)=6),1,0),IF(AND((F62&lt;&gt;"")+(G62&lt;&gt;""),WEEKDAY(F$1,2)=6),1,0),IF(AND((H62&lt;&gt;"")+(I62&lt;&gt;""),WEEKDAY(H$1,2)=6),1,0),IF(AND((J62&lt;&gt;"")+(K62&lt;&gt;""),WEEKDAY(J$1,2)=6),1,0),IF(AND((L62&lt;&gt;"")+(M62&lt;&gt;""),WEEKDAY(L$1,2)=6),1,0),IF(AND((N62&lt;&gt;"")+(O62&lt;&gt;""),WEEKDAY(N$1,2)=6),1,0),IF(AND((P62&lt;&gt;"")+(Q62&lt;&gt;""),WEEKDAY(P$1,2)=6),1,0),IF(AND((R62&lt;&gt;"")+(S62&lt;&gt;""),WEEKDAY(R$1,2)=6),1,0),IF(AND((T62&lt;&gt;"")+(U62&lt;&gt;""),WEEKDAY(T$1,2)=6),1,0),IF(AND((V62&lt;&gt;"")+(W62&lt;&gt;""),WEEKDAY(V$1,2)=6),1,0),IF(AND((X62&lt;&gt;"")+(Y62&lt;&gt;""),WEEKDAY(X$1,2)=6),1,0),IF(AND((Z62&lt;&gt;"")+(AA62&lt;&gt;""),WEEKDAY(Z$1,2)=6),1,0),IF(AND((AB62&lt;&gt;"")+(AC62&lt;&gt;""),WEEKDAY(AB$1,2)=6),1,0),IF(AND((AD62&lt;&gt;"")+(AE62&lt;&gt;""),WEEKDAY(AD$1,2)=6),1,0),IF(AND((AF62&lt;&gt;"")+(AG62&lt;&gt;""),WEEKDAY(AF$1,2)=6),1,0),IF(AND((AH62&lt;&gt;"")+(AI62&lt;&gt;""),WEEKDAY(AH$1,2)=6),1,0),IF(AND((AJ62&lt;&gt;"")+(AK62&lt;&gt;""),WEEKDAY(AJ$1,2)=6),1,0),IF(AND((AL62&lt;&gt;"")+(AM62&lt;&gt;""),WEEKDAY(AL$1,2)=6),1,0),IF(AND((AN62&lt;&gt;"")+(AO62&lt;&gt;""),WEEKDAY(AN$1,2)=6),1,0),IF(AND((AP62&lt;&gt;"")+(AQ62&lt;&gt;""),WEEKDAY(AP$1,2)=6),1,0),IF(AND((AR62&lt;&gt;"")+(AS62&lt;&gt;""),WEEKDAY(AR$1,2)=6),1,0),IF(AND((AT62&lt;&gt;"")+(AU62&lt;&gt;""),WEEKDAY(AT$1,2)=6),1,0),IF(AND((AV62&lt;&gt;"")+(AW62&lt;&gt;""),WEEKDAY(AV$1,2)=6),1,0),IF(AND((AX62&lt;&gt;"")+(AY62&lt;&gt;""),WEEKDAY(AX$1,2)=6),1,0),IF(AND((AZ62&lt;&gt;"")+(BA62&lt;&gt;""),WEEKDAY(AZ$1,2)=6),1,0),IF(AND((BB62&lt;&gt;"")+(BC62&lt;&gt;""),WEEKDAY(BB$1,2)=6),1,0),IF(AND((BD62&lt;&gt;"")+(BE62&lt;&gt;""),WEEKDAY(BD$1,2)=6),1,0),IF(AND((BF62&lt;&gt;"")+(BG62&lt;&gt;""),WEEKDAY(BF$1,2)=6),1,0),IF(AND((BH62&lt;&gt;"")+(BI62&lt;&gt;""),WEEKDAY(BH$1,2)=6),1,0),IF(AND((BJ62&lt;&gt;"")+(BK62&lt;&gt;""),WEEKDAY(BJ$1,2)=6),1,0),IF(AND((BL62&lt;&gt;"")+(BM62&lt;&gt;""),WEEKDAY(BL$1,2)=6),1,0))</f>
        <v>0</v>
      </c>
    </row>
    <row r="63" spans="1:68" ht="16.5">
      <c r="A63" s="86" t="s">
        <v>97</v>
      </c>
      <c r="B63" s="86" t="s">
        <v>100</v>
      </c>
      <c r="C63" s="92" t="s">
        <v>101</v>
      </c>
      <c r="D63" s="91"/>
      <c r="E63" s="91"/>
      <c r="F63" s="88">
        <v>0.45694444444444443</v>
      </c>
      <c r="G63" s="88">
        <v>0.27152777777777776</v>
      </c>
      <c r="H63" s="88">
        <v>0.5131944444444444</v>
      </c>
      <c r="I63" s="85"/>
      <c r="J63" s="99">
        <v>0.47916666666666669</v>
      </c>
      <c r="K63" s="99">
        <v>0.30208333333333331</v>
      </c>
      <c r="L63" s="99">
        <v>0.45624999999999999</v>
      </c>
      <c r="M63" s="99">
        <v>0.27361111111111114</v>
      </c>
      <c r="N63" s="88">
        <v>0.4284722222222222</v>
      </c>
      <c r="O63" s="88">
        <v>0.27152777777777776</v>
      </c>
      <c r="P63" s="102">
        <v>0.43611111111111112</v>
      </c>
      <c r="Q63" s="95"/>
      <c r="R63" s="91"/>
      <c r="S63" s="91"/>
      <c r="T63" s="88">
        <v>0.4465277777777778</v>
      </c>
      <c r="U63" s="85"/>
      <c r="V63" s="88">
        <v>0.40972222222222221</v>
      </c>
      <c r="W63" s="88">
        <v>0.30208333333333331</v>
      </c>
      <c r="X63" s="88">
        <v>0.4597222222222222</v>
      </c>
      <c r="Y63" s="88">
        <v>0.2590277777777778</v>
      </c>
      <c r="Z63" s="88">
        <v>0.37708333333333333</v>
      </c>
      <c r="AA63" s="88">
        <v>0.17708333333333334</v>
      </c>
      <c r="AB63" s="88">
        <v>0.42083333333333334</v>
      </c>
      <c r="AC63" s="88">
        <v>0.23125000000000001</v>
      </c>
      <c r="AD63" s="95"/>
      <c r="AE63" s="95"/>
      <c r="AF63" s="91"/>
      <c r="AG63" s="91"/>
      <c r="AH63" s="96"/>
      <c r="AI63" s="96"/>
      <c r="AJ63" s="88">
        <v>0.46805555555555556</v>
      </c>
      <c r="AK63" s="88">
        <v>0.27847222222222223</v>
      </c>
      <c r="AL63" s="88">
        <v>0.44861111111111113</v>
      </c>
      <c r="AM63" s="88">
        <v>0.28819444444444442</v>
      </c>
      <c r="AN63" s="88">
        <v>0.46527777777777779</v>
      </c>
      <c r="AO63" s="88">
        <v>0.28958333333333336</v>
      </c>
      <c r="AP63" s="88">
        <v>0.41666666666666669</v>
      </c>
      <c r="AQ63" s="88">
        <v>0.2590277777777778</v>
      </c>
      <c r="AR63" s="102">
        <v>0.45694444444444443</v>
      </c>
      <c r="AS63" s="95"/>
      <c r="AT63" s="91"/>
      <c r="AU63" s="91"/>
      <c r="AV63" s="88">
        <v>0.48680555555555555</v>
      </c>
      <c r="AW63" s="88">
        <v>0.2986111111111111</v>
      </c>
      <c r="AX63" s="85"/>
      <c r="AY63" s="88">
        <v>0.27083333333333331</v>
      </c>
      <c r="AZ63" s="88"/>
      <c r="BA63" s="88">
        <v>0.31319444444444444</v>
      </c>
      <c r="BB63" s="88">
        <v>0.44374999999999998</v>
      </c>
      <c r="BC63" s="88">
        <v>0.27916666666666667</v>
      </c>
      <c r="BD63" s="88">
        <v>0.44513888888888886</v>
      </c>
      <c r="BE63" s="85"/>
      <c r="BF63" s="95"/>
      <c r="BG63" s="95"/>
      <c r="BH63" s="91"/>
      <c r="BI63" s="91"/>
      <c r="BJ63" s="88">
        <v>0.3840277777777778</v>
      </c>
      <c r="BK63" s="85"/>
      <c r="BL63" s="99">
        <v>0.41388888888888886</v>
      </c>
      <c r="BM63" s="99">
        <v>0.24791666666666667</v>
      </c>
      <c r="BN63" s="85">
        <f>SUM(IF(AND(D63&lt;&gt;"",WEEKDAY(D$1,2)&lt;6),1,0),IF(AND(F63&lt;&gt;"",WEEKDAY(F$1,2)&lt;6),1,0),IF(AND(H63&lt;&gt;"",WEEKDAY(H$1,2)&lt;6),1,0),IF(AND(J63&lt;&gt;"",WEEKDAY(J$1,2)&lt;6),1,0),IF(AND(L63&lt;&gt;"",WEEKDAY(L$1,2)&lt;6),1,0),IF(AND(N63&lt;&gt;"",WEEKDAY(N$1,2)&lt;6),1,0),IF(AND(P63&lt;&gt;"",WEEKDAY(P$1,2)&lt;6),1,0),IF(AND(R63&lt;&gt;"",WEEKDAY(R$1,2)&lt;6),1,0),IF(AND(T63&lt;&gt;"",WEEKDAY(T$1,2)&lt;6),1,0),IF(AND(V63&lt;&gt;"",WEEKDAY(V$1,2)&lt;6),1,0),IF(AND(X63&lt;&gt;"",WEEKDAY(X$1,2)&lt;6),1,0),IF(AND(Z63&lt;&gt;"",WEEKDAY(Z$1,2)&lt;6),1,0),IF(AND(AB63&lt;&gt;"",WEEKDAY(AB$1,2)&lt;6),1,0),IF(AND(AD63&lt;&gt;"",WEEKDAY(AD$1,2)&lt;6),1,0),IF(AND(AF63&lt;&gt;"",WEEKDAY(AF$1,2)&lt;6),1,0),IF(AND(AH63&lt;&gt;"",WEEKDAY(AH$1,2)&lt;6),1,0),IF(AND(AJ63&lt;&gt;"",WEEKDAY(AJ$1,2)&lt;6),1,0),IF(AND(AL63&lt;&gt;"",WEEKDAY(AL$1,2)&lt;6),1,0),IF(AND(AN63&lt;&gt;"",WEEKDAY(AN$1,2)&lt;6),1,0),IF(AND(AP63&lt;&gt;"",WEEKDAY(AP$1,2)&lt;6),1,0),IF(AND(AR63&lt;&gt;"",WEEKDAY(AR$1,2)&lt;6),1,0),IF(AND(AT63&lt;&gt;"",WEEKDAY(AT$1,2)&lt;6),1,0),IF(AND(AV63&lt;&gt;"",WEEKDAY(AV$1,2)&lt;6),1,0),IF(AND(AX63&lt;&gt;"",WEEKDAY(AX$1,2)&lt;6),1,0),IF(AND(AZ63&lt;&gt;"",WEEKDAY(AZ$1,2)&lt;6),1,0),IF(AND(BB63&lt;&gt;"",WEEKDAY(BB$1,2)&lt;6),1,0),IF(AND(BD63&lt;&gt;"",WEEKDAY(BD$1,2)&lt;6),1,0),IF(AND(BF63&lt;&gt;"",WEEKDAY(BF$1,2)&lt;6),1,0),IF(AND(BH63&lt;&gt;"",WEEKDAY(BH$1,2)&lt;6),1,0),IF(AND(BJ63&lt;&gt;"",WEEKDAY(BJ$1,2)&lt;6),1,0),IF(AND(BL63&lt;&gt;"",WEEKDAY(BL$1,2)&lt;6),1,0))</f>
        <v>19</v>
      </c>
      <c r="BO63" s="85">
        <f>SUM(IF(AND(E63&lt;&gt;"",WEEKDAY(D$1,2)&lt;6),1,0),IF(AND(G63&lt;&gt;"",WEEKDAY(F$1,2)&lt;6),1,0),IF(AND(I63&lt;&gt;"",WEEKDAY(H$1,2)&lt;6),1,0),IF(AND(K63&lt;&gt;"",WEEKDAY(J$1,2)&lt;6),1,0),IF(AND(M63&lt;&gt;"",WEEKDAY(L$1,2)&lt;6),1,0),IF(AND(O63&lt;&gt;"",WEEKDAY(N$1,2)&lt;6),1,0),IF(AND(Q63&lt;&gt;"",WEEKDAY(P$1,2)&lt;6),1,0),IF(AND(S63&lt;&gt;"",WEEKDAY(R$1,2)&lt;6),1,0),IF(AND(U63&lt;&gt;"",WEEKDAY(T$1,2)&lt;6),1,0),IF(AND(W63&lt;&gt;"",WEEKDAY(V$1,2)&lt;6),1,0),IF(AND(Y63&lt;&gt;"",WEEKDAY(X$1,2)&lt;6),1,0),IF(AND(AA63&lt;&gt;"",WEEKDAY(Z$1,2)&lt;6),1,0),IF(AND(AC63&lt;&gt;"",WEEKDAY(AB$1,2)&lt;6),1,0),IF(AND(AE63&lt;&gt;"",WEEKDAY(AD$1,2)&lt;6),1,0),IF(AND(AG63&lt;&gt;"",WEEKDAY(AF$1,2)&lt;6),1,0),IF(AND(AI63&lt;&gt;"",WEEKDAY(AH$1,2)&lt;6),1,0),IF(AND(AK63&lt;&gt;"",WEEKDAY(AJ$1,2)&lt;6),1,0),IF(AND(AM63&lt;&gt;"",WEEKDAY(AL$1,2)&lt;6),1,0),IF(AND(AO63&lt;&gt;"",WEEKDAY(AN$1,2)&lt;6),1,0),IF(AND(AQ63&lt;&gt;"",WEEKDAY(AP$1,2)&lt;6),1,0),IF(AND(AS63&lt;&gt;"",WEEKDAY(AR$1,2)&lt;6),1,0),IF(AND(AU63&lt;&gt;"",WEEKDAY(AT$1,2)&lt;6),1,0),IF(AND(AW63&lt;&gt;"",WEEKDAY(AV$1,2)&lt;6),1,0),IF(AND(AY63&lt;&gt;"",WEEKDAY(AX$1,2)&lt;6),1,0),IF(AND(BA63&lt;&gt;"",WEEKDAY(AZ$1,2)&lt;6),1,0),IF(AND(BC63&lt;&gt;"",WEEKDAY(BB$1,2)&lt;6),1,0),IF(AND(BE63&lt;&gt;"",WEEKDAY(BD$1,2)&lt;6),1,0),IF(AND(BG63&lt;&gt;"",WEEKDAY(BF$1,2)&lt;6),1,0),IF(AND(BI63&lt;&gt;"",WEEKDAY(BH$1,2)&lt;6),1,0),IF(AND(BK63&lt;&gt;"",WEEKDAY(BJ$1,2)&lt;6),1,0),IF(AND(BM63&lt;&gt;"",WEEKDAY(BL$1,2)&lt;6),1,0))</f>
        <v>17</v>
      </c>
      <c r="BP63" s="85">
        <f>SUM(IF(AND((D63&lt;&gt;"")+(E63&lt;&gt;""),WEEKDAY(D$1,2)=6),1,0),IF(AND((F63&lt;&gt;"")+(G63&lt;&gt;""),WEEKDAY(F$1,2)=6),1,0),IF(AND((H63&lt;&gt;"")+(I63&lt;&gt;""),WEEKDAY(H$1,2)=6),1,0),IF(AND((J63&lt;&gt;"")+(K63&lt;&gt;""),WEEKDAY(J$1,2)=6),1,0),IF(AND((L63&lt;&gt;"")+(M63&lt;&gt;""),WEEKDAY(L$1,2)=6),1,0),IF(AND((N63&lt;&gt;"")+(O63&lt;&gt;""),WEEKDAY(N$1,2)=6),1,0),IF(AND((P63&lt;&gt;"")+(Q63&lt;&gt;""),WEEKDAY(P$1,2)=6),1,0),IF(AND((R63&lt;&gt;"")+(S63&lt;&gt;""),WEEKDAY(R$1,2)=6),1,0),IF(AND((T63&lt;&gt;"")+(U63&lt;&gt;""),WEEKDAY(T$1,2)=6),1,0),IF(AND((V63&lt;&gt;"")+(W63&lt;&gt;""),WEEKDAY(V$1,2)=6),1,0),IF(AND((X63&lt;&gt;"")+(Y63&lt;&gt;""),WEEKDAY(X$1,2)=6),1,0),IF(AND((Z63&lt;&gt;"")+(AA63&lt;&gt;""),WEEKDAY(Z$1,2)=6),1,0),IF(AND((AB63&lt;&gt;"")+(AC63&lt;&gt;""),WEEKDAY(AB$1,2)=6),1,0),IF(AND((AD63&lt;&gt;"")+(AE63&lt;&gt;""),WEEKDAY(AD$1,2)=6),1,0),IF(AND((AF63&lt;&gt;"")+(AG63&lt;&gt;""),WEEKDAY(AF$1,2)=6),1,0),IF(AND((AH63&lt;&gt;"")+(AI63&lt;&gt;""),WEEKDAY(AH$1,2)=6),1,0),IF(AND((AJ63&lt;&gt;"")+(AK63&lt;&gt;""),WEEKDAY(AJ$1,2)=6),1,0),IF(AND((AL63&lt;&gt;"")+(AM63&lt;&gt;""),WEEKDAY(AL$1,2)=6),1,0),IF(AND((AN63&lt;&gt;"")+(AO63&lt;&gt;""),WEEKDAY(AN$1,2)=6),1,0),IF(AND((AP63&lt;&gt;"")+(AQ63&lt;&gt;""),WEEKDAY(AP$1,2)=6),1,0),IF(AND((AR63&lt;&gt;"")+(AS63&lt;&gt;""),WEEKDAY(AR$1,2)=6),1,0),IF(AND((AT63&lt;&gt;"")+(AU63&lt;&gt;""),WEEKDAY(AT$1,2)=6),1,0),IF(AND((AV63&lt;&gt;"")+(AW63&lt;&gt;""),WEEKDAY(AV$1,2)=6),1,0),IF(AND((AX63&lt;&gt;"")+(AY63&lt;&gt;""),WEEKDAY(AX$1,2)=6),1,0),IF(AND((AZ63&lt;&gt;"")+(BA63&lt;&gt;""),WEEKDAY(AZ$1,2)=6),1,0),IF(AND((BB63&lt;&gt;"")+(BC63&lt;&gt;""),WEEKDAY(BB$1,2)=6),1,0),IF(AND((BD63&lt;&gt;"")+(BE63&lt;&gt;""),WEEKDAY(BD$1,2)=6),1,0),IF(AND((BF63&lt;&gt;"")+(BG63&lt;&gt;""),WEEKDAY(BF$1,2)=6),1,0),IF(AND((BH63&lt;&gt;"")+(BI63&lt;&gt;""),WEEKDAY(BH$1,2)=6),1,0),IF(AND((BJ63&lt;&gt;"")+(BK63&lt;&gt;""),WEEKDAY(BJ$1,2)=6),1,0),IF(AND((BL63&lt;&gt;"")+(BM63&lt;&gt;""),WEEKDAY(BL$1,2)=6),1,0))</f>
        <v>2</v>
      </c>
    </row>
    <row r="64" spans="1:68" ht="16.5">
      <c r="A64" s="86" t="s">
        <v>97</v>
      </c>
      <c r="B64" s="86" t="s">
        <v>102</v>
      </c>
      <c r="C64" s="92" t="s">
        <v>103</v>
      </c>
      <c r="D64" s="91"/>
      <c r="E64" s="91"/>
      <c r="F64" s="88">
        <v>0.40902777777777777</v>
      </c>
      <c r="G64" s="88">
        <v>0.23958333333333334</v>
      </c>
      <c r="H64" s="85"/>
      <c r="I64" s="99">
        <v>0.1701388888888889</v>
      </c>
      <c r="J64" s="98"/>
      <c r="K64" s="98"/>
      <c r="L64" s="98"/>
      <c r="M64" s="98"/>
      <c r="N64" s="88">
        <v>0.43888888888888888</v>
      </c>
      <c r="O64" s="85"/>
      <c r="P64" s="95"/>
      <c r="Q64" s="95"/>
      <c r="R64" s="91"/>
      <c r="S64" s="91"/>
      <c r="T64" s="88">
        <v>0.43125000000000002</v>
      </c>
      <c r="U64" s="88">
        <v>0.20416666666666666</v>
      </c>
      <c r="V64" s="88">
        <v>0.39097222222222222</v>
      </c>
      <c r="W64" s="88">
        <v>0.19027777777777777</v>
      </c>
      <c r="X64" s="88">
        <v>0.40972222222222221</v>
      </c>
      <c r="Y64" s="88">
        <v>0.20555555555555555</v>
      </c>
      <c r="Z64" s="88">
        <v>0.39444444444444443</v>
      </c>
      <c r="AA64" s="88">
        <v>0.23958333333333334</v>
      </c>
      <c r="AB64" s="85"/>
      <c r="AC64" s="88">
        <v>0.18194444444444444</v>
      </c>
      <c r="AD64" s="95"/>
      <c r="AE64" s="95"/>
      <c r="AF64" s="91"/>
      <c r="AG64" s="91"/>
      <c r="AH64" s="96"/>
      <c r="AI64" s="96"/>
      <c r="AJ64" s="88">
        <v>0.40486111111111112</v>
      </c>
      <c r="AK64" s="85"/>
      <c r="AL64" s="88">
        <v>0.40416666666666667</v>
      </c>
      <c r="AM64" s="88">
        <v>0.30069444444444443</v>
      </c>
      <c r="AN64" s="88">
        <v>0.42638888888888887</v>
      </c>
      <c r="AO64" s="88">
        <v>0.22361111111111112</v>
      </c>
      <c r="AP64" s="88">
        <v>0.41041666666666665</v>
      </c>
      <c r="AQ64" s="88">
        <v>0.21111111111111111</v>
      </c>
      <c r="AR64" s="95"/>
      <c r="AS64" s="95"/>
      <c r="AT64" s="91"/>
      <c r="AU64" s="91"/>
      <c r="AV64" s="88">
        <v>0.36458333333333331</v>
      </c>
      <c r="AW64" s="88">
        <v>0.19722222222222222</v>
      </c>
      <c r="AX64" s="88">
        <v>0.43611111111111112</v>
      </c>
      <c r="AY64" s="85"/>
      <c r="AZ64" s="88">
        <v>0.40694444444444444</v>
      </c>
      <c r="BA64" s="88">
        <v>0.24791666666666667</v>
      </c>
      <c r="BB64" s="85"/>
      <c r="BC64" s="85"/>
      <c r="BD64" s="85"/>
      <c r="BE64" s="85"/>
      <c r="BF64" s="95"/>
      <c r="BG64" s="95"/>
      <c r="BH64" s="91"/>
      <c r="BI64" s="91"/>
      <c r="BJ64" s="88">
        <v>0.43263888888888891</v>
      </c>
      <c r="BK64" s="85"/>
      <c r="BL64" s="99">
        <v>0.39444444444444443</v>
      </c>
      <c r="BM64" s="99">
        <v>0.19791666666666666</v>
      </c>
      <c r="BN64" s="85">
        <f>SUM(IF(AND(D64&lt;&gt;"",WEEKDAY(D$1,2)&lt;6),1,0),IF(AND(F64&lt;&gt;"",WEEKDAY(F$1,2)&lt;6),1,0),IF(AND(H64&lt;&gt;"",WEEKDAY(H$1,2)&lt;6),1,0),IF(AND(J64&lt;&gt;"",WEEKDAY(J$1,2)&lt;6),1,0),IF(AND(L64&lt;&gt;"",WEEKDAY(L$1,2)&lt;6),1,0),IF(AND(N64&lt;&gt;"",WEEKDAY(N$1,2)&lt;6),1,0),IF(AND(P64&lt;&gt;"",WEEKDAY(P$1,2)&lt;6),1,0),IF(AND(R64&lt;&gt;"",WEEKDAY(R$1,2)&lt;6),1,0),IF(AND(T64&lt;&gt;"",WEEKDAY(T$1,2)&lt;6),1,0),IF(AND(V64&lt;&gt;"",WEEKDAY(V$1,2)&lt;6),1,0),IF(AND(X64&lt;&gt;"",WEEKDAY(X$1,2)&lt;6),1,0),IF(AND(Z64&lt;&gt;"",WEEKDAY(Z$1,2)&lt;6),1,0),IF(AND(AB64&lt;&gt;"",WEEKDAY(AB$1,2)&lt;6),1,0),IF(AND(AD64&lt;&gt;"",WEEKDAY(AD$1,2)&lt;6),1,0),IF(AND(AF64&lt;&gt;"",WEEKDAY(AF$1,2)&lt;6),1,0),IF(AND(AH64&lt;&gt;"",WEEKDAY(AH$1,2)&lt;6),1,0),IF(AND(AJ64&lt;&gt;"",WEEKDAY(AJ$1,2)&lt;6),1,0),IF(AND(AL64&lt;&gt;"",WEEKDAY(AL$1,2)&lt;6),1,0),IF(AND(AN64&lt;&gt;"",WEEKDAY(AN$1,2)&lt;6),1,0),IF(AND(AP64&lt;&gt;"",WEEKDAY(AP$1,2)&lt;6),1,0),IF(AND(AR64&lt;&gt;"",WEEKDAY(AR$1,2)&lt;6),1,0),IF(AND(AT64&lt;&gt;"",WEEKDAY(AT$1,2)&lt;6),1,0),IF(AND(AV64&lt;&gt;"",WEEKDAY(AV$1,2)&lt;6),1,0),IF(AND(AX64&lt;&gt;"",WEEKDAY(AX$1,2)&lt;6),1,0),IF(AND(AZ64&lt;&gt;"",WEEKDAY(AZ$1,2)&lt;6),1,0),IF(AND(BB64&lt;&gt;"",WEEKDAY(BB$1,2)&lt;6),1,0),IF(AND(BD64&lt;&gt;"",WEEKDAY(BD$1,2)&lt;6),1,0),IF(AND(BF64&lt;&gt;"",WEEKDAY(BF$1,2)&lt;6),1,0),IF(AND(BH64&lt;&gt;"",WEEKDAY(BH$1,2)&lt;6),1,0),IF(AND(BJ64&lt;&gt;"",WEEKDAY(BJ$1,2)&lt;6),1,0),IF(AND(BL64&lt;&gt;"",WEEKDAY(BL$1,2)&lt;6),1,0))</f>
        <v>15</v>
      </c>
      <c r="BO64" s="85">
        <f>SUM(IF(AND(E64&lt;&gt;"",WEEKDAY(D$1,2)&lt;6),1,0),IF(AND(G64&lt;&gt;"",WEEKDAY(F$1,2)&lt;6),1,0),IF(AND(I64&lt;&gt;"",WEEKDAY(H$1,2)&lt;6),1,0),IF(AND(K64&lt;&gt;"",WEEKDAY(J$1,2)&lt;6),1,0),IF(AND(M64&lt;&gt;"",WEEKDAY(L$1,2)&lt;6),1,0),IF(AND(O64&lt;&gt;"",WEEKDAY(N$1,2)&lt;6),1,0),IF(AND(Q64&lt;&gt;"",WEEKDAY(P$1,2)&lt;6),1,0),IF(AND(S64&lt;&gt;"",WEEKDAY(R$1,2)&lt;6),1,0),IF(AND(U64&lt;&gt;"",WEEKDAY(T$1,2)&lt;6),1,0),IF(AND(W64&lt;&gt;"",WEEKDAY(V$1,2)&lt;6),1,0),IF(AND(Y64&lt;&gt;"",WEEKDAY(X$1,2)&lt;6),1,0),IF(AND(AA64&lt;&gt;"",WEEKDAY(Z$1,2)&lt;6),1,0),IF(AND(AC64&lt;&gt;"",WEEKDAY(AB$1,2)&lt;6),1,0),IF(AND(AE64&lt;&gt;"",WEEKDAY(AD$1,2)&lt;6),1,0),IF(AND(AG64&lt;&gt;"",WEEKDAY(AF$1,2)&lt;6),1,0),IF(AND(AI64&lt;&gt;"",WEEKDAY(AH$1,2)&lt;6),1,0),IF(AND(AK64&lt;&gt;"",WEEKDAY(AJ$1,2)&lt;6),1,0),IF(AND(AM64&lt;&gt;"",WEEKDAY(AL$1,2)&lt;6),1,0),IF(AND(AO64&lt;&gt;"",WEEKDAY(AN$1,2)&lt;6),1,0),IF(AND(AQ64&lt;&gt;"",WEEKDAY(AP$1,2)&lt;6),1,0),IF(AND(AS64&lt;&gt;"",WEEKDAY(AR$1,2)&lt;6),1,0),IF(AND(AU64&lt;&gt;"",WEEKDAY(AT$1,2)&lt;6),1,0),IF(AND(AW64&lt;&gt;"",WEEKDAY(AV$1,2)&lt;6),1,0),IF(AND(AY64&lt;&gt;"",WEEKDAY(AX$1,2)&lt;6),1,0),IF(AND(BA64&lt;&gt;"",WEEKDAY(AZ$1,2)&lt;6),1,0),IF(AND(BC64&lt;&gt;"",WEEKDAY(BB$1,2)&lt;6),1,0),IF(AND(BE64&lt;&gt;"",WEEKDAY(BD$1,2)&lt;6),1,0),IF(AND(BG64&lt;&gt;"",WEEKDAY(BF$1,2)&lt;6),1,0),IF(AND(BI64&lt;&gt;"",WEEKDAY(BH$1,2)&lt;6),1,0),IF(AND(BK64&lt;&gt;"",WEEKDAY(BJ$1,2)&lt;6),1,0),IF(AND(BM64&lt;&gt;"",WEEKDAY(BL$1,2)&lt;6),1,0))</f>
        <v>13</v>
      </c>
      <c r="BP64" s="85">
        <f>SUM(IF(AND((D64&lt;&gt;"")+(E64&lt;&gt;""),WEEKDAY(D$1,2)=6),1,0),IF(AND((F64&lt;&gt;"")+(G64&lt;&gt;""),WEEKDAY(F$1,2)=6),1,0),IF(AND((H64&lt;&gt;"")+(I64&lt;&gt;""),WEEKDAY(H$1,2)=6),1,0),IF(AND((J64&lt;&gt;"")+(K64&lt;&gt;""),WEEKDAY(J$1,2)=6),1,0),IF(AND((L64&lt;&gt;"")+(M64&lt;&gt;""),WEEKDAY(L$1,2)=6),1,0),IF(AND((N64&lt;&gt;"")+(O64&lt;&gt;""),WEEKDAY(N$1,2)=6),1,0),IF(AND((P64&lt;&gt;"")+(Q64&lt;&gt;""),WEEKDAY(P$1,2)=6),1,0),IF(AND((R64&lt;&gt;"")+(S64&lt;&gt;""),WEEKDAY(R$1,2)=6),1,0),IF(AND((T64&lt;&gt;"")+(U64&lt;&gt;""),WEEKDAY(T$1,2)=6),1,0),IF(AND((V64&lt;&gt;"")+(W64&lt;&gt;""),WEEKDAY(V$1,2)=6),1,0),IF(AND((X64&lt;&gt;"")+(Y64&lt;&gt;""),WEEKDAY(X$1,2)=6),1,0),IF(AND((Z64&lt;&gt;"")+(AA64&lt;&gt;""),WEEKDAY(Z$1,2)=6),1,0),IF(AND((AB64&lt;&gt;"")+(AC64&lt;&gt;""),WEEKDAY(AB$1,2)=6),1,0),IF(AND((AD64&lt;&gt;"")+(AE64&lt;&gt;""),WEEKDAY(AD$1,2)=6),1,0),IF(AND((AF64&lt;&gt;"")+(AG64&lt;&gt;""),WEEKDAY(AF$1,2)=6),1,0),IF(AND((AH64&lt;&gt;"")+(AI64&lt;&gt;""),WEEKDAY(AH$1,2)=6),1,0),IF(AND((AJ64&lt;&gt;"")+(AK64&lt;&gt;""),WEEKDAY(AJ$1,2)=6),1,0),IF(AND((AL64&lt;&gt;"")+(AM64&lt;&gt;""),WEEKDAY(AL$1,2)=6),1,0),IF(AND((AN64&lt;&gt;"")+(AO64&lt;&gt;""),WEEKDAY(AN$1,2)=6),1,0),IF(AND((AP64&lt;&gt;"")+(AQ64&lt;&gt;""),WEEKDAY(AP$1,2)=6),1,0),IF(AND((AR64&lt;&gt;"")+(AS64&lt;&gt;""),WEEKDAY(AR$1,2)=6),1,0),IF(AND((AT64&lt;&gt;"")+(AU64&lt;&gt;""),WEEKDAY(AT$1,2)=6),1,0),IF(AND((AV64&lt;&gt;"")+(AW64&lt;&gt;""),WEEKDAY(AV$1,2)=6),1,0),IF(AND((AX64&lt;&gt;"")+(AY64&lt;&gt;""),WEEKDAY(AX$1,2)=6),1,0),IF(AND((AZ64&lt;&gt;"")+(BA64&lt;&gt;""),WEEKDAY(AZ$1,2)=6),1,0),IF(AND((BB64&lt;&gt;"")+(BC64&lt;&gt;""),WEEKDAY(BB$1,2)=6),1,0),IF(AND((BD64&lt;&gt;"")+(BE64&lt;&gt;""),WEEKDAY(BD$1,2)=6),1,0),IF(AND((BF64&lt;&gt;"")+(BG64&lt;&gt;""),WEEKDAY(BF$1,2)=6),1,0),IF(AND((BH64&lt;&gt;"")+(BI64&lt;&gt;""),WEEKDAY(BH$1,2)=6),1,0),IF(AND((BJ64&lt;&gt;"")+(BK64&lt;&gt;""),WEEKDAY(BJ$1,2)=6),1,0),IF(AND((BL64&lt;&gt;"")+(BM64&lt;&gt;""),WEEKDAY(BL$1,2)=6),1,0))</f>
        <v>0</v>
      </c>
    </row>
    <row r="65" spans="1:68" ht="16.5">
      <c r="A65" s="86" t="s">
        <v>97</v>
      </c>
      <c r="B65" s="86" t="s">
        <v>102</v>
      </c>
      <c r="C65" s="92" t="s">
        <v>104</v>
      </c>
      <c r="D65" s="91"/>
      <c r="E65" s="91"/>
      <c r="F65" s="85"/>
      <c r="G65" s="85"/>
      <c r="H65" s="85"/>
      <c r="I65" s="85"/>
      <c r="J65" s="99">
        <v>0.44374999999999998</v>
      </c>
      <c r="K65" s="99">
        <v>0.17847222222222223</v>
      </c>
      <c r="L65" s="99">
        <v>0.41666666666666669</v>
      </c>
      <c r="M65" s="99">
        <v>0.18402777777777779</v>
      </c>
      <c r="N65" s="85"/>
      <c r="O65" s="88">
        <v>0.22500000000000001</v>
      </c>
      <c r="P65" s="95"/>
      <c r="Q65" s="95"/>
      <c r="R65" s="91"/>
      <c r="S65" s="91"/>
      <c r="T65" s="85"/>
      <c r="U65" s="88">
        <v>0.23125000000000001</v>
      </c>
      <c r="V65" s="85"/>
      <c r="W65" s="85"/>
      <c r="X65" s="85"/>
      <c r="Y65" s="85"/>
      <c r="Z65" s="85"/>
      <c r="AA65" s="85"/>
      <c r="AB65" s="88">
        <v>0.41597222222222224</v>
      </c>
      <c r="AC65" s="85"/>
      <c r="AD65" s="95"/>
      <c r="AE65" s="95"/>
      <c r="AF65" s="91"/>
      <c r="AG65" s="91"/>
      <c r="AH65" s="96"/>
      <c r="AI65" s="96"/>
      <c r="AJ65" s="85"/>
      <c r="AK65" s="85"/>
      <c r="AL65" s="85"/>
      <c r="AM65" s="85"/>
      <c r="AN65" s="85"/>
      <c r="AO65" s="85"/>
      <c r="AP65" s="85"/>
      <c r="AQ65" s="85"/>
      <c r="AR65" s="95"/>
      <c r="AS65" s="95"/>
      <c r="AT65" s="91"/>
      <c r="AU65" s="91"/>
      <c r="AV65" s="85"/>
      <c r="AW65" s="85"/>
      <c r="AX65" s="88">
        <v>0.43819444444444444</v>
      </c>
      <c r="AY65" s="85"/>
      <c r="AZ65" s="85"/>
      <c r="BA65" s="85"/>
      <c r="BB65" s="85"/>
      <c r="BC65" s="85"/>
      <c r="BD65" s="88">
        <v>0.39513888888888887</v>
      </c>
      <c r="BE65" s="85"/>
      <c r="BF65" s="95"/>
      <c r="BG65" s="95"/>
      <c r="BH65" s="91"/>
      <c r="BI65" s="91"/>
      <c r="BJ65" s="85"/>
      <c r="BK65" s="85"/>
      <c r="BL65" s="98"/>
      <c r="BM65" s="98"/>
      <c r="BN65" s="85">
        <f>SUM(IF(AND(D65&lt;&gt;"",WEEKDAY(D$1,2)&lt;6),1,0),IF(AND(F65&lt;&gt;"",WEEKDAY(F$1,2)&lt;6),1,0),IF(AND(H65&lt;&gt;"",WEEKDAY(H$1,2)&lt;6),1,0),IF(AND(J65&lt;&gt;"",WEEKDAY(J$1,2)&lt;6),1,0),IF(AND(L65&lt;&gt;"",WEEKDAY(L$1,2)&lt;6),1,0),IF(AND(N65&lt;&gt;"",WEEKDAY(N$1,2)&lt;6),1,0),IF(AND(P65&lt;&gt;"",WEEKDAY(P$1,2)&lt;6),1,0),IF(AND(R65&lt;&gt;"",WEEKDAY(R$1,2)&lt;6),1,0),IF(AND(T65&lt;&gt;"",WEEKDAY(T$1,2)&lt;6),1,0),IF(AND(V65&lt;&gt;"",WEEKDAY(V$1,2)&lt;6),1,0),IF(AND(X65&lt;&gt;"",WEEKDAY(X$1,2)&lt;6),1,0),IF(AND(Z65&lt;&gt;"",WEEKDAY(Z$1,2)&lt;6),1,0),IF(AND(AB65&lt;&gt;"",WEEKDAY(AB$1,2)&lt;6),1,0),IF(AND(AD65&lt;&gt;"",WEEKDAY(AD$1,2)&lt;6),1,0),IF(AND(AF65&lt;&gt;"",WEEKDAY(AF$1,2)&lt;6),1,0),IF(AND(AH65&lt;&gt;"",WEEKDAY(AH$1,2)&lt;6),1,0),IF(AND(AJ65&lt;&gt;"",WEEKDAY(AJ$1,2)&lt;6),1,0),IF(AND(AL65&lt;&gt;"",WEEKDAY(AL$1,2)&lt;6),1,0),IF(AND(AN65&lt;&gt;"",WEEKDAY(AN$1,2)&lt;6),1,0),IF(AND(AP65&lt;&gt;"",WEEKDAY(AP$1,2)&lt;6),1,0),IF(AND(AR65&lt;&gt;"",WEEKDAY(AR$1,2)&lt;6),1,0),IF(AND(AT65&lt;&gt;"",WEEKDAY(AT$1,2)&lt;6),1,0),IF(AND(AV65&lt;&gt;"",WEEKDAY(AV$1,2)&lt;6),1,0),IF(AND(AX65&lt;&gt;"",WEEKDAY(AX$1,2)&lt;6),1,0),IF(AND(AZ65&lt;&gt;"",WEEKDAY(AZ$1,2)&lt;6),1,0),IF(AND(BB65&lt;&gt;"",WEEKDAY(BB$1,2)&lt;6),1,0),IF(AND(BD65&lt;&gt;"",WEEKDAY(BD$1,2)&lt;6),1,0),IF(AND(BF65&lt;&gt;"",WEEKDAY(BF$1,2)&lt;6),1,0),IF(AND(BH65&lt;&gt;"",WEEKDAY(BH$1,2)&lt;6),1,0),IF(AND(BJ65&lt;&gt;"",WEEKDAY(BJ$1,2)&lt;6),1,0),IF(AND(BL65&lt;&gt;"",WEEKDAY(BL$1,2)&lt;6),1,0))</f>
        <v>5</v>
      </c>
      <c r="BO65" s="85">
        <f>SUM(IF(AND(E65&lt;&gt;"",WEEKDAY(D$1,2)&lt;6),1,0),IF(AND(G65&lt;&gt;"",WEEKDAY(F$1,2)&lt;6),1,0),IF(AND(I65&lt;&gt;"",WEEKDAY(H$1,2)&lt;6),1,0),IF(AND(K65&lt;&gt;"",WEEKDAY(J$1,2)&lt;6),1,0),IF(AND(M65&lt;&gt;"",WEEKDAY(L$1,2)&lt;6),1,0),IF(AND(O65&lt;&gt;"",WEEKDAY(N$1,2)&lt;6),1,0),IF(AND(Q65&lt;&gt;"",WEEKDAY(P$1,2)&lt;6),1,0),IF(AND(S65&lt;&gt;"",WEEKDAY(R$1,2)&lt;6),1,0),IF(AND(U65&lt;&gt;"",WEEKDAY(T$1,2)&lt;6),1,0),IF(AND(W65&lt;&gt;"",WEEKDAY(V$1,2)&lt;6),1,0),IF(AND(Y65&lt;&gt;"",WEEKDAY(X$1,2)&lt;6),1,0),IF(AND(AA65&lt;&gt;"",WEEKDAY(Z$1,2)&lt;6),1,0),IF(AND(AC65&lt;&gt;"",WEEKDAY(AB$1,2)&lt;6),1,0),IF(AND(AE65&lt;&gt;"",WEEKDAY(AD$1,2)&lt;6),1,0),IF(AND(AG65&lt;&gt;"",WEEKDAY(AF$1,2)&lt;6),1,0),IF(AND(AI65&lt;&gt;"",WEEKDAY(AH$1,2)&lt;6),1,0),IF(AND(AK65&lt;&gt;"",WEEKDAY(AJ$1,2)&lt;6),1,0),IF(AND(AM65&lt;&gt;"",WEEKDAY(AL$1,2)&lt;6),1,0),IF(AND(AO65&lt;&gt;"",WEEKDAY(AN$1,2)&lt;6),1,0),IF(AND(AQ65&lt;&gt;"",WEEKDAY(AP$1,2)&lt;6),1,0),IF(AND(AS65&lt;&gt;"",WEEKDAY(AR$1,2)&lt;6),1,0),IF(AND(AU65&lt;&gt;"",WEEKDAY(AT$1,2)&lt;6),1,0),IF(AND(AW65&lt;&gt;"",WEEKDAY(AV$1,2)&lt;6),1,0),IF(AND(AY65&lt;&gt;"",WEEKDAY(AX$1,2)&lt;6),1,0),IF(AND(BA65&lt;&gt;"",WEEKDAY(AZ$1,2)&lt;6),1,0),IF(AND(BC65&lt;&gt;"",WEEKDAY(BB$1,2)&lt;6),1,0),IF(AND(BE65&lt;&gt;"",WEEKDAY(BD$1,2)&lt;6),1,0),IF(AND(BG65&lt;&gt;"",WEEKDAY(BF$1,2)&lt;6),1,0),IF(AND(BI65&lt;&gt;"",WEEKDAY(BH$1,2)&lt;6),1,0),IF(AND(BK65&lt;&gt;"",WEEKDAY(BJ$1,2)&lt;6),1,0),IF(AND(BM65&lt;&gt;"",WEEKDAY(BL$1,2)&lt;6),1,0))</f>
        <v>4</v>
      </c>
      <c r="BP65" s="85">
        <f>SUM(IF(AND((D65&lt;&gt;"")+(E65&lt;&gt;""),WEEKDAY(D$1,2)=6),1,0),IF(AND((F65&lt;&gt;"")+(G65&lt;&gt;""),WEEKDAY(F$1,2)=6),1,0),IF(AND((H65&lt;&gt;"")+(I65&lt;&gt;""),WEEKDAY(H$1,2)=6),1,0),IF(AND((J65&lt;&gt;"")+(K65&lt;&gt;""),WEEKDAY(J$1,2)=6),1,0),IF(AND((L65&lt;&gt;"")+(M65&lt;&gt;""),WEEKDAY(L$1,2)=6),1,0),IF(AND((N65&lt;&gt;"")+(O65&lt;&gt;""),WEEKDAY(N$1,2)=6),1,0),IF(AND((P65&lt;&gt;"")+(Q65&lt;&gt;""),WEEKDAY(P$1,2)=6),1,0),IF(AND((R65&lt;&gt;"")+(S65&lt;&gt;""),WEEKDAY(R$1,2)=6),1,0),IF(AND((T65&lt;&gt;"")+(U65&lt;&gt;""),WEEKDAY(T$1,2)=6),1,0),IF(AND((V65&lt;&gt;"")+(W65&lt;&gt;""),WEEKDAY(V$1,2)=6),1,0),IF(AND((X65&lt;&gt;"")+(Y65&lt;&gt;""),WEEKDAY(X$1,2)=6),1,0),IF(AND((Z65&lt;&gt;"")+(AA65&lt;&gt;""),WEEKDAY(Z$1,2)=6),1,0),IF(AND((AB65&lt;&gt;"")+(AC65&lt;&gt;""),WEEKDAY(AB$1,2)=6),1,0),IF(AND((AD65&lt;&gt;"")+(AE65&lt;&gt;""),WEEKDAY(AD$1,2)=6),1,0),IF(AND((AF65&lt;&gt;"")+(AG65&lt;&gt;""),WEEKDAY(AF$1,2)=6),1,0),IF(AND((AH65&lt;&gt;"")+(AI65&lt;&gt;""),WEEKDAY(AH$1,2)=6),1,0),IF(AND((AJ65&lt;&gt;"")+(AK65&lt;&gt;""),WEEKDAY(AJ$1,2)=6),1,0),IF(AND((AL65&lt;&gt;"")+(AM65&lt;&gt;""),WEEKDAY(AL$1,2)=6),1,0),IF(AND((AN65&lt;&gt;"")+(AO65&lt;&gt;""),WEEKDAY(AN$1,2)=6),1,0),IF(AND((AP65&lt;&gt;"")+(AQ65&lt;&gt;""),WEEKDAY(AP$1,2)=6),1,0),IF(AND((AR65&lt;&gt;"")+(AS65&lt;&gt;""),WEEKDAY(AR$1,2)=6),1,0),IF(AND((AT65&lt;&gt;"")+(AU65&lt;&gt;""),WEEKDAY(AT$1,2)=6),1,0),IF(AND((AV65&lt;&gt;"")+(AW65&lt;&gt;""),WEEKDAY(AV$1,2)=6),1,0),IF(AND((AX65&lt;&gt;"")+(AY65&lt;&gt;""),WEEKDAY(AX$1,2)=6),1,0),IF(AND((AZ65&lt;&gt;"")+(BA65&lt;&gt;""),WEEKDAY(AZ$1,2)=6),1,0),IF(AND((BB65&lt;&gt;"")+(BC65&lt;&gt;""),WEEKDAY(BB$1,2)=6),1,0),IF(AND((BD65&lt;&gt;"")+(BE65&lt;&gt;""),WEEKDAY(BD$1,2)=6),1,0),IF(AND((BF65&lt;&gt;"")+(BG65&lt;&gt;""),WEEKDAY(BF$1,2)=6),1,0),IF(AND((BH65&lt;&gt;"")+(BI65&lt;&gt;""),WEEKDAY(BH$1,2)=6),1,0),IF(AND((BJ65&lt;&gt;"")+(BK65&lt;&gt;""),WEEKDAY(BJ$1,2)=6),1,0),IF(AND((BL65&lt;&gt;"")+(BM65&lt;&gt;""),WEEKDAY(BL$1,2)=6),1,0))</f>
        <v>0</v>
      </c>
    </row>
    <row r="66" spans="1:68" ht="16.5">
      <c r="A66" s="86" t="s">
        <v>97</v>
      </c>
      <c r="B66" s="86" t="s">
        <v>105</v>
      </c>
      <c r="C66" s="92" t="s">
        <v>106</v>
      </c>
      <c r="D66" s="91"/>
      <c r="E66" s="91"/>
      <c r="F66" s="88">
        <v>0.4</v>
      </c>
      <c r="G66" s="88">
        <v>0.1763888888888889</v>
      </c>
      <c r="H66" s="88">
        <v>0.37222222222222223</v>
      </c>
      <c r="I66" s="85"/>
      <c r="J66" s="98"/>
      <c r="K66" s="99">
        <v>0.21180555555555555</v>
      </c>
      <c r="L66" s="99">
        <v>0.40347222222222223</v>
      </c>
      <c r="M66" s="98"/>
      <c r="N66" s="88">
        <v>0.40625</v>
      </c>
      <c r="O66" s="85"/>
      <c r="P66" s="95"/>
      <c r="Q66" s="95"/>
      <c r="R66" s="91"/>
      <c r="S66" s="91"/>
      <c r="T66" s="88">
        <v>0.39166666666666666</v>
      </c>
      <c r="U66" s="85"/>
      <c r="V66" s="88">
        <v>0.40208333333333335</v>
      </c>
      <c r="W66" s="85"/>
      <c r="X66" s="88">
        <v>0.52361111111111114</v>
      </c>
      <c r="Y66" s="88">
        <v>0.25972222222222224</v>
      </c>
      <c r="Z66" s="85"/>
      <c r="AA66" s="88">
        <v>0.21527777777777779</v>
      </c>
      <c r="AB66" s="88">
        <v>0.35625000000000001</v>
      </c>
      <c r="AC66" s="88">
        <v>0.24583333333333332</v>
      </c>
      <c r="AD66" s="95"/>
      <c r="AE66" s="95"/>
      <c r="AF66" s="91"/>
      <c r="AG66" s="91"/>
      <c r="AH66" s="96"/>
      <c r="AI66" s="96"/>
      <c r="AJ66" s="88">
        <v>0.3527777777777778</v>
      </c>
      <c r="AK66" s="85"/>
      <c r="AL66" s="88">
        <v>0.34375</v>
      </c>
      <c r="AM66" s="85"/>
      <c r="AN66" s="85"/>
      <c r="AO66" s="88">
        <v>0.2902777777777778</v>
      </c>
      <c r="AP66" s="88">
        <v>0.40763888888888888</v>
      </c>
      <c r="AQ66" s="88">
        <v>0.28333333333333333</v>
      </c>
      <c r="AR66" s="95"/>
      <c r="AS66" s="95"/>
      <c r="AT66" s="91"/>
      <c r="AU66" s="91"/>
      <c r="AV66" s="85"/>
      <c r="AW66" s="88">
        <v>0.18680555555555556</v>
      </c>
      <c r="AX66" s="88">
        <v>0.37638888888888888</v>
      </c>
      <c r="AY66" s="88">
        <v>0.21597222222222223</v>
      </c>
      <c r="AZ66" s="101">
        <v>0.44374999999999998</v>
      </c>
      <c r="BA66" s="88">
        <v>0.20972222222222223</v>
      </c>
      <c r="BB66" s="85"/>
      <c r="BC66" s="85"/>
      <c r="BD66" s="88">
        <v>0.40833333333333333</v>
      </c>
      <c r="BE66" s="85"/>
      <c r="BF66" s="95"/>
      <c r="BG66" s="95"/>
      <c r="BH66" s="91"/>
      <c r="BI66" s="91"/>
      <c r="BJ66" s="88">
        <v>0.36388888888888887</v>
      </c>
      <c r="BK66" s="85"/>
      <c r="BL66" s="99">
        <v>0.36805555555555558</v>
      </c>
      <c r="BM66" s="99">
        <v>0.2013888888888889</v>
      </c>
      <c r="BN66" s="85">
        <f>SUM(IF(AND(D66&lt;&gt;"",WEEKDAY(D$1,2)&lt;6),1,0),IF(AND(F66&lt;&gt;"",WEEKDAY(F$1,2)&lt;6),1,0),IF(AND(H66&lt;&gt;"",WEEKDAY(H$1,2)&lt;6),1,0),IF(AND(J66&lt;&gt;"",WEEKDAY(J$1,2)&lt;6),1,0),IF(AND(L66&lt;&gt;"",WEEKDAY(L$1,2)&lt;6),1,0),IF(AND(N66&lt;&gt;"",WEEKDAY(N$1,2)&lt;6),1,0),IF(AND(P66&lt;&gt;"",WEEKDAY(P$1,2)&lt;6),1,0),IF(AND(R66&lt;&gt;"",WEEKDAY(R$1,2)&lt;6),1,0),IF(AND(T66&lt;&gt;"",WEEKDAY(T$1,2)&lt;6),1,0),IF(AND(V66&lt;&gt;"",WEEKDAY(V$1,2)&lt;6),1,0),IF(AND(X66&lt;&gt;"",WEEKDAY(X$1,2)&lt;6),1,0),IF(AND(Z66&lt;&gt;"",WEEKDAY(Z$1,2)&lt;6),1,0),IF(AND(AB66&lt;&gt;"",WEEKDAY(AB$1,2)&lt;6),1,0),IF(AND(AD66&lt;&gt;"",WEEKDAY(AD$1,2)&lt;6),1,0),IF(AND(AF66&lt;&gt;"",WEEKDAY(AF$1,2)&lt;6),1,0),IF(AND(AH66&lt;&gt;"",WEEKDAY(AH$1,2)&lt;6),1,0),IF(AND(AJ66&lt;&gt;"",WEEKDAY(AJ$1,2)&lt;6),1,0),IF(AND(AL66&lt;&gt;"",WEEKDAY(AL$1,2)&lt;6),1,0),IF(AND(AN66&lt;&gt;"",WEEKDAY(AN$1,2)&lt;6),1,0),IF(AND(AP66&lt;&gt;"",WEEKDAY(AP$1,2)&lt;6),1,0),IF(AND(AR66&lt;&gt;"",WEEKDAY(AR$1,2)&lt;6),1,0),IF(AND(AT66&lt;&gt;"",WEEKDAY(AT$1,2)&lt;6),1,0),IF(AND(AV66&lt;&gt;"",WEEKDAY(AV$1,2)&lt;6),1,0),IF(AND(AX66&lt;&gt;"",WEEKDAY(AX$1,2)&lt;6),1,0),IF(AND(AZ66&lt;&gt;"",WEEKDAY(AZ$1,2)&lt;6),1,0),IF(AND(BB66&lt;&gt;"",WEEKDAY(BB$1,2)&lt;6),1,0),IF(AND(BD66&lt;&gt;"",WEEKDAY(BD$1,2)&lt;6),1,0),IF(AND(BF66&lt;&gt;"",WEEKDAY(BF$1,2)&lt;6),1,0),IF(AND(BH66&lt;&gt;"",WEEKDAY(BH$1,2)&lt;6),1,0),IF(AND(BJ66&lt;&gt;"",WEEKDAY(BJ$1,2)&lt;6),1,0),IF(AND(BL66&lt;&gt;"",WEEKDAY(BL$1,2)&lt;6),1,0))</f>
        <v>16</v>
      </c>
      <c r="BO66" s="85">
        <f>SUM(IF(AND(E66&lt;&gt;"",WEEKDAY(D$1,2)&lt;6),1,0),IF(AND(G66&lt;&gt;"",WEEKDAY(F$1,2)&lt;6),1,0),IF(AND(I66&lt;&gt;"",WEEKDAY(H$1,2)&lt;6),1,0),IF(AND(K66&lt;&gt;"",WEEKDAY(J$1,2)&lt;6),1,0),IF(AND(M66&lt;&gt;"",WEEKDAY(L$1,2)&lt;6),1,0),IF(AND(O66&lt;&gt;"",WEEKDAY(N$1,2)&lt;6),1,0),IF(AND(Q66&lt;&gt;"",WEEKDAY(P$1,2)&lt;6),1,0),IF(AND(S66&lt;&gt;"",WEEKDAY(R$1,2)&lt;6),1,0),IF(AND(U66&lt;&gt;"",WEEKDAY(T$1,2)&lt;6),1,0),IF(AND(W66&lt;&gt;"",WEEKDAY(V$1,2)&lt;6),1,0),IF(AND(Y66&lt;&gt;"",WEEKDAY(X$1,2)&lt;6),1,0),IF(AND(AA66&lt;&gt;"",WEEKDAY(Z$1,2)&lt;6),1,0),IF(AND(AC66&lt;&gt;"",WEEKDAY(AB$1,2)&lt;6),1,0),IF(AND(AE66&lt;&gt;"",WEEKDAY(AD$1,2)&lt;6),1,0),IF(AND(AG66&lt;&gt;"",WEEKDAY(AF$1,2)&lt;6),1,0),IF(AND(AI66&lt;&gt;"",WEEKDAY(AH$1,2)&lt;6),1,0),IF(AND(AK66&lt;&gt;"",WEEKDAY(AJ$1,2)&lt;6),1,0),IF(AND(AM66&lt;&gt;"",WEEKDAY(AL$1,2)&lt;6),1,0),IF(AND(AO66&lt;&gt;"",WEEKDAY(AN$1,2)&lt;6),1,0),IF(AND(AQ66&lt;&gt;"",WEEKDAY(AP$1,2)&lt;6),1,0),IF(AND(AS66&lt;&gt;"",WEEKDAY(AR$1,2)&lt;6),1,0),IF(AND(AU66&lt;&gt;"",WEEKDAY(AT$1,2)&lt;6),1,0),IF(AND(AW66&lt;&gt;"",WEEKDAY(AV$1,2)&lt;6),1,0),IF(AND(AY66&lt;&gt;"",WEEKDAY(AX$1,2)&lt;6),1,0),IF(AND(BA66&lt;&gt;"",WEEKDAY(AZ$1,2)&lt;6),1,0),IF(AND(BC66&lt;&gt;"",WEEKDAY(BB$1,2)&lt;6),1,0),IF(AND(BE66&lt;&gt;"",WEEKDAY(BD$1,2)&lt;6),1,0),IF(AND(BG66&lt;&gt;"",WEEKDAY(BF$1,2)&lt;6),1,0),IF(AND(BI66&lt;&gt;"",WEEKDAY(BH$1,2)&lt;6),1,0),IF(AND(BK66&lt;&gt;"",WEEKDAY(BJ$1,2)&lt;6),1,0),IF(AND(BM66&lt;&gt;"",WEEKDAY(BL$1,2)&lt;6),1,0))</f>
        <v>11</v>
      </c>
      <c r="BP66" s="85">
        <f>SUM(IF(AND((D66&lt;&gt;"")+(E66&lt;&gt;""),WEEKDAY(D$1,2)=6),1,0),IF(AND((F66&lt;&gt;"")+(G66&lt;&gt;""),WEEKDAY(F$1,2)=6),1,0),IF(AND((H66&lt;&gt;"")+(I66&lt;&gt;""),WEEKDAY(H$1,2)=6),1,0),IF(AND((J66&lt;&gt;"")+(K66&lt;&gt;""),WEEKDAY(J$1,2)=6),1,0),IF(AND((L66&lt;&gt;"")+(M66&lt;&gt;""),WEEKDAY(L$1,2)=6),1,0),IF(AND((N66&lt;&gt;"")+(O66&lt;&gt;""),WEEKDAY(N$1,2)=6),1,0),IF(AND((P66&lt;&gt;"")+(Q66&lt;&gt;""),WEEKDAY(P$1,2)=6),1,0),IF(AND((R66&lt;&gt;"")+(S66&lt;&gt;""),WEEKDAY(R$1,2)=6),1,0),IF(AND((T66&lt;&gt;"")+(U66&lt;&gt;""),WEEKDAY(T$1,2)=6),1,0),IF(AND((V66&lt;&gt;"")+(W66&lt;&gt;""),WEEKDAY(V$1,2)=6),1,0),IF(AND((X66&lt;&gt;"")+(Y66&lt;&gt;""),WEEKDAY(X$1,2)=6),1,0),IF(AND((Z66&lt;&gt;"")+(AA66&lt;&gt;""),WEEKDAY(Z$1,2)=6),1,0),IF(AND((AB66&lt;&gt;"")+(AC66&lt;&gt;""),WEEKDAY(AB$1,2)=6),1,0),IF(AND((AD66&lt;&gt;"")+(AE66&lt;&gt;""),WEEKDAY(AD$1,2)=6),1,0),IF(AND((AF66&lt;&gt;"")+(AG66&lt;&gt;""),WEEKDAY(AF$1,2)=6),1,0),IF(AND((AH66&lt;&gt;"")+(AI66&lt;&gt;""),WEEKDAY(AH$1,2)=6),1,0),IF(AND((AJ66&lt;&gt;"")+(AK66&lt;&gt;""),WEEKDAY(AJ$1,2)=6),1,0),IF(AND((AL66&lt;&gt;"")+(AM66&lt;&gt;""),WEEKDAY(AL$1,2)=6),1,0),IF(AND((AN66&lt;&gt;"")+(AO66&lt;&gt;""),WEEKDAY(AN$1,2)=6),1,0),IF(AND((AP66&lt;&gt;"")+(AQ66&lt;&gt;""),WEEKDAY(AP$1,2)=6),1,0),IF(AND((AR66&lt;&gt;"")+(AS66&lt;&gt;""),WEEKDAY(AR$1,2)=6),1,0),IF(AND((AT66&lt;&gt;"")+(AU66&lt;&gt;""),WEEKDAY(AT$1,2)=6),1,0),IF(AND((AV66&lt;&gt;"")+(AW66&lt;&gt;""),WEEKDAY(AV$1,2)=6),1,0),IF(AND((AX66&lt;&gt;"")+(AY66&lt;&gt;""),WEEKDAY(AX$1,2)=6),1,0),IF(AND((AZ66&lt;&gt;"")+(BA66&lt;&gt;""),WEEKDAY(AZ$1,2)=6),1,0),IF(AND((BB66&lt;&gt;"")+(BC66&lt;&gt;""),WEEKDAY(BB$1,2)=6),1,0),IF(AND((BD66&lt;&gt;"")+(BE66&lt;&gt;""),WEEKDAY(BD$1,2)=6),1,0),IF(AND((BF66&lt;&gt;"")+(BG66&lt;&gt;""),WEEKDAY(BF$1,2)=6),1,0),IF(AND((BH66&lt;&gt;"")+(BI66&lt;&gt;""),WEEKDAY(BH$1,2)=6),1,0),IF(AND((BJ66&lt;&gt;"")+(BK66&lt;&gt;""),WEEKDAY(BJ$1,2)=6),1,0),IF(AND((BL66&lt;&gt;"")+(BM66&lt;&gt;""),WEEKDAY(BL$1,2)=6),1,0))</f>
        <v>0</v>
      </c>
    </row>
    <row r="67" spans="1:68" ht="16.5">
      <c r="A67" s="86" t="s">
        <v>97</v>
      </c>
      <c r="B67" s="86" t="s">
        <v>105</v>
      </c>
      <c r="C67" s="92" t="s">
        <v>107</v>
      </c>
      <c r="D67" s="91"/>
      <c r="E67" s="91"/>
      <c r="F67" s="85"/>
      <c r="G67" s="85"/>
      <c r="H67" s="85"/>
      <c r="I67" s="85"/>
      <c r="J67" s="98"/>
      <c r="K67" s="98"/>
      <c r="L67" s="98"/>
      <c r="M67" s="98"/>
      <c r="N67" s="85"/>
      <c r="O67" s="85"/>
      <c r="P67" s="95"/>
      <c r="Q67" s="95"/>
      <c r="R67" s="91"/>
      <c r="S67" s="91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95"/>
      <c r="AE67" s="95"/>
      <c r="AF67" s="91"/>
      <c r="AG67" s="91"/>
      <c r="AH67" s="96"/>
      <c r="AI67" s="96"/>
      <c r="AJ67" s="85"/>
      <c r="AK67" s="85"/>
      <c r="AL67" s="85"/>
      <c r="AM67" s="85"/>
      <c r="AN67" s="85"/>
      <c r="AO67" s="85"/>
      <c r="AP67" s="85"/>
      <c r="AQ67" s="85"/>
      <c r="AR67" s="95"/>
      <c r="AS67" s="95"/>
      <c r="AT67" s="91"/>
      <c r="AU67" s="91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95"/>
      <c r="BG67" s="95"/>
      <c r="BH67" s="91"/>
      <c r="BI67" s="91"/>
      <c r="BJ67" s="85"/>
      <c r="BK67" s="85"/>
      <c r="BL67" s="98"/>
      <c r="BM67" s="98"/>
      <c r="BN67" s="85">
        <f>SUM(IF(AND(D67&lt;&gt;"",WEEKDAY(D$1,2)&lt;6),1,0),IF(AND(F67&lt;&gt;"",WEEKDAY(F$1,2)&lt;6),1,0),IF(AND(H67&lt;&gt;"",WEEKDAY(H$1,2)&lt;6),1,0),IF(AND(J67&lt;&gt;"",WEEKDAY(J$1,2)&lt;6),1,0),IF(AND(L67&lt;&gt;"",WEEKDAY(L$1,2)&lt;6),1,0),IF(AND(N67&lt;&gt;"",WEEKDAY(N$1,2)&lt;6),1,0),IF(AND(P67&lt;&gt;"",WEEKDAY(P$1,2)&lt;6),1,0),IF(AND(R67&lt;&gt;"",WEEKDAY(R$1,2)&lt;6),1,0),IF(AND(T67&lt;&gt;"",WEEKDAY(T$1,2)&lt;6),1,0),IF(AND(V67&lt;&gt;"",WEEKDAY(V$1,2)&lt;6),1,0),IF(AND(X67&lt;&gt;"",WEEKDAY(X$1,2)&lt;6),1,0),IF(AND(Z67&lt;&gt;"",WEEKDAY(Z$1,2)&lt;6),1,0),IF(AND(AB67&lt;&gt;"",WEEKDAY(AB$1,2)&lt;6),1,0),IF(AND(AD67&lt;&gt;"",WEEKDAY(AD$1,2)&lt;6),1,0),IF(AND(AF67&lt;&gt;"",WEEKDAY(AF$1,2)&lt;6),1,0),IF(AND(AH67&lt;&gt;"",WEEKDAY(AH$1,2)&lt;6),1,0),IF(AND(AJ67&lt;&gt;"",WEEKDAY(AJ$1,2)&lt;6),1,0),IF(AND(AL67&lt;&gt;"",WEEKDAY(AL$1,2)&lt;6),1,0),IF(AND(AN67&lt;&gt;"",WEEKDAY(AN$1,2)&lt;6),1,0),IF(AND(AP67&lt;&gt;"",WEEKDAY(AP$1,2)&lt;6),1,0),IF(AND(AR67&lt;&gt;"",WEEKDAY(AR$1,2)&lt;6),1,0),IF(AND(AT67&lt;&gt;"",WEEKDAY(AT$1,2)&lt;6),1,0),IF(AND(AV67&lt;&gt;"",WEEKDAY(AV$1,2)&lt;6),1,0),IF(AND(AX67&lt;&gt;"",WEEKDAY(AX$1,2)&lt;6),1,0),IF(AND(AZ67&lt;&gt;"",WEEKDAY(AZ$1,2)&lt;6),1,0),IF(AND(BB67&lt;&gt;"",WEEKDAY(BB$1,2)&lt;6),1,0),IF(AND(BD67&lt;&gt;"",WEEKDAY(BD$1,2)&lt;6),1,0),IF(AND(BF67&lt;&gt;"",WEEKDAY(BF$1,2)&lt;6),1,0),IF(AND(BH67&lt;&gt;"",WEEKDAY(BH$1,2)&lt;6),1,0),IF(AND(BJ67&lt;&gt;"",WEEKDAY(BJ$1,2)&lt;6),1,0),IF(AND(BL67&lt;&gt;"",WEEKDAY(BL$1,2)&lt;6),1,0))</f>
        <v>0</v>
      </c>
      <c r="BO67" s="85">
        <f>SUM(IF(AND(E67&lt;&gt;"",WEEKDAY(D$1,2)&lt;6),1,0),IF(AND(G67&lt;&gt;"",WEEKDAY(F$1,2)&lt;6),1,0),IF(AND(I67&lt;&gt;"",WEEKDAY(H$1,2)&lt;6),1,0),IF(AND(K67&lt;&gt;"",WEEKDAY(J$1,2)&lt;6),1,0),IF(AND(M67&lt;&gt;"",WEEKDAY(L$1,2)&lt;6),1,0),IF(AND(O67&lt;&gt;"",WEEKDAY(N$1,2)&lt;6),1,0),IF(AND(Q67&lt;&gt;"",WEEKDAY(P$1,2)&lt;6),1,0),IF(AND(S67&lt;&gt;"",WEEKDAY(R$1,2)&lt;6),1,0),IF(AND(U67&lt;&gt;"",WEEKDAY(T$1,2)&lt;6),1,0),IF(AND(W67&lt;&gt;"",WEEKDAY(V$1,2)&lt;6),1,0),IF(AND(Y67&lt;&gt;"",WEEKDAY(X$1,2)&lt;6),1,0),IF(AND(AA67&lt;&gt;"",WEEKDAY(Z$1,2)&lt;6),1,0),IF(AND(AC67&lt;&gt;"",WEEKDAY(AB$1,2)&lt;6),1,0),IF(AND(AE67&lt;&gt;"",WEEKDAY(AD$1,2)&lt;6),1,0),IF(AND(AG67&lt;&gt;"",WEEKDAY(AF$1,2)&lt;6),1,0),IF(AND(AI67&lt;&gt;"",WEEKDAY(AH$1,2)&lt;6),1,0),IF(AND(AK67&lt;&gt;"",WEEKDAY(AJ$1,2)&lt;6),1,0),IF(AND(AM67&lt;&gt;"",WEEKDAY(AL$1,2)&lt;6),1,0),IF(AND(AO67&lt;&gt;"",WEEKDAY(AN$1,2)&lt;6),1,0),IF(AND(AQ67&lt;&gt;"",WEEKDAY(AP$1,2)&lt;6),1,0),IF(AND(AS67&lt;&gt;"",WEEKDAY(AR$1,2)&lt;6),1,0),IF(AND(AU67&lt;&gt;"",WEEKDAY(AT$1,2)&lt;6),1,0),IF(AND(AW67&lt;&gt;"",WEEKDAY(AV$1,2)&lt;6),1,0),IF(AND(AY67&lt;&gt;"",WEEKDAY(AX$1,2)&lt;6),1,0),IF(AND(BA67&lt;&gt;"",WEEKDAY(AZ$1,2)&lt;6),1,0),IF(AND(BC67&lt;&gt;"",WEEKDAY(BB$1,2)&lt;6),1,0),IF(AND(BE67&lt;&gt;"",WEEKDAY(BD$1,2)&lt;6),1,0),IF(AND(BG67&lt;&gt;"",WEEKDAY(BF$1,2)&lt;6),1,0),IF(AND(BI67&lt;&gt;"",WEEKDAY(BH$1,2)&lt;6),1,0),IF(AND(BK67&lt;&gt;"",WEEKDAY(BJ$1,2)&lt;6),1,0),IF(AND(BM67&lt;&gt;"",WEEKDAY(BL$1,2)&lt;6),1,0))</f>
        <v>0</v>
      </c>
      <c r="BP67" s="85">
        <f>SUM(IF(AND((D67&lt;&gt;"")+(E67&lt;&gt;""),WEEKDAY(D$1,2)=6),1,0),IF(AND((F67&lt;&gt;"")+(G67&lt;&gt;""),WEEKDAY(F$1,2)=6),1,0),IF(AND((H67&lt;&gt;"")+(I67&lt;&gt;""),WEEKDAY(H$1,2)=6),1,0),IF(AND((J67&lt;&gt;"")+(K67&lt;&gt;""),WEEKDAY(J$1,2)=6),1,0),IF(AND((L67&lt;&gt;"")+(M67&lt;&gt;""),WEEKDAY(L$1,2)=6),1,0),IF(AND((N67&lt;&gt;"")+(O67&lt;&gt;""),WEEKDAY(N$1,2)=6),1,0),IF(AND((P67&lt;&gt;"")+(Q67&lt;&gt;""),WEEKDAY(P$1,2)=6),1,0),IF(AND((R67&lt;&gt;"")+(S67&lt;&gt;""),WEEKDAY(R$1,2)=6),1,0),IF(AND((T67&lt;&gt;"")+(U67&lt;&gt;""),WEEKDAY(T$1,2)=6),1,0),IF(AND((V67&lt;&gt;"")+(W67&lt;&gt;""),WEEKDAY(V$1,2)=6),1,0),IF(AND((X67&lt;&gt;"")+(Y67&lt;&gt;""),WEEKDAY(X$1,2)=6),1,0),IF(AND((Z67&lt;&gt;"")+(AA67&lt;&gt;""),WEEKDAY(Z$1,2)=6),1,0),IF(AND((AB67&lt;&gt;"")+(AC67&lt;&gt;""),WEEKDAY(AB$1,2)=6),1,0),IF(AND((AD67&lt;&gt;"")+(AE67&lt;&gt;""),WEEKDAY(AD$1,2)=6),1,0),IF(AND((AF67&lt;&gt;"")+(AG67&lt;&gt;""),WEEKDAY(AF$1,2)=6),1,0),IF(AND((AH67&lt;&gt;"")+(AI67&lt;&gt;""),WEEKDAY(AH$1,2)=6),1,0),IF(AND((AJ67&lt;&gt;"")+(AK67&lt;&gt;""),WEEKDAY(AJ$1,2)=6),1,0),IF(AND((AL67&lt;&gt;"")+(AM67&lt;&gt;""),WEEKDAY(AL$1,2)=6),1,0),IF(AND((AN67&lt;&gt;"")+(AO67&lt;&gt;""),WEEKDAY(AN$1,2)=6),1,0),IF(AND((AP67&lt;&gt;"")+(AQ67&lt;&gt;""),WEEKDAY(AP$1,2)=6),1,0),IF(AND((AR67&lt;&gt;"")+(AS67&lt;&gt;""),WEEKDAY(AR$1,2)=6),1,0),IF(AND((AT67&lt;&gt;"")+(AU67&lt;&gt;""),WEEKDAY(AT$1,2)=6),1,0),IF(AND((AV67&lt;&gt;"")+(AW67&lt;&gt;""),WEEKDAY(AV$1,2)=6),1,0),IF(AND((AX67&lt;&gt;"")+(AY67&lt;&gt;""),WEEKDAY(AX$1,2)=6),1,0),IF(AND((AZ67&lt;&gt;"")+(BA67&lt;&gt;""),WEEKDAY(AZ$1,2)=6),1,0),IF(AND((BB67&lt;&gt;"")+(BC67&lt;&gt;""),WEEKDAY(BB$1,2)=6),1,0),IF(AND((BD67&lt;&gt;"")+(BE67&lt;&gt;""),WEEKDAY(BD$1,2)=6),1,0),IF(AND((BF67&lt;&gt;"")+(BG67&lt;&gt;""),WEEKDAY(BF$1,2)=6),1,0),IF(AND((BH67&lt;&gt;"")+(BI67&lt;&gt;""),WEEKDAY(BH$1,2)=6),1,0),IF(AND((BJ67&lt;&gt;"")+(BK67&lt;&gt;""),WEEKDAY(BJ$1,2)=6),1,0),IF(AND((BL67&lt;&gt;"")+(BM67&lt;&gt;""),WEEKDAY(BL$1,2)=6),1,0))</f>
        <v>0</v>
      </c>
    </row>
    <row r="68" spans="1:68" ht="16.5">
      <c r="A68" s="86" t="s">
        <v>108</v>
      </c>
      <c r="B68" s="86" t="s">
        <v>109</v>
      </c>
      <c r="C68" s="92" t="s">
        <v>110</v>
      </c>
      <c r="D68" s="91"/>
      <c r="E68" s="91"/>
      <c r="F68" s="88">
        <v>0.39652777777777776</v>
      </c>
      <c r="G68" s="85"/>
      <c r="H68" s="88">
        <v>0.45555555555555555</v>
      </c>
      <c r="I68" s="85"/>
      <c r="J68" s="99">
        <v>0.4201388888888889</v>
      </c>
      <c r="K68" s="99">
        <v>0.17569444444444443</v>
      </c>
      <c r="L68" s="99">
        <v>0.38680555555555557</v>
      </c>
      <c r="M68" s="98"/>
      <c r="N68" s="88">
        <v>0.39513888888888887</v>
      </c>
      <c r="O68" s="88">
        <v>0.18472222222222223</v>
      </c>
      <c r="P68" s="95"/>
      <c r="Q68" s="95"/>
      <c r="R68" s="91"/>
      <c r="S68" s="91"/>
      <c r="T68" s="88">
        <v>0.46250000000000002</v>
      </c>
      <c r="U68" s="85"/>
      <c r="V68" s="88">
        <v>0.40347222222222223</v>
      </c>
      <c r="W68" s="88">
        <v>0.14374999999999999</v>
      </c>
      <c r="X68" s="85"/>
      <c r="Y68" s="85"/>
      <c r="Z68" s="85"/>
      <c r="AA68" s="88">
        <v>9.7916666666666666E-2</v>
      </c>
      <c r="AB68" s="88">
        <v>0.37638888888888888</v>
      </c>
      <c r="AC68" s="88">
        <v>0.16111111111111112</v>
      </c>
      <c r="AD68" s="102">
        <v>0.3972222222222222</v>
      </c>
      <c r="AE68" s="95"/>
      <c r="AF68" s="91"/>
      <c r="AG68" s="91"/>
      <c r="AH68" s="96"/>
      <c r="AI68" s="96"/>
      <c r="AJ68" s="88">
        <v>0.35972222222222222</v>
      </c>
      <c r="AK68" s="88">
        <v>0.1875</v>
      </c>
      <c r="AL68" s="88">
        <v>0.40416666666666667</v>
      </c>
      <c r="AM68" s="85"/>
      <c r="AN68" s="88">
        <v>0.38194444444444442</v>
      </c>
      <c r="AO68" s="88">
        <v>0.15555555555555556</v>
      </c>
      <c r="AP68" s="85"/>
      <c r="AQ68" s="88">
        <v>0.15277777777777779</v>
      </c>
      <c r="AR68" s="95"/>
      <c r="AS68" s="95"/>
      <c r="AT68" s="91"/>
      <c r="AU68" s="91"/>
      <c r="AV68" s="88">
        <v>0.38541666666666669</v>
      </c>
      <c r="AW68" s="88">
        <v>0.19930555555555557</v>
      </c>
      <c r="AX68" s="88">
        <v>0.35555555555555557</v>
      </c>
      <c r="AY68" s="85"/>
      <c r="AZ68" s="88">
        <v>0.36319444444444443</v>
      </c>
      <c r="BA68" s="85"/>
      <c r="BB68" s="88">
        <v>0.37569444444444444</v>
      </c>
      <c r="BC68" s="88">
        <v>0.19166666666666668</v>
      </c>
      <c r="BD68" s="88">
        <v>0.41458333333333336</v>
      </c>
      <c r="BE68" s="88">
        <v>4.9305555555555554E-2</v>
      </c>
      <c r="BF68" s="95"/>
      <c r="BG68" s="95"/>
      <c r="BH68" s="91"/>
      <c r="BI68" s="91"/>
      <c r="BJ68" s="85"/>
      <c r="BK68" s="85"/>
      <c r="BL68" s="98"/>
      <c r="BM68" s="98"/>
      <c r="BN68" s="85">
        <f>SUM(IF(AND(D68&lt;&gt;"",WEEKDAY(D$1,2)&lt;6),1,0),IF(AND(F68&lt;&gt;"",WEEKDAY(F$1,2)&lt;6),1,0),IF(AND(H68&lt;&gt;"",WEEKDAY(H$1,2)&lt;6),1,0),IF(AND(J68&lt;&gt;"",WEEKDAY(J$1,2)&lt;6),1,0),IF(AND(L68&lt;&gt;"",WEEKDAY(L$1,2)&lt;6),1,0),IF(AND(N68&lt;&gt;"",WEEKDAY(N$1,2)&lt;6),1,0),IF(AND(P68&lt;&gt;"",WEEKDAY(P$1,2)&lt;6),1,0),IF(AND(R68&lt;&gt;"",WEEKDAY(R$1,2)&lt;6),1,0),IF(AND(T68&lt;&gt;"",WEEKDAY(T$1,2)&lt;6),1,0),IF(AND(V68&lt;&gt;"",WEEKDAY(V$1,2)&lt;6),1,0),IF(AND(X68&lt;&gt;"",WEEKDAY(X$1,2)&lt;6),1,0),IF(AND(Z68&lt;&gt;"",WEEKDAY(Z$1,2)&lt;6),1,0),IF(AND(AB68&lt;&gt;"",WEEKDAY(AB$1,2)&lt;6),1,0),IF(AND(AD68&lt;&gt;"",WEEKDAY(AD$1,2)&lt;6),1,0),IF(AND(AF68&lt;&gt;"",WEEKDAY(AF$1,2)&lt;6),1,0),IF(AND(AH68&lt;&gt;"",WEEKDAY(AH$1,2)&lt;6),1,0),IF(AND(AJ68&lt;&gt;"",WEEKDAY(AJ$1,2)&lt;6),1,0),IF(AND(AL68&lt;&gt;"",WEEKDAY(AL$1,2)&lt;6),1,0),IF(AND(AN68&lt;&gt;"",WEEKDAY(AN$1,2)&lt;6),1,0),IF(AND(AP68&lt;&gt;"",WEEKDAY(AP$1,2)&lt;6),1,0),IF(AND(AR68&lt;&gt;"",WEEKDAY(AR$1,2)&lt;6),1,0),IF(AND(AT68&lt;&gt;"",WEEKDAY(AT$1,2)&lt;6),1,0),IF(AND(AV68&lt;&gt;"",WEEKDAY(AV$1,2)&lt;6),1,0),IF(AND(AX68&lt;&gt;"",WEEKDAY(AX$1,2)&lt;6),1,0),IF(AND(AZ68&lt;&gt;"",WEEKDAY(AZ$1,2)&lt;6),1,0),IF(AND(BB68&lt;&gt;"",WEEKDAY(BB$1,2)&lt;6),1,0),IF(AND(BD68&lt;&gt;"",WEEKDAY(BD$1,2)&lt;6),1,0),IF(AND(BF68&lt;&gt;"",WEEKDAY(BF$1,2)&lt;6),1,0),IF(AND(BH68&lt;&gt;"",WEEKDAY(BH$1,2)&lt;6),1,0),IF(AND(BJ68&lt;&gt;"",WEEKDAY(BJ$1,2)&lt;6),1,0),IF(AND(BL68&lt;&gt;"",WEEKDAY(BL$1,2)&lt;6),1,0))</f>
        <v>16</v>
      </c>
      <c r="BO68" s="85">
        <f>SUM(IF(AND(E68&lt;&gt;"",WEEKDAY(D$1,2)&lt;6),1,0),IF(AND(G68&lt;&gt;"",WEEKDAY(F$1,2)&lt;6),1,0),IF(AND(I68&lt;&gt;"",WEEKDAY(H$1,2)&lt;6),1,0),IF(AND(K68&lt;&gt;"",WEEKDAY(J$1,2)&lt;6),1,0),IF(AND(M68&lt;&gt;"",WEEKDAY(L$1,2)&lt;6),1,0),IF(AND(O68&lt;&gt;"",WEEKDAY(N$1,2)&lt;6),1,0),IF(AND(Q68&lt;&gt;"",WEEKDAY(P$1,2)&lt;6),1,0),IF(AND(S68&lt;&gt;"",WEEKDAY(R$1,2)&lt;6),1,0),IF(AND(U68&lt;&gt;"",WEEKDAY(T$1,2)&lt;6),1,0),IF(AND(W68&lt;&gt;"",WEEKDAY(V$1,2)&lt;6),1,0),IF(AND(Y68&lt;&gt;"",WEEKDAY(X$1,2)&lt;6),1,0),IF(AND(AA68&lt;&gt;"",WEEKDAY(Z$1,2)&lt;6),1,0),IF(AND(AC68&lt;&gt;"",WEEKDAY(AB$1,2)&lt;6),1,0),IF(AND(AE68&lt;&gt;"",WEEKDAY(AD$1,2)&lt;6),1,0),IF(AND(AG68&lt;&gt;"",WEEKDAY(AF$1,2)&lt;6),1,0),IF(AND(AI68&lt;&gt;"",WEEKDAY(AH$1,2)&lt;6),1,0),IF(AND(AK68&lt;&gt;"",WEEKDAY(AJ$1,2)&lt;6),1,0),IF(AND(AM68&lt;&gt;"",WEEKDAY(AL$1,2)&lt;6),1,0),IF(AND(AO68&lt;&gt;"",WEEKDAY(AN$1,2)&lt;6),1,0),IF(AND(AQ68&lt;&gt;"",WEEKDAY(AP$1,2)&lt;6),1,0),IF(AND(AS68&lt;&gt;"",WEEKDAY(AR$1,2)&lt;6),1,0),IF(AND(AU68&lt;&gt;"",WEEKDAY(AT$1,2)&lt;6),1,0),IF(AND(AW68&lt;&gt;"",WEEKDAY(AV$1,2)&lt;6),1,0),IF(AND(AY68&lt;&gt;"",WEEKDAY(AX$1,2)&lt;6),1,0),IF(AND(BA68&lt;&gt;"",WEEKDAY(AZ$1,2)&lt;6),1,0),IF(AND(BC68&lt;&gt;"",WEEKDAY(BB$1,2)&lt;6),1,0),IF(AND(BE68&lt;&gt;"",WEEKDAY(BD$1,2)&lt;6),1,0),IF(AND(BG68&lt;&gt;"",WEEKDAY(BF$1,2)&lt;6),1,0),IF(AND(BI68&lt;&gt;"",WEEKDAY(BH$1,2)&lt;6),1,0),IF(AND(BK68&lt;&gt;"",WEEKDAY(BJ$1,2)&lt;6),1,0),IF(AND(BM68&lt;&gt;"",WEEKDAY(BL$1,2)&lt;6),1,0))</f>
        <v>11</v>
      </c>
      <c r="BP68" s="85">
        <f>SUM(IF(AND((D68&lt;&gt;"")+(E68&lt;&gt;""),WEEKDAY(D$1,2)=6),1,0),IF(AND((F68&lt;&gt;"")+(G68&lt;&gt;""),WEEKDAY(F$1,2)=6),1,0),IF(AND((H68&lt;&gt;"")+(I68&lt;&gt;""),WEEKDAY(H$1,2)=6),1,0),IF(AND((J68&lt;&gt;"")+(K68&lt;&gt;""),WEEKDAY(J$1,2)=6),1,0),IF(AND((L68&lt;&gt;"")+(M68&lt;&gt;""),WEEKDAY(L$1,2)=6),1,0),IF(AND((N68&lt;&gt;"")+(O68&lt;&gt;""),WEEKDAY(N$1,2)=6),1,0),IF(AND((P68&lt;&gt;"")+(Q68&lt;&gt;""),WEEKDAY(P$1,2)=6),1,0),IF(AND((R68&lt;&gt;"")+(S68&lt;&gt;""),WEEKDAY(R$1,2)=6),1,0),IF(AND((T68&lt;&gt;"")+(U68&lt;&gt;""),WEEKDAY(T$1,2)=6),1,0),IF(AND((V68&lt;&gt;"")+(W68&lt;&gt;""),WEEKDAY(V$1,2)=6),1,0),IF(AND((X68&lt;&gt;"")+(Y68&lt;&gt;""),WEEKDAY(X$1,2)=6),1,0),IF(AND((Z68&lt;&gt;"")+(AA68&lt;&gt;""),WEEKDAY(Z$1,2)=6),1,0),IF(AND((AB68&lt;&gt;"")+(AC68&lt;&gt;""),WEEKDAY(AB$1,2)=6),1,0),IF(AND((AD68&lt;&gt;"")+(AE68&lt;&gt;""),WEEKDAY(AD$1,2)=6),1,0),IF(AND((AF68&lt;&gt;"")+(AG68&lt;&gt;""),WEEKDAY(AF$1,2)=6),1,0),IF(AND((AH68&lt;&gt;"")+(AI68&lt;&gt;""),WEEKDAY(AH$1,2)=6),1,0),IF(AND((AJ68&lt;&gt;"")+(AK68&lt;&gt;""),WEEKDAY(AJ$1,2)=6),1,0),IF(AND((AL68&lt;&gt;"")+(AM68&lt;&gt;""),WEEKDAY(AL$1,2)=6),1,0),IF(AND((AN68&lt;&gt;"")+(AO68&lt;&gt;""),WEEKDAY(AN$1,2)=6),1,0),IF(AND((AP68&lt;&gt;"")+(AQ68&lt;&gt;""),WEEKDAY(AP$1,2)=6),1,0),IF(AND((AR68&lt;&gt;"")+(AS68&lt;&gt;""),WEEKDAY(AR$1,2)=6),1,0),IF(AND((AT68&lt;&gt;"")+(AU68&lt;&gt;""),WEEKDAY(AT$1,2)=6),1,0),IF(AND((AV68&lt;&gt;"")+(AW68&lt;&gt;""),WEEKDAY(AV$1,2)=6),1,0),IF(AND((AX68&lt;&gt;"")+(AY68&lt;&gt;""),WEEKDAY(AX$1,2)=6),1,0),IF(AND((AZ68&lt;&gt;"")+(BA68&lt;&gt;""),WEEKDAY(AZ$1,2)=6),1,0),IF(AND((BB68&lt;&gt;"")+(BC68&lt;&gt;""),WEEKDAY(BB$1,2)=6),1,0),IF(AND((BD68&lt;&gt;"")+(BE68&lt;&gt;""),WEEKDAY(BD$1,2)=6),1,0),IF(AND((BF68&lt;&gt;"")+(BG68&lt;&gt;""),WEEKDAY(BF$1,2)=6),1,0),IF(AND((BH68&lt;&gt;"")+(BI68&lt;&gt;""),WEEKDAY(BH$1,2)=6),1,0),IF(AND((BJ68&lt;&gt;"")+(BK68&lt;&gt;""),WEEKDAY(BJ$1,2)=6),1,0),IF(AND((BL68&lt;&gt;"")+(BM68&lt;&gt;""),WEEKDAY(BL$1,2)=6),1,0))</f>
        <v>1</v>
      </c>
    </row>
    <row r="69" spans="1:68" ht="16.5">
      <c r="A69" s="86" t="s">
        <v>108</v>
      </c>
      <c r="B69" s="86" t="s">
        <v>109</v>
      </c>
      <c r="C69" s="92" t="s">
        <v>111</v>
      </c>
      <c r="D69" s="91"/>
      <c r="E69" s="91"/>
      <c r="F69" s="85"/>
      <c r="G69" s="85"/>
      <c r="H69" s="85"/>
      <c r="I69" s="85"/>
      <c r="J69" s="98"/>
      <c r="K69" s="98"/>
      <c r="L69" s="98"/>
      <c r="M69" s="98"/>
      <c r="N69" s="85"/>
      <c r="O69" s="85"/>
      <c r="P69" s="95"/>
      <c r="Q69" s="95"/>
      <c r="R69" s="91"/>
      <c r="S69" s="91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95"/>
      <c r="AE69" s="95"/>
      <c r="AF69" s="91"/>
      <c r="AG69" s="91"/>
      <c r="AH69" s="96"/>
      <c r="AI69" s="96"/>
      <c r="AJ69" s="85"/>
      <c r="AK69" s="85"/>
      <c r="AL69" s="85"/>
      <c r="AM69" s="85"/>
      <c r="AN69" s="85"/>
      <c r="AO69" s="85"/>
      <c r="AP69" s="85"/>
      <c r="AQ69" s="85"/>
      <c r="AR69" s="95"/>
      <c r="AS69" s="95"/>
      <c r="AT69" s="91"/>
      <c r="AU69" s="91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95"/>
      <c r="BG69" s="95"/>
      <c r="BH69" s="91"/>
      <c r="BI69" s="91"/>
      <c r="BJ69" s="85"/>
      <c r="BK69" s="85"/>
      <c r="BL69" s="98"/>
      <c r="BM69" s="98"/>
      <c r="BN69" s="85">
        <f>SUM(IF(AND(D69&lt;&gt;"",WEEKDAY(D$1,2)&lt;6),1,0),IF(AND(F69&lt;&gt;"",WEEKDAY(F$1,2)&lt;6),1,0),IF(AND(H69&lt;&gt;"",WEEKDAY(H$1,2)&lt;6),1,0),IF(AND(J69&lt;&gt;"",WEEKDAY(J$1,2)&lt;6),1,0),IF(AND(L69&lt;&gt;"",WEEKDAY(L$1,2)&lt;6),1,0),IF(AND(N69&lt;&gt;"",WEEKDAY(N$1,2)&lt;6),1,0),IF(AND(P69&lt;&gt;"",WEEKDAY(P$1,2)&lt;6),1,0),IF(AND(R69&lt;&gt;"",WEEKDAY(R$1,2)&lt;6),1,0),IF(AND(T69&lt;&gt;"",WEEKDAY(T$1,2)&lt;6),1,0),IF(AND(V69&lt;&gt;"",WEEKDAY(V$1,2)&lt;6),1,0),IF(AND(X69&lt;&gt;"",WEEKDAY(X$1,2)&lt;6),1,0),IF(AND(Z69&lt;&gt;"",WEEKDAY(Z$1,2)&lt;6),1,0),IF(AND(AB69&lt;&gt;"",WEEKDAY(AB$1,2)&lt;6),1,0),IF(AND(AD69&lt;&gt;"",WEEKDAY(AD$1,2)&lt;6),1,0),IF(AND(AF69&lt;&gt;"",WEEKDAY(AF$1,2)&lt;6),1,0),IF(AND(AH69&lt;&gt;"",WEEKDAY(AH$1,2)&lt;6),1,0),IF(AND(AJ69&lt;&gt;"",WEEKDAY(AJ$1,2)&lt;6),1,0),IF(AND(AL69&lt;&gt;"",WEEKDAY(AL$1,2)&lt;6),1,0),IF(AND(AN69&lt;&gt;"",WEEKDAY(AN$1,2)&lt;6),1,0),IF(AND(AP69&lt;&gt;"",WEEKDAY(AP$1,2)&lt;6),1,0),IF(AND(AR69&lt;&gt;"",WEEKDAY(AR$1,2)&lt;6),1,0),IF(AND(AT69&lt;&gt;"",WEEKDAY(AT$1,2)&lt;6),1,0),IF(AND(AV69&lt;&gt;"",WEEKDAY(AV$1,2)&lt;6),1,0),IF(AND(AX69&lt;&gt;"",WEEKDAY(AX$1,2)&lt;6),1,0),IF(AND(AZ69&lt;&gt;"",WEEKDAY(AZ$1,2)&lt;6),1,0),IF(AND(BB69&lt;&gt;"",WEEKDAY(BB$1,2)&lt;6),1,0),IF(AND(BD69&lt;&gt;"",WEEKDAY(BD$1,2)&lt;6),1,0),IF(AND(BF69&lt;&gt;"",WEEKDAY(BF$1,2)&lt;6),1,0),IF(AND(BH69&lt;&gt;"",WEEKDAY(BH$1,2)&lt;6),1,0),IF(AND(BJ69&lt;&gt;"",WEEKDAY(BJ$1,2)&lt;6),1,0),IF(AND(BL69&lt;&gt;"",WEEKDAY(BL$1,2)&lt;6),1,0))</f>
        <v>0</v>
      </c>
      <c r="BO69" s="85">
        <f>SUM(IF(AND(E69&lt;&gt;"",WEEKDAY(D$1,2)&lt;6),1,0),IF(AND(G69&lt;&gt;"",WEEKDAY(F$1,2)&lt;6),1,0),IF(AND(I69&lt;&gt;"",WEEKDAY(H$1,2)&lt;6),1,0),IF(AND(K69&lt;&gt;"",WEEKDAY(J$1,2)&lt;6),1,0),IF(AND(M69&lt;&gt;"",WEEKDAY(L$1,2)&lt;6),1,0),IF(AND(O69&lt;&gt;"",WEEKDAY(N$1,2)&lt;6),1,0),IF(AND(Q69&lt;&gt;"",WEEKDAY(P$1,2)&lt;6),1,0),IF(AND(S69&lt;&gt;"",WEEKDAY(R$1,2)&lt;6),1,0),IF(AND(U69&lt;&gt;"",WEEKDAY(T$1,2)&lt;6),1,0),IF(AND(W69&lt;&gt;"",WEEKDAY(V$1,2)&lt;6),1,0),IF(AND(Y69&lt;&gt;"",WEEKDAY(X$1,2)&lt;6),1,0),IF(AND(AA69&lt;&gt;"",WEEKDAY(Z$1,2)&lt;6),1,0),IF(AND(AC69&lt;&gt;"",WEEKDAY(AB$1,2)&lt;6),1,0),IF(AND(AE69&lt;&gt;"",WEEKDAY(AD$1,2)&lt;6),1,0),IF(AND(AG69&lt;&gt;"",WEEKDAY(AF$1,2)&lt;6),1,0),IF(AND(AI69&lt;&gt;"",WEEKDAY(AH$1,2)&lt;6),1,0),IF(AND(AK69&lt;&gt;"",WEEKDAY(AJ$1,2)&lt;6),1,0),IF(AND(AM69&lt;&gt;"",WEEKDAY(AL$1,2)&lt;6),1,0),IF(AND(AO69&lt;&gt;"",WEEKDAY(AN$1,2)&lt;6),1,0),IF(AND(AQ69&lt;&gt;"",WEEKDAY(AP$1,2)&lt;6),1,0),IF(AND(AS69&lt;&gt;"",WEEKDAY(AR$1,2)&lt;6),1,0),IF(AND(AU69&lt;&gt;"",WEEKDAY(AT$1,2)&lt;6),1,0),IF(AND(AW69&lt;&gt;"",WEEKDAY(AV$1,2)&lt;6),1,0),IF(AND(AY69&lt;&gt;"",WEEKDAY(AX$1,2)&lt;6),1,0),IF(AND(BA69&lt;&gt;"",WEEKDAY(AZ$1,2)&lt;6),1,0),IF(AND(BC69&lt;&gt;"",WEEKDAY(BB$1,2)&lt;6),1,0),IF(AND(BE69&lt;&gt;"",WEEKDAY(BD$1,2)&lt;6),1,0),IF(AND(BG69&lt;&gt;"",WEEKDAY(BF$1,2)&lt;6),1,0),IF(AND(BI69&lt;&gt;"",WEEKDAY(BH$1,2)&lt;6),1,0),IF(AND(BK69&lt;&gt;"",WEEKDAY(BJ$1,2)&lt;6),1,0),IF(AND(BM69&lt;&gt;"",WEEKDAY(BL$1,2)&lt;6),1,0))</f>
        <v>0</v>
      </c>
      <c r="BP69" s="85">
        <f>SUM(IF(AND((D69&lt;&gt;"")+(E69&lt;&gt;""),WEEKDAY(D$1,2)=6),1,0),IF(AND((F69&lt;&gt;"")+(G69&lt;&gt;""),WEEKDAY(F$1,2)=6),1,0),IF(AND((H69&lt;&gt;"")+(I69&lt;&gt;""),WEEKDAY(H$1,2)=6),1,0),IF(AND((J69&lt;&gt;"")+(K69&lt;&gt;""),WEEKDAY(J$1,2)=6),1,0),IF(AND((L69&lt;&gt;"")+(M69&lt;&gt;""),WEEKDAY(L$1,2)=6),1,0),IF(AND((N69&lt;&gt;"")+(O69&lt;&gt;""),WEEKDAY(N$1,2)=6),1,0),IF(AND((P69&lt;&gt;"")+(Q69&lt;&gt;""),WEEKDAY(P$1,2)=6),1,0),IF(AND((R69&lt;&gt;"")+(S69&lt;&gt;""),WEEKDAY(R$1,2)=6),1,0),IF(AND((T69&lt;&gt;"")+(U69&lt;&gt;""),WEEKDAY(T$1,2)=6),1,0),IF(AND((V69&lt;&gt;"")+(W69&lt;&gt;""),WEEKDAY(V$1,2)=6),1,0),IF(AND((X69&lt;&gt;"")+(Y69&lt;&gt;""),WEEKDAY(X$1,2)=6),1,0),IF(AND((Z69&lt;&gt;"")+(AA69&lt;&gt;""),WEEKDAY(Z$1,2)=6),1,0),IF(AND((AB69&lt;&gt;"")+(AC69&lt;&gt;""),WEEKDAY(AB$1,2)=6),1,0),IF(AND((AD69&lt;&gt;"")+(AE69&lt;&gt;""),WEEKDAY(AD$1,2)=6),1,0),IF(AND((AF69&lt;&gt;"")+(AG69&lt;&gt;""),WEEKDAY(AF$1,2)=6),1,0),IF(AND((AH69&lt;&gt;"")+(AI69&lt;&gt;""),WEEKDAY(AH$1,2)=6),1,0),IF(AND((AJ69&lt;&gt;"")+(AK69&lt;&gt;""),WEEKDAY(AJ$1,2)=6),1,0),IF(AND((AL69&lt;&gt;"")+(AM69&lt;&gt;""),WEEKDAY(AL$1,2)=6),1,0),IF(AND((AN69&lt;&gt;"")+(AO69&lt;&gt;""),WEEKDAY(AN$1,2)=6),1,0),IF(AND((AP69&lt;&gt;"")+(AQ69&lt;&gt;""),WEEKDAY(AP$1,2)=6),1,0),IF(AND((AR69&lt;&gt;"")+(AS69&lt;&gt;""),WEEKDAY(AR$1,2)=6),1,0),IF(AND((AT69&lt;&gt;"")+(AU69&lt;&gt;""),WEEKDAY(AT$1,2)=6),1,0),IF(AND((AV69&lt;&gt;"")+(AW69&lt;&gt;""),WEEKDAY(AV$1,2)=6),1,0),IF(AND((AX69&lt;&gt;"")+(AY69&lt;&gt;""),WEEKDAY(AX$1,2)=6),1,0),IF(AND((AZ69&lt;&gt;"")+(BA69&lt;&gt;""),WEEKDAY(AZ$1,2)=6),1,0),IF(AND((BB69&lt;&gt;"")+(BC69&lt;&gt;""),WEEKDAY(BB$1,2)=6),1,0),IF(AND((BD69&lt;&gt;"")+(BE69&lt;&gt;""),WEEKDAY(BD$1,2)=6),1,0),IF(AND((BF69&lt;&gt;"")+(BG69&lt;&gt;""),WEEKDAY(BF$1,2)=6),1,0),IF(AND((BH69&lt;&gt;"")+(BI69&lt;&gt;""),WEEKDAY(BH$1,2)=6),1,0),IF(AND((BJ69&lt;&gt;"")+(BK69&lt;&gt;""),WEEKDAY(BJ$1,2)=6),1,0),IF(AND((BL69&lt;&gt;"")+(BM69&lt;&gt;""),WEEKDAY(BL$1,2)=6),1,0))</f>
        <v>0</v>
      </c>
    </row>
    <row r="70" spans="1:68" ht="16.5">
      <c r="A70" s="86" t="s">
        <v>108</v>
      </c>
      <c r="B70" s="86" t="s">
        <v>112</v>
      </c>
      <c r="C70" s="92" t="s">
        <v>113</v>
      </c>
      <c r="D70" s="91"/>
      <c r="E70" s="91"/>
      <c r="F70" s="88">
        <v>0.38680555555555557</v>
      </c>
      <c r="G70" s="85"/>
      <c r="H70" s="88">
        <v>0.37083333333333335</v>
      </c>
      <c r="I70" s="99">
        <v>0.17708333333333334</v>
      </c>
      <c r="J70" s="99">
        <v>0.37222222222222223</v>
      </c>
      <c r="K70" s="99">
        <v>0.12986111111111112</v>
      </c>
      <c r="L70" s="98"/>
      <c r="M70" s="99">
        <v>0.12708333333333333</v>
      </c>
      <c r="N70" s="88">
        <v>0.38194444444444442</v>
      </c>
      <c r="O70" s="85"/>
      <c r="P70" s="95"/>
      <c r="Q70" s="95"/>
      <c r="R70" s="91"/>
      <c r="S70" s="91"/>
      <c r="T70" s="88">
        <v>0.38819444444444445</v>
      </c>
      <c r="U70" s="85"/>
      <c r="V70" s="88">
        <v>0.39166666666666666</v>
      </c>
      <c r="W70" s="85"/>
      <c r="X70" s="85"/>
      <c r="Y70" s="88">
        <v>0.1423611111111111</v>
      </c>
      <c r="Z70" s="88">
        <v>0.45277777777777778</v>
      </c>
      <c r="AA70" s="88">
        <v>0.20069444444444445</v>
      </c>
      <c r="AB70" s="88">
        <v>0.44722222222222224</v>
      </c>
      <c r="AC70" s="85"/>
      <c r="AD70" s="95"/>
      <c r="AE70" s="95"/>
      <c r="AF70" s="91"/>
      <c r="AG70" s="91"/>
      <c r="AH70" s="96"/>
      <c r="AI70" s="96"/>
      <c r="AJ70" s="88">
        <v>0.39791666666666664</v>
      </c>
      <c r="AK70" s="88">
        <v>0.13333333333333333</v>
      </c>
      <c r="AL70" s="88">
        <v>0.36180555555555555</v>
      </c>
      <c r="AM70" s="85"/>
      <c r="AN70" s="88">
        <v>0.38124999999999998</v>
      </c>
      <c r="AO70" s="85"/>
      <c r="AP70" s="88">
        <v>0.37361111111111112</v>
      </c>
      <c r="AQ70" s="85"/>
      <c r="AR70" s="95"/>
      <c r="AS70" s="95"/>
      <c r="AT70" s="91"/>
      <c r="AU70" s="91"/>
      <c r="AV70" s="85"/>
      <c r="AW70" s="88">
        <v>0.14374999999999999</v>
      </c>
      <c r="AX70" s="88">
        <v>0.42916666666666664</v>
      </c>
      <c r="AY70" s="85"/>
      <c r="AZ70" s="88">
        <v>0.47083333333333333</v>
      </c>
      <c r="BA70" s="88">
        <v>0.18124999999999999</v>
      </c>
      <c r="BB70" s="88">
        <v>0.39513888888888887</v>
      </c>
      <c r="BC70" s="88">
        <v>0.16666666666666666</v>
      </c>
      <c r="BD70" s="88">
        <v>0.49722222222222223</v>
      </c>
      <c r="BE70" s="85"/>
      <c r="BF70" s="95"/>
      <c r="BG70" s="95"/>
      <c r="BH70" s="91"/>
      <c r="BI70" s="91"/>
      <c r="BJ70" s="85"/>
      <c r="BK70" s="85"/>
      <c r="BL70" s="98"/>
      <c r="BM70" s="98"/>
      <c r="BN70" s="85">
        <f>SUM(IF(AND(D70&lt;&gt;"",WEEKDAY(D$1,2)&lt;6),1,0),IF(AND(F70&lt;&gt;"",WEEKDAY(F$1,2)&lt;6),1,0),IF(AND(H70&lt;&gt;"",WEEKDAY(H$1,2)&lt;6),1,0),IF(AND(J70&lt;&gt;"",WEEKDAY(J$1,2)&lt;6),1,0),IF(AND(L70&lt;&gt;"",WEEKDAY(L$1,2)&lt;6),1,0),IF(AND(N70&lt;&gt;"",WEEKDAY(N$1,2)&lt;6),1,0),IF(AND(P70&lt;&gt;"",WEEKDAY(P$1,2)&lt;6),1,0),IF(AND(R70&lt;&gt;"",WEEKDAY(R$1,2)&lt;6),1,0),IF(AND(T70&lt;&gt;"",WEEKDAY(T$1,2)&lt;6),1,0),IF(AND(V70&lt;&gt;"",WEEKDAY(V$1,2)&lt;6),1,0),IF(AND(X70&lt;&gt;"",WEEKDAY(X$1,2)&lt;6),1,0),IF(AND(Z70&lt;&gt;"",WEEKDAY(Z$1,2)&lt;6),1,0),IF(AND(AB70&lt;&gt;"",WEEKDAY(AB$1,2)&lt;6),1,0),IF(AND(AD70&lt;&gt;"",WEEKDAY(AD$1,2)&lt;6),1,0),IF(AND(AF70&lt;&gt;"",WEEKDAY(AF$1,2)&lt;6),1,0),IF(AND(AH70&lt;&gt;"",WEEKDAY(AH$1,2)&lt;6),1,0),IF(AND(AJ70&lt;&gt;"",WEEKDAY(AJ$1,2)&lt;6),1,0),IF(AND(AL70&lt;&gt;"",WEEKDAY(AL$1,2)&lt;6),1,0),IF(AND(AN70&lt;&gt;"",WEEKDAY(AN$1,2)&lt;6),1,0),IF(AND(AP70&lt;&gt;"",WEEKDAY(AP$1,2)&lt;6),1,0),IF(AND(AR70&lt;&gt;"",WEEKDAY(AR$1,2)&lt;6),1,0),IF(AND(AT70&lt;&gt;"",WEEKDAY(AT$1,2)&lt;6),1,0),IF(AND(AV70&lt;&gt;"",WEEKDAY(AV$1,2)&lt;6),1,0),IF(AND(AX70&lt;&gt;"",WEEKDAY(AX$1,2)&lt;6),1,0),IF(AND(AZ70&lt;&gt;"",WEEKDAY(AZ$1,2)&lt;6),1,0),IF(AND(BB70&lt;&gt;"",WEEKDAY(BB$1,2)&lt;6),1,0),IF(AND(BD70&lt;&gt;"",WEEKDAY(BD$1,2)&lt;6),1,0),IF(AND(BF70&lt;&gt;"",WEEKDAY(BF$1,2)&lt;6),1,0),IF(AND(BH70&lt;&gt;"",WEEKDAY(BH$1,2)&lt;6),1,0),IF(AND(BJ70&lt;&gt;"",WEEKDAY(BJ$1,2)&lt;6),1,0),IF(AND(BL70&lt;&gt;"",WEEKDAY(BL$1,2)&lt;6),1,0))</f>
        <v>16</v>
      </c>
      <c r="BO70" s="85">
        <f>SUM(IF(AND(E70&lt;&gt;"",WEEKDAY(D$1,2)&lt;6),1,0),IF(AND(G70&lt;&gt;"",WEEKDAY(F$1,2)&lt;6),1,0),IF(AND(I70&lt;&gt;"",WEEKDAY(H$1,2)&lt;6),1,0),IF(AND(K70&lt;&gt;"",WEEKDAY(J$1,2)&lt;6),1,0),IF(AND(M70&lt;&gt;"",WEEKDAY(L$1,2)&lt;6),1,0),IF(AND(O70&lt;&gt;"",WEEKDAY(N$1,2)&lt;6),1,0),IF(AND(Q70&lt;&gt;"",WEEKDAY(P$1,2)&lt;6),1,0),IF(AND(S70&lt;&gt;"",WEEKDAY(R$1,2)&lt;6),1,0),IF(AND(U70&lt;&gt;"",WEEKDAY(T$1,2)&lt;6),1,0),IF(AND(W70&lt;&gt;"",WEEKDAY(V$1,2)&lt;6),1,0),IF(AND(Y70&lt;&gt;"",WEEKDAY(X$1,2)&lt;6),1,0),IF(AND(AA70&lt;&gt;"",WEEKDAY(Z$1,2)&lt;6),1,0),IF(AND(AC70&lt;&gt;"",WEEKDAY(AB$1,2)&lt;6),1,0),IF(AND(AE70&lt;&gt;"",WEEKDAY(AD$1,2)&lt;6),1,0),IF(AND(AG70&lt;&gt;"",WEEKDAY(AF$1,2)&lt;6),1,0),IF(AND(AI70&lt;&gt;"",WEEKDAY(AH$1,2)&lt;6),1,0),IF(AND(AK70&lt;&gt;"",WEEKDAY(AJ$1,2)&lt;6),1,0),IF(AND(AM70&lt;&gt;"",WEEKDAY(AL$1,2)&lt;6),1,0),IF(AND(AO70&lt;&gt;"",WEEKDAY(AN$1,2)&lt;6),1,0),IF(AND(AQ70&lt;&gt;"",WEEKDAY(AP$1,2)&lt;6),1,0),IF(AND(AS70&lt;&gt;"",WEEKDAY(AR$1,2)&lt;6),1,0),IF(AND(AU70&lt;&gt;"",WEEKDAY(AT$1,2)&lt;6),1,0),IF(AND(AW70&lt;&gt;"",WEEKDAY(AV$1,2)&lt;6),1,0),IF(AND(AY70&lt;&gt;"",WEEKDAY(AX$1,2)&lt;6),1,0),IF(AND(BA70&lt;&gt;"",WEEKDAY(AZ$1,2)&lt;6),1,0),IF(AND(BC70&lt;&gt;"",WEEKDAY(BB$1,2)&lt;6),1,0),IF(AND(BE70&lt;&gt;"",WEEKDAY(BD$1,2)&lt;6),1,0),IF(AND(BG70&lt;&gt;"",WEEKDAY(BF$1,2)&lt;6),1,0),IF(AND(BI70&lt;&gt;"",WEEKDAY(BH$1,2)&lt;6),1,0),IF(AND(BK70&lt;&gt;"",WEEKDAY(BJ$1,2)&lt;6),1,0),IF(AND(BM70&lt;&gt;"",WEEKDAY(BL$1,2)&lt;6),1,0))</f>
        <v>9</v>
      </c>
      <c r="BP70" s="85">
        <f>SUM(IF(AND((D70&lt;&gt;"")+(E70&lt;&gt;""),WEEKDAY(D$1,2)=6),1,0),IF(AND((F70&lt;&gt;"")+(G70&lt;&gt;""),WEEKDAY(F$1,2)=6),1,0),IF(AND((H70&lt;&gt;"")+(I70&lt;&gt;""),WEEKDAY(H$1,2)=6),1,0),IF(AND((J70&lt;&gt;"")+(K70&lt;&gt;""),WEEKDAY(J$1,2)=6),1,0),IF(AND((L70&lt;&gt;"")+(M70&lt;&gt;""),WEEKDAY(L$1,2)=6),1,0),IF(AND((N70&lt;&gt;"")+(O70&lt;&gt;""),WEEKDAY(N$1,2)=6),1,0),IF(AND((P70&lt;&gt;"")+(Q70&lt;&gt;""),WEEKDAY(P$1,2)=6),1,0),IF(AND((R70&lt;&gt;"")+(S70&lt;&gt;""),WEEKDAY(R$1,2)=6),1,0),IF(AND((T70&lt;&gt;"")+(U70&lt;&gt;""),WEEKDAY(T$1,2)=6),1,0),IF(AND((V70&lt;&gt;"")+(W70&lt;&gt;""),WEEKDAY(V$1,2)=6),1,0),IF(AND((X70&lt;&gt;"")+(Y70&lt;&gt;""),WEEKDAY(X$1,2)=6),1,0),IF(AND((Z70&lt;&gt;"")+(AA70&lt;&gt;""),WEEKDAY(Z$1,2)=6),1,0),IF(AND((AB70&lt;&gt;"")+(AC70&lt;&gt;""),WEEKDAY(AB$1,2)=6),1,0),IF(AND((AD70&lt;&gt;"")+(AE70&lt;&gt;""),WEEKDAY(AD$1,2)=6),1,0),IF(AND((AF70&lt;&gt;"")+(AG70&lt;&gt;""),WEEKDAY(AF$1,2)=6),1,0),IF(AND((AH70&lt;&gt;"")+(AI70&lt;&gt;""),WEEKDAY(AH$1,2)=6),1,0),IF(AND((AJ70&lt;&gt;"")+(AK70&lt;&gt;""),WEEKDAY(AJ$1,2)=6),1,0),IF(AND((AL70&lt;&gt;"")+(AM70&lt;&gt;""),WEEKDAY(AL$1,2)=6),1,0),IF(AND((AN70&lt;&gt;"")+(AO70&lt;&gt;""),WEEKDAY(AN$1,2)=6),1,0),IF(AND((AP70&lt;&gt;"")+(AQ70&lt;&gt;""),WEEKDAY(AP$1,2)=6),1,0),IF(AND((AR70&lt;&gt;"")+(AS70&lt;&gt;""),WEEKDAY(AR$1,2)=6),1,0),IF(AND((AT70&lt;&gt;"")+(AU70&lt;&gt;""),WEEKDAY(AT$1,2)=6),1,0),IF(AND((AV70&lt;&gt;"")+(AW70&lt;&gt;""),WEEKDAY(AV$1,2)=6),1,0),IF(AND((AX70&lt;&gt;"")+(AY70&lt;&gt;""),WEEKDAY(AX$1,2)=6),1,0),IF(AND((AZ70&lt;&gt;"")+(BA70&lt;&gt;""),WEEKDAY(AZ$1,2)=6),1,0),IF(AND((BB70&lt;&gt;"")+(BC70&lt;&gt;""),WEEKDAY(BB$1,2)=6),1,0),IF(AND((BD70&lt;&gt;"")+(BE70&lt;&gt;""),WEEKDAY(BD$1,2)=6),1,0),IF(AND((BF70&lt;&gt;"")+(BG70&lt;&gt;""),WEEKDAY(BF$1,2)=6),1,0),IF(AND((BH70&lt;&gt;"")+(BI70&lt;&gt;""),WEEKDAY(BH$1,2)=6),1,0),IF(AND((BJ70&lt;&gt;"")+(BK70&lt;&gt;""),WEEKDAY(BJ$1,2)=6),1,0),IF(AND((BL70&lt;&gt;"")+(BM70&lt;&gt;""),WEEKDAY(BL$1,2)=6),1,0))</f>
        <v>0</v>
      </c>
    </row>
    <row r="71" spans="1:68" ht="16.5">
      <c r="A71" s="86" t="s">
        <v>108</v>
      </c>
      <c r="B71" s="86" t="s">
        <v>112</v>
      </c>
      <c r="C71" s="92" t="s">
        <v>114</v>
      </c>
      <c r="D71" s="91"/>
      <c r="E71" s="91"/>
      <c r="F71" s="85"/>
      <c r="G71" s="85"/>
      <c r="H71" s="85"/>
      <c r="I71" s="85"/>
      <c r="J71" s="98"/>
      <c r="K71" s="98"/>
      <c r="L71" s="98"/>
      <c r="M71" s="98"/>
      <c r="N71" s="85"/>
      <c r="O71" s="85"/>
      <c r="P71" s="95"/>
      <c r="Q71" s="95"/>
      <c r="R71" s="91"/>
      <c r="S71" s="91"/>
      <c r="T71" s="85"/>
      <c r="U71" s="88">
        <v>0.23055555555555557</v>
      </c>
      <c r="V71" s="85"/>
      <c r="W71" s="85"/>
      <c r="X71" s="85"/>
      <c r="Y71" s="85"/>
      <c r="Z71" s="85"/>
      <c r="AA71" s="85"/>
      <c r="AB71" s="85"/>
      <c r="AC71" s="88">
        <v>0.29097222222222224</v>
      </c>
      <c r="AD71" s="102">
        <v>0.4201388888888889</v>
      </c>
      <c r="AE71" s="95"/>
      <c r="AF71" s="91"/>
      <c r="AG71" s="91"/>
      <c r="AH71" s="96"/>
      <c r="AI71" s="96"/>
      <c r="AJ71" s="85"/>
      <c r="AK71" s="85"/>
      <c r="AL71" s="85"/>
      <c r="AM71" s="85"/>
      <c r="AN71" s="85"/>
      <c r="AO71" s="88">
        <v>0.25069444444444444</v>
      </c>
      <c r="AP71" s="85"/>
      <c r="AQ71" s="85"/>
      <c r="AR71" s="95"/>
      <c r="AS71" s="95"/>
      <c r="AT71" s="91"/>
      <c r="AU71" s="91"/>
      <c r="AV71" s="88">
        <v>0.3888888888888889</v>
      </c>
      <c r="AW71" s="85"/>
      <c r="AX71" s="85"/>
      <c r="AY71" s="85"/>
      <c r="AZ71" s="85"/>
      <c r="BA71" s="85"/>
      <c r="BB71" s="85"/>
      <c r="BC71" s="85"/>
      <c r="BD71" s="85"/>
      <c r="BE71" s="85"/>
      <c r="BF71" s="95"/>
      <c r="BG71" s="95"/>
      <c r="BH71" s="91"/>
      <c r="BI71" s="91"/>
      <c r="BJ71" s="85"/>
      <c r="BK71" s="85"/>
      <c r="BL71" s="98"/>
      <c r="BM71" s="98"/>
      <c r="BN71" s="85">
        <f>SUM(IF(AND(D71&lt;&gt;"",WEEKDAY(D$1,2)&lt;6),1,0),IF(AND(F71&lt;&gt;"",WEEKDAY(F$1,2)&lt;6),1,0),IF(AND(H71&lt;&gt;"",WEEKDAY(H$1,2)&lt;6),1,0),IF(AND(J71&lt;&gt;"",WEEKDAY(J$1,2)&lt;6),1,0),IF(AND(L71&lt;&gt;"",WEEKDAY(L$1,2)&lt;6),1,0),IF(AND(N71&lt;&gt;"",WEEKDAY(N$1,2)&lt;6),1,0),IF(AND(P71&lt;&gt;"",WEEKDAY(P$1,2)&lt;6),1,0),IF(AND(R71&lt;&gt;"",WEEKDAY(R$1,2)&lt;6),1,0),IF(AND(T71&lt;&gt;"",WEEKDAY(T$1,2)&lt;6),1,0),IF(AND(V71&lt;&gt;"",WEEKDAY(V$1,2)&lt;6),1,0),IF(AND(X71&lt;&gt;"",WEEKDAY(X$1,2)&lt;6),1,0),IF(AND(Z71&lt;&gt;"",WEEKDAY(Z$1,2)&lt;6),1,0),IF(AND(AB71&lt;&gt;"",WEEKDAY(AB$1,2)&lt;6),1,0),IF(AND(AD71&lt;&gt;"",WEEKDAY(AD$1,2)&lt;6),1,0),IF(AND(AF71&lt;&gt;"",WEEKDAY(AF$1,2)&lt;6),1,0),IF(AND(AH71&lt;&gt;"",WEEKDAY(AH$1,2)&lt;6),1,0),IF(AND(AJ71&lt;&gt;"",WEEKDAY(AJ$1,2)&lt;6),1,0),IF(AND(AL71&lt;&gt;"",WEEKDAY(AL$1,2)&lt;6),1,0),IF(AND(AN71&lt;&gt;"",WEEKDAY(AN$1,2)&lt;6),1,0),IF(AND(AP71&lt;&gt;"",WEEKDAY(AP$1,2)&lt;6),1,0),IF(AND(AR71&lt;&gt;"",WEEKDAY(AR$1,2)&lt;6),1,0),IF(AND(AT71&lt;&gt;"",WEEKDAY(AT$1,2)&lt;6),1,0),IF(AND(AV71&lt;&gt;"",WEEKDAY(AV$1,2)&lt;6),1,0),IF(AND(AX71&lt;&gt;"",WEEKDAY(AX$1,2)&lt;6),1,0),IF(AND(AZ71&lt;&gt;"",WEEKDAY(AZ$1,2)&lt;6),1,0),IF(AND(BB71&lt;&gt;"",WEEKDAY(BB$1,2)&lt;6),1,0),IF(AND(BD71&lt;&gt;"",WEEKDAY(BD$1,2)&lt;6),1,0),IF(AND(BF71&lt;&gt;"",WEEKDAY(BF$1,2)&lt;6),1,0),IF(AND(BH71&lt;&gt;"",WEEKDAY(BH$1,2)&lt;6),1,0),IF(AND(BJ71&lt;&gt;"",WEEKDAY(BJ$1,2)&lt;6),1,0),IF(AND(BL71&lt;&gt;"",WEEKDAY(BL$1,2)&lt;6),1,0))</f>
        <v>1</v>
      </c>
      <c r="BO71" s="85">
        <f>SUM(IF(AND(E71&lt;&gt;"",WEEKDAY(D$1,2)&lt;6),1,0),IF(AND(G71&lt;&gt;"",WEEKDAY(F$1,2)&lt;6),1,0),IF(AND(I71&lt;&gt;"",WEEKDAY(H$1,2)&lt;6),1,0),IF(AND(K71&lt;&gt;"",WEEKDAY(J$1,2)&lt;6),1,0),IF(AND(M71&lt;&gt;"",WEEKDAY(L$1,2)&lt;6),1,0),IF(AND(O71&lt;&gt;"",WEEKDAY(N$1,2)&lt;6),1,0),IF(AND(Q71&lt;&gt;"",WEEKDAY(P$1,2)&lt;6),1,0),IF(AND(S71&lt;&gt;"",WEEKDAY(R$1,2)&lt;6),1,0),IF(AND(U71&lt;&gt;"",WEEKDAY(T$1,2)&lt;6),1,0),IF(AND(W71&lt;&gt;"",WEEKDAY(V$1,2)&lt;6),1,0),IF(AND(Y71&lt;&gt;"",WEEKDAY(X$1,2)&lt;6),1,0),IF(AND(AA71&lt;&gt;"",WEEKDAY(Z$1,2)&lt;6),1,0),IF(AND(AC71&lt;&gt;"",WEEKDAY(AB$1,2)&lt;6),1,0),IF(AND(AE71&lt;&gt;"",WEEKDAY(AD$1,2)&lt;6),1,0),IF(AND(AG71&lt;&gt;"",WEEKDAY(AF$1,2)&lt;6),1,0),IF(AND(AI71&lt;&gt;"",WEEKDAY(AH$1,2)&lt;6),1,0),IF(AND(AK71&lt;&gt;"",WEEKDAY(AJ$1,2)&lt;6),1,0),IF(AND(AM71&lt;&gt;"",WEEKDAY(AL$1,2)&lt;6),1,0),IF(AND(AO71&lt;&gt;"",WEEKDAY(AN$1,2)&lt;6),1,0),IF(AND(AQ71&lt;&gt;"",WEEKDAY(AP$1,2)&lt;6),1,0),IF(AND(AS71&lt;&gt;"",WEEKDAY(AR$1,2)&lt;6),1,0),IF(AND(AU71&lt;&gt;"",WEEKDAY(AT$1,2)&lt;6),1,0),IF(AND(AW71&lt;&gt;"",WEEKDAY(AV$1,2)&lt;6),1,0),IF(AND(AY71&lt;&gt;"",WEEKDAY(AX$1,2)&lt;6),1,0),IF(AND(BA71&lt;&gt;"",WEEKDAY(AZ$1,2)&lt;6),1,0),IF(AND(BC71&lt;&gt;"",WEEKDAY(BB$1,2)&lt;6),1,0),IF(AND(BE71&lt;&gt;"",WEEKDAY(BD$1,2)&lt;6),1,0),IF(AND(BG71&lt;&gt;"",WEEKDAY(BF$1,2)&lt;6),1,0),IF(AND(BI71&lt;&gt;"",WEEKDAY(BH$1,2)&lt;6),1,0),IF(AND(BK71&lt;&gt;"",WEEKDAY(BJ$1,2)&lt;6),1,0),IF(AND(BM71&lt;&gt;"",WEEKDAY(BL$1,2)&lt;6),1,0))</f>
        <v>3</v>
      </c>
      <c r="BP71" s="85">
        <f>SUM(IF(AND((D71&lt;&gt;"")+(E71&lt;&gt;""),WEEKDAY(D$1,2)=6),1,0),IF(AND((F71&lt;&gt;"")+(G71&lt;&gt;""),WEEKDAY(F$1,2)=6),1,0),IF(AND((H71&lt;&gt;"")+(I71&lt;&gt;""),WEEKDAY(H$1,2)=6),1,0),IF(AND((J71&lt;&gt;"")+(K71&lt;&gt;""),WEEKDAY(J$1,2)=6),1,0),IF(AND((L71&lt;&gt;"")+(M71&lt;&gt;""),WEEKDAY(L$1,2)=6),1,0),IF(AND((N71&lt;&gt;"")+(O71&lt;&gt;""),WEEKDAY(N$1,2)=6),1,0),IF(AND((P71&lt;&gt;"")+(Q71&lt;&gt;""),WEEKDAY(P$1,2)=6),1,0),IF(AND((R71&lt;&gt;"")+(S71&lt;&gt;""),WEEKDAY(R$1,2)=6),1,0),IF(AND((T71&lt;&gt;"")+(U71&lt;&gt;""),WEEKDAY(T$1,2)=6),1,0),IF(AND((V71&lt;&gt;"")+(W71&lt;&gt;""),WEEKDAY(V$1,2)=6),1,0),IF(AND((X71&lt;&gt;"")+(Y71&lt;&gt;""),WEEKDAY(X$1,2)=6),1,0),IF(AND((Z71&lt;&gt;"")+(AA71&lt;&gt;""),WEEKDAY(Z$1,2)=6),1,0),IF(AND((AB71&lt;&gt;"")+(AC71&lt;&gt;""),WEEKDAY(AB$1,2)=6),1,0),IF(AND((AD71&lt;&gt;"")+(AE71&lt;&gt;""),WEEKDAY(AD$1,2)=6),1,0),IF(AND((AF71&lt;&gt;"")+(AG71&lt;&gt;""),WEEKDAY(AF$1,2)=6),1,0),IF(AND((AH71&lt;&gt;"")+(AI71&lt;&gt;""),WEEKDAY(AH$1,2)=6),1,0),IF(AND((AJ71&lt;&gt;"")+(AK71&lt;&gt;""),WEEKDAY(AJ$1,2)=6),1,0),IF(AND((AL71&lt;&gt;"")+(AM71&lt;&gt;""),WEEKDAY(AL$1,2)=6),1,0),IF(AND((AN71&lt;&gt;"")+(AO71&lt;&gt;""),WEEKDAY(AN$1,2)=6),1,0),IF(AND((AP71&lt;&gt;"")+(AQ71&lt;&gt;""),WEEKDAY(AP$1,2)=6),1,0),IF(AND((AR71&lt;&gt;"")+(AS71&lt;&gt;""),WEEKDAY(AR$1,2)=6),1,0),IF(AND((AT71&lt;&gt;"")+(AU71&lt;&gt;""),WEEKDAY(AT$1,2)=6),1,0),IF(AND((AV71&lt;&gt;"")+(AW71&lt;&gt;""),WEEKDAY(AV$1,2)=6),1,0),IF(AND((AX71&lt;&gt;"")+(AY71&lt;&gt;""),WEEKDAY(AX$1,2)=6),1,0),IF(AND((AZ71&lt;&gt;"")+(BA71&lt;&gt;""),WEEKDAY(AZ$1,2)=6),1,0),IF(AND((BB71&lt;&gt;"")+(BC71&lt;&gt;""),WEEKDAY(BB$1,2)=6),1,0),IF(AND((BD71&lt;&gt;"")+(BE71&lt;&gt;""),WEEKDAY(BD$1,2)=6),1,0),IF(AND((BF71&lt;&gt;"")+(BG71&lt;&gt;""),WEEKDAY(BF$1,2)=6),1,0),IF(AND((BH71&lt;&gt;"")+(BI71&lt;&gt;""),WEEKDAY(BH$1,2)=6),1,0),IF(AND((BJ71&lt;&gt;"")+(BK71&lt;&gt;""),WEEKDAY(BJ$1,2)=6),1,0),IF(AND((BL71&lt;&gt;"")+(BM71&lt;&gt;""),WEEKDAY(BL$1,2)=6),1,0))</f>
        <v>1</v>
      </c>
    </row>
    <row r="72" spans="1:68" ht="16.5">
      <c r="A72" s="86" t="s">
        <v>108</v>
      </c>
      <c r="B72" s="86" t="s">
        <v>115</v>
      </c>
      <c r="C72" s="92" t="s">
        <v>116</v>
      </c>
      <c r="D72" s="91"/>
      <c r="E72" s="91"/>
      <c r="F72" s="88">
        <v>0.35902777777777778</v>
      </c>
      <c r="G72" s="88">
        <v>0.17708333333333334</v>
      </c>
      <c r="H72" s="88">
        <v>0.36527777777777776</v>
      </c>
      <c r="I72" s="88">
        <v>0.14652777777777778</v>
      </c>
      <c r="J72" s="99">
        <v>0.36458333333333331</v>
      </c>
      <c r="K72" s="98"/>
      <c r="L72" s="99">
        <v>0.38333333333333336</v>
      </c>
      <c r="M72" s="99">
        <v>0.15486111111111112</v>
      </c>
      <c r="N72" s="88">
        <v>0.36319444444444443</v>
      </c>
      <c r="O72" s="88">
        <v>0.14652777777777778</v>
      </c>
      <c r="P72" s="95"/>
      <c r="Q72" s="95"/>
      <c r="R72" s="91"/>
      <c r="S72" s="91"/>
      <c r="T72" s="88">
        <v>0.36458333333333331</v>
      </c>
      <c r="U72" s="88">
        <v>0.13472222222222222</v>
      </c>
      <c r="V72" s="88">
        <v>0.35625000000000001</v>
      </c>
      <c r="W72" s="88">
        <v>0.16041666666666668</v>
      </c>
      <c r="X72" s="88">
        <v>0.38124999999999998</v>
      </c>
      <c r="Y72" s="85"/>
      <c r="Z72" s="88">
        <v>0.36249999999999999</v>
      </c>
      <c r="AA72" s="88">
        <v>0.18611111111111112</v>
      </c>
      <c r="AB72" s="88">
        <v>0.36249999999999999</v>
      </c>
      <c r="AC72" s="88">
        <v>0.16875000000000001</v>
      </c>
      <c r="AD72" s="95"/>
      <c r="AE72" s="95"/>
      <c r="AF72" s="91"/>
      <c r="AG72" s="91"/>
      <c r="AH72" s="96"/>
      <c r="AI72" s="96"/>
      <c r="AJ72" s="88">
        <v>0.37847222222222221</v>
      </c>
      <c r="AK72" s="88">
        <v>0.15625</v>
      </c>
      <c r="AL72" s="88">
        <v>0.36944444444444446</v>
      </c>
      <c r="AM72" s="88">
        <v>0.17083333333333334</v>
      </c>
      <c r="AN72" s="88">
        <v>0.37361111111111112</v>
      </c>
      <c r="AO72" s="88">
        <v>0.15902777777777777</v>
      </c>
      <c r="AP72" s="88">
        <v>0.38333333333333336</v>
      </c>
      <c r="AQ72" s="88">
        <v>0.15069444444444444</v>
      </c>
      <c r="AR72" s="95"/>
      <c r="AS72" s="95"/>
      <c r="AT72" s="91"/>
      <c r="AU72" s="91"/>
      <c r="AV72" s="88">
        <v>0.3923611111111111</v>
      </c>
      <c r="AW72" s="88">
        <v>0.17152777777777778</v>
      </c>
      <c r="AX72" s="88">
        <v>0.37361111111111112</v>
      </c>
      <c r="AY72" s="88">
        <v>0.12916666666666668</v>
      </c>
      <c r="AZ72" s="88">
        <v>0.37083333333333335</v>
      </c>
      <c r="BA72" s="88">
        <v>0.15694444444444444</v>
      </c>
      <c r="BB72" s="88">
        <v>0.37291666666666667</v>
      </c>
      <c r="BC72" s="88">
        <v>0.15902777777777777</v>
      </c>
      <c r="BD72" s="88">
        <v>0.37361111111111112</v>
      </c>
      <c r="BE72" s="85"/>
      <c r="BF72" s="95"/>
      <c r="BG72" s="95"/>
      <c r="BH72" s="91"/>
      <c r="BI72" s="91"/>
      <c r="BJ72" s="88">
        <v>0.3659722222222222</v>
      </c>
      <c r="BK72" s="88">
        <v>0.18888888888888888</v>
      </c>
      <c r="BL72" s="99">
        <v>0.38194444444444442</v>
      </c>
      <c r="BM72" s="99">
        <v>0.16805555555555557</v>
      </c>
      <c r="BN72" s="85">
        <f>SUM(IF(AND(D72&lt;&gt;"",WEEKDAY(D$1,2)&lt;6),1,0),IF(AND(F72&lt;&gt;"",WEEKDAY(F$1,2)&lt;6),1,0),IF(AND(H72&lt;&gt;"",WEEKDAY(H$1,2)&lt;6),1,0),IF(AND(J72&lt;&gt;"",WEEKDAY(J$1,2)&lt;6),1,0),IF(AND(L72&lt;&gt;"",WEEKDAY(L$1,2)&lt;6),1,0),IF(AND(N72&lt;&gt;"",WEEKDAY(N$1,2)&lt;6),1,0),IF(AND(P72&lt;&gt;"",WEEKDAY(P$1,2)&lt;6),1,0),IF(AND(R72&lt;&gt;"",WEEKDAY(R$1,2)&lt;6),1,0),IF(AND(T72&lt;&gt;"",WEEKDAY(T$1,2)&lt;6),1,0),IF(AND(V72&lt;&gt;"",WEEKDAY(V$1,2)&lt;6),1,0),IF(AND(X72&lt;&gt;"",WEEKDAY(X$1,2)&lt;6),1,0),IF(AND(Z72&lt;&gt;"",WEEKDAY(Z$1,2)&lt;6),1,0),IF(AND(AB72&lt;&gt;"",WEEKDAY(AB$1,2)&lt;6),1,0),IF(AND(AD72&lt;&gt;"",WEEKDAY(AD$1,2)&lt;6),1,0),IF(AND(AF72&lt;&gt;"",WEEKDAY(AF$1,2)&lt;6),1,0),IF(AND(AH72&lt;&gt;"",WEEKDAY(AH$1,2)&lt;6),1,0),IF(AND(AJ72&lt;&gt;"",WEEKDAY(AJ$1,2)&lt;6),1,0),IF(AND(AL72&lt;&gt;"",WEEKDAY(AL$1,2)&lt;6),1,0),IF(AND(AN72&lt;&gt;"",WEEKDAY(AN$1,2)&lt;6),1,0),IF(AND(AP72&lt;&gt;"",WEEKDAY(AP$1,2)&lt;6),1,0),IF(AND(AR72&lt;&gt;"",WEEKDAY(AR$1,2)&lt;6),1,0),IF(AND(AT72&lt;&gt;"",WEEKDAY(AT$1,2)&lt;6),1,0),IF(AND(AV72&lt;&gt;"",WEEKDAY(AV$1,2)&lt;6),1,0),IF(AND(AX72&lt;&gt;"",WEEKDAY(AX$1,2)&lt;6),1,0),IF(AND(AZ72&lt;&gt;"",WEEKDAY(AZ$1,2)&lt;6),1,0),IF(AND(BB72&lt;&gt;"",WEEKDAY(BB$1,2)&lt;6),1,0),IF(AND(BD72&lt;&gt;"",WEEKDAY(BD$1,2)&lt;6),1,0),IF(AND(BF72&lt;&gt;"",WEEKDAY(BF$1,2)&lt;6),1,0),IF(AND(BH72&lt;&gt;"",WEEKDAY(BH$1,2)&lt;6),1,0),IF(AND(BJ72&lt;&gt;"",WEEKDAY(BJ$1,2)&lt;6),1,0),IF(AND(BL72&lt;&gt;"",WEEKDAY(BL$1,2)&lt;6),1,0))</f>
        <v>21</v>
      </c>
      <c r="BO72" s="85">
        <f>SUM(IF(AND(E72&lt;&gt;"",WEEKDAY(D$1,2)&lt;6),1,0),IF(AND(G72&lt;&gt;"",WEEKDAY(F$1,2)&lt;6),1,0),IF(AND(I72&lt;&gt;"",WEEKDAY(H$1,2)&lt;6),1,0),IF(AND(K72&lt;&gt;"",WEEKDAY(J$1,2)&lt;6),1,0),IF(AND(M72&lt;&gt;"",WEEKDAY(L$1,2)&lt;6),1,0),IF(AND(O72&lt;&gt;"",WEEKDAY(N$1,2)&lt;6),1,0),IF(AND(Q72&lt;&gt;"",WEEKDAY(P$1,2)&lt;6),1,0),IF(AND(S72&lt;&gt;"",WEEKDAY(R$1,2)&lt;6),1,0),IF(AND(U72&lt;&gt;"",WEEKDAY(T$1,2)&lt;6),1,0),IF(AND(W72&lt;&gt;"",WEEKDAY(V$1,2)&lt;6),1,0),IF(AND(Y72&lt;&gt;"",WEEKDAY(X$1,2)&lt;6),1,0),IF(AND(AA72&lt;&gt;"",WEEKDAY(Z$1,2)&lt;6),1,0),IF(AND(AC72&lt;&gt;"",WEEKDAY(AB$1,2)&lt;6),1,0),IF(AND(AE72&lt;&gt;"",WEEKDAY(AD$1,2)&lt;6),1,0),IF(AND(AG72&lt;&gt;"",WEEKDAY(AF$1,2)&lt;6),1,0),IF(AND(AI72&lt;&gt;"",WEEKDAY(AH$1,2)&lt;6),1,0),IF(AND(AK72&lt;&gt;"",WEEKDAY(AJ$1,2)&lt;6),1,0),IF(AND(AM72&lt;&gt;"",WEEKDAY(AL$1,2)&lt;6),1,0),IF(AND(AO72&lt;&gt;"",WEEKDAY(AN$1,2)&lt;6),1,0),IF(AND(AQ72&lt;&gt;"",WEEKDAY(AP$1,2)&lt;6),1,0),IF(AND(AS72&lt;&gt;"",WEEKDAY(AR$1,2)&lt;6),1,0),IF(AND(AU72&lt;&gt;"",WEEKDAY(AT$1,2)&lt;6),1,0),IF(AND(AW72&lt;&gt;"",WEEKDAY(AV$1,2)&lt;6),1,0),IF(AND(AY72&lt;&gt;"",WEEKDAY(AX$1,2)&lt;6),1,0),IF(AND(BA72&lt;&gt;"",WEEKDAY(AZ$1,2)&lt;6),1,0),IF(AND(BC72&lt;&gt;"",WEEKDAY(BB$1,2)&lt;6),1,0),IF(AND(BE72&lt;&gt;"",WEEKDAY(BD$1,2)&lt;6),1,0),IF(AND(BG72&lt;&gt;"",WEEKDAY(BF$1,2)&lt;6),1,0),IF(AND(BI72&lt;&gt;"",WEEKDAY(BH$1,2)&lt;6),1,0),IF(AND(BK72&lt;&gt;"",WEEKDAY(BJ$1,2)&lt;6),1,0),IF(AND(BM72&lt;&gt;"",WEEKDAY(BL$1,2)&lt;6),1,0))</f>
        <v>18</v>
      </c>
      <c r="BP72" s="85">
        <f>SUM(IF(AND((D72&lt;&gt;"")+(E72&lt;&gt;""),WEEKDAY(D$1,2)=6),1,0),IF(AND((F72&lt;&gt;"")+(G72&lt;&gt;""),WEEKDAY(F$1,2)=6),1,0),IF(AND((H72&lt;&gt;"")+(I72&lt;&gt;""),WEEKDAY(H$1,2)=6),1,0),IF(AND((J72&lt;&gt;"")+(K72&lt;&gt;""),WEEKDAY(J$1,2)=6),1,0),IF(AND((L72&lt;&gt;"")+(M72&lt;&gt;""),WEEKDAY(L$1,2)=6),1,0),IF(AND((N72&lt;&gt;"")+(O72&lt;&gt;""),WEEKDAY(N$1,2)=6),1,0),IF(AND((P72&lt;&gt;"")+(Q72&lt;&gt;""),WEEKDAY(P$1,2)=6),1,0),IF(AND((R72&lt;&gt;"")+(S72&lt;&gt;""),WEEKDAY(R$1,2)=6),1,0),IF(AND((T72&lt;&gt;"")+(U72&lt;&gt;""),WEEKDAY(T$1,2)=6),1,0),IF(AND((V72&lt;&gt;"")+(W72&lt;&gt;""),WEEKDAY(V$1,2)=6),1,0),IF(AND((X72&lt;&gt;"")+(Y72&lt;&gt;""),WEEKDAY(X$1,2)=6),1,0),IF(AND((Z72&lt;&gt;"")+(AA72&lt;&gt;""),WEEKDAY(Z$1,2)=6),1,0),IF(AND((AB72&lt;&gt;"")+(AC72&lt;&gt;""),WEEKDAY(AB$1,2)=6),1,0),IF(AND((AD72&lt;&gt;"")+(AE72&lt;&gt;""),WEEKDAY(AD$1,2)=6),1,0),IF(AND((AF72&lt;&gt;"")+(AG72&lt;&gt;""),WEEKDAY(AF$1,2)=6),1,0),IF(AND((AH72&lt;&gt;"")+(AI72&lt;&gt;""),WEEKDAY(AH$1,2)=6),1,0),IF(AND((AJ72&lt;&gt;"")+(AK72&lt;&gt;""),WEEKDAY(AJ$1,2)=6),1,0),IF(AND((AL72&lt;&gt;"")+(AM72&lt;&gt;""),WEEKDAY(AL$1,2)=6),1,0),IF(AND((AN72&lt;&gt;"")+(AO72&lt;&gt;""),WEEKDAY(AN$1,2)=6),1,0),IF(AND((AP72&lt;&gt;"")+(AQ72&lt;&gt;""),WEEKDAY(AP$1,2)=6),1,0),IF(AND((AR72&lt;&gt;"")+(AS72&lt;&gt;""),WEEKDAY(AR$1,2)=6),1,0),IF(AND((AT72&lt;&gt;"")+(AU72&lt;&gt;""),WEEKDAY(AT$1,2)=6),1,0),IF(AND((AV72&lt;&gt;"")+(AW72&lt;&gt;""),WEEKDAY(AV$1,2)=6),1,0),IF(AND((AX72&lt;&gt;"")+(AY72&lt;&gt;""),WEEKDAY(AX$1,2)=6),1,0),IF(AND((AZ72&lt;&gt;"")+(BA72&lt;&gt;""),WEEKDAY(AZ$1,2)=6),1,0),IF(AND((BB72&lt;&gt;"")+(BC72&lt;&gt;""),WEEKDAY(BB$1,2)=6),1,0),IF(AND((BD72&lt;&gt;"")+(BE72&lt;&gt;""),WEEKDAY(BD$1,2)=6),1,0),IF(AND((BF72&lt;&gt;"")+(BG72&lt;&gt;""),WEEKDAY(BF$1,2)=6),1,0),IF(AND((BH72&lt;&gt;"")+(BI72&lt;&gt;""),WEEKDAY(BH$1,2)=6),1,0),IF(AND((BJ72&lt;&gt;"")+(BK72&lt;&gt;""),WEEKDAY(BJ$1,2)=6),1,0),IF(AND((BL72&lt;&gt;"")+(BM72&lt;&gt;""),WEEKDAY(BL$1,2)=6),1,0))</f>
        <v>0</v>
      </c>
    </row>
    <row r="73" spans="1:68" ht="16.5">
      <c r="A73" s="86" t="s">
        <v>108</v>
      </c>
      <c r="B73" s="86" t="s">
        <v>117</v>
      </c>
      <c r="C73" s="92" t="s">
        <v>118</v>
      </c>
      <c r="D73" s="91"/>
      <c r="E73" s="91"/>
      <c r="F73" s="88">
        <v>0.38472222222222224</v>
      </c>
      <c r="G73" s="88">
        <v>0.20624999999999999</v>
      </c>
      <c r="H73" s="88">
        <v>0.38124999999999998</v>
      </c>
      <c r="I73" s="99">
        <v>0.1875</v>
      </c>
      <c r="J73" s="99">
        <v>0.37013888888888891</v>
      </c>
      <c r="K73" s="98"/>
      <c r="L73" s="99">
        <v>0.38750000000000001</v>
      </c>
      <c r="M73" s="99">
        <v>0.23333333333333334</v>
      </c>
      <c r="N73" s="88">
        <v>0.37638888888888888</v>
      </c>
      <c r="O73" s="88">
        <v>0.17569444444444443</v>
      </c>
      <c r="P73" s="95"/>
      <c r="Q73" s="95"/>
      <c r="R73" s="91"/>
      <c r="S73" s="91"/>
      <c r="T73" s="88">
        <v>0.37291666666666667</v>
      </c>
      <c r="U73" s="88">
        <v>0.16597222222222222</v>
      </c>
      <c r="V73" s="88">
        <v>0.40694444444444444</v>
      </c>
      <c r="W73" s="88">
        <v>0.17499999999999999</v>
      </c>
      <c r="X73" s="88">
        <v>0.39374999999999999</v>
      </c>
      <c r="Y73" s="88">
        <v>0.17916666666666667</v>
      </c>
      <c r="Z73" s="88">
        <v>0.38472222222222224</v>
      </c>
      <c r="AA73" s="88">
        <v>0.19375000000000001</v>
      </c>
      <c r="AB73" s="88">
        <v>0.41388888888888886</v>
      </c>
      <c r="AC73" s="88">
        <v>0.19305555555555556</v>
      </c>
      <c r="AD73" s="95"/>
      <c r="AE73" s="95"/>
      <c r="AF73" s="91"/>
      <c r="AG73" s="91"/>
      <c r="AH73" s="96"/>
      <c r="AI73" s="96"/>
      <c r="AJ73" s="88">
        <v>0.37916666666666665</v>
      </c>
      <c r="AK73" s="88">
        <v>0.1986111111111111</v>
      </c>
      <c r="AL73" s="88">
        <v>0.38124999999999998</v>
      </c>
      <c r="AM73" s="88">
        <v>0.18055555555555555</v>
      </c>
      <c r="AN73" s="88">
        <v>0.3840277777777778</v>
      </c>
      <c r="AO73" s="88">
        <v>0.15138888888888888</v>
      </c>
      <c r="AP73" s="88">
        <v>0.38611111111111113</v>
      </c>
      <c r="AQ73" s="88">
        <v>0.17222222222222222</v>
      </c>
      <c r="AR73" s="95"/>
      <c r="AS73" s="95"/>
      <c r="AT73" s="91"/>
      <c r="AU73" s="91"/>
      <c r="AV73" s="88">
        <v>0.38055555555555554</v>
      </c>
      <c r="AW73" s="88">
        <v>0.16805555555555557</v>
      </c>
      <c r="AX73" s="88">
        <v>0.39652777777777776</v>
      </c>
      <c r="AY73" s="88">
        <v>0.13680555555555557</v>
      </c>
      <c r="AZ73" s="88">
        <v>0.37083333333333335</v>
      </c>
      <c r="BA73" s="88">
        <v>0.18680555555555556</v>
      </c>
      <c r="BB73" s="88">
        <v>0.39027777777777778</v>
      </c>
      <c r="BC73" s="88">
        <v>0.19027777777777777</v>
      </c>
      <c r="BD73" s="88">
        <v>0.38333333333333336</v>
      </c>
      <c r="BE73" s="85"/>
      <c r="BF73" s="95"/>
      <c r="BG73" s="95"/>
      <c r="BH73" s="91"/>
      <c r="BI73" s="91"/>
      <c r="BJ73" s="88">
        <v>0.39861111111111114</v>
      </c>
      <c r="BK73" s="88">
        <v>0.18888888888888888</v>
      </c>
      <c r="BL73" s="99">
        <v>0.40555555555555556</v>
      </c>
      <c r="BM73" s="99">
        <v>0.16250000000000001</v>
      </c>
      <c r="BN73" s="85">
        <f>SUM(IF(AND(D73&lt;&gt;"",WEEKDAY(D$1,2)&lt;6),1,0),IF(AND(F73&lt;&gt;"",WEEKDAY(F$1,2)&lt;6),1,0),IF(AND(H73&lt;&gt;"",WEEKDAY(H$1,2)&lt;6),1,0),IF(AND(J73&lt;&gt;"",WEEKDAY(J$1,2)&lt;6),1,0),IF(AND(L73&lt;&gt;"",WEEKDAY(L$1,2)&lt;6),1,0),IF(AND(N73&lt;&gt;"",WEEKDAY(N$1,2)&lt;6),1,0),IF(AND(P73&lt;&gt;"",WEEKDAY(P$1,2)&lt;6),1,0),IF(AND(R73&lt;&gt;"",WEEKDAY(R$1,2)&lt;6),1,0),IF(AND(T73&lt;&gt;"",WEEKDAY(T$1,2)&lt;6),1,0),IF(AND(V73&lt;&gt;"",WEEKDAY(V$1,2)&lt;6),1,0),IF(AND(X73&lt;&gt;"",WEEKDAY(X$1,2)&lt;6),1,0),IF(AND(Z73&lt;&gt;"",WEEKDAY(Z$1,2)&lt;6),1,0),IF(AND(AB73&lt;&gt;"",WEEKDAY(AB$1,2)&lt;6),1,0),IF(AND(AD73&lt;&gt;"",WEEKDAY(AD$1,2)&lt;6),1,0),IF(AND(AF73&lt;&gt;"",WEEKDAY(AF$1,2)&lt;6),1,0),IF(AND(AH73&lt;&gt;"",WEEKDAY(AH$1,2)&lt;6),1,0),IF(AND(AJ73&lt;&gt;"",WEEKDAY(AJ$1,2)&lt;6),1,0),IF(AND(AL73&lt;&gt;"",WEEKDAY(AL$1,2)&lt;6),1,0),IF(AND(AN73&lt;&gt;"",WEEKDAY(AN$1,2)&lt;6),1,0),IF(AND(AP73&lt;&gt;"",WEEKDAY(AP$1,2)&lt;6),1,0),IF(AND(AR73&lt;&gt;"",WEEKDAY(AR$1,2)&lt;6),1,0),IF(AND(AT73&lt;&gt;"",WEEKDAY(AT$1,2)&lt;6),1,0),IF(AND(AV73&lt;&gt;"",WEEKDAY(AV$1,2)&lt;6),1,0),IF(AND(AX73&lt;&gt;"",WEEKDAY(AX$1,2)&lt;6),1,0),IF(AND(AZ73&lt;&gt;"",WEEKDAY(AZ$1,2)&lt;6),1,0),IF(AND(BB73&lt;&gt;"",WEEKDAY(BB$1,2)&lt;6),1,0),IF(AND(BD73&lt;&gt;"",WEEKDAY(BD$1,2)&lt;6),1,0),IF(AND(BF73&lt;&gt;"",WEEKDAY(BF$1,2)&lt;6),1,0),IF(AND(BH73&lt;&gt;"",WEEKDAY(BH$1,2)&lt;6),1,0),IF(AND(BJ73&lt;&gt;"",WEEKDAY(BJ$1,2)&lt;6),1,0),IF(AND(BL73&lt;&gt;"",WEEKDAY(BL$1,2)&lt;6),1,0))</f>
        <v>21</v>
      </c>
      <c r="BO73" s="85">
        <f>SUM(IF(AND(E73&lt;&gt;"",WEEKDAY(D$1,2)&lt;6),1,0),IF(AND(G73&lt;&gt;"",WEEKDAY(F$1,2)&lt;6),1,0),IF(AND(I73&lt;&gt;"",WEEKDAY(H$1,2)&lt;6),1,0),IF(AND(K73&lt;&gt;"",WEEKDAY(J$1,2)&lt;6),1,0),IF(AND(M73&lt;&gt;"",WEEKDAY(L$1,2)&lt;6),1,0),IF(AND(O73&lt;&gt;"",WEEKDAY(N$1,2)&lt;6),1,0),IF(AND(Q73&lt;&gt;"",WEEKDAY(P$1,2)&lt;6),1,0),IF(AND(S73&lt;&gt;"",WEEKDAY(R$1,2)&lt;6),1,0),IF(AND(U73&lt;&gt;"",WEEKDAY(T$1,2)&lt;6),1,0),IF(AND(W73&lt;&gt;"",WEEKDAY(V$1,2)&lt;6),1,0),IF(AND(Y73&lt;&gt;"",WEEKDAY(X$1,2)&lt;6),1,0),IF(AND(AA73&lt;&gt;"",WEEKDAY(Z$1,2)&lt;6),1,0),IF(AND(AC73&lt;&gt;"",WEEKDAY(AB$1,2)&lt;6),1,0),IF(AND(AE73&lt;&gt;"",WEEKDAY(AD$1,2)&lt;6),1,0),IF(AND(AG73&lt;&gt;"",WEEKDAY(AF$1,2)&lt;6),1,0),IF(AND(AI73&lt;&gt;"",WEEKDAY(AH$1,2)&lt;6),1,0),IF(AND(AK73&lt;&gt;"",WEEKDAY(AJ$1,2)&lt;6),1,0),IF(AND(AM73&lt;&gt;"",WEEKDAY(AL$1,2)&lt;6),1,0),IF(AND(AO73&lt;&gt;"",WEEKDAY(AN$1,2)&lt;6),1,0),IF(AND(AQ73&lt;&gt;"",WEEKDAY(AP$1,2)&lt;6),1,0),IF(AND(AS73&lt;&gt;"",WEEKDAY(AR$1,2)&lt;6),1,0),IF(AND(AU73&lt;&gt;"",WEEKDAY(AT$1,2)&lt;6),1,0),IF(AND(AW73&lt;&gt;"",WEEKDAY(AV$1,2)&lt;6),1,0),IF(AND(AY73&lt;&gt;"",WEEKDAY(AX$1,2)&lt;6),1,0),IF(AND(BA73&lt;&gt;"",WEEKDAY(AZ$1,2)&lt;6),1,0),IF(AND(BC73&lt;&gt;"",WEEKDAY(BB$1,2)&lt;6),1,0),IF(AND(BE73&lt;&gt;"",WEEKDAY(BD$1,2)&lt;6),1,0),IF(AND(BG73&lt;&gt;"",WEEKDAY(BF$1,2)&lt;6),1,0),IF(AND(BI73&lt;&gt;"",WEEKDAY(BH$1,2)&lt;6),1,0),IF(AND(BK73&lt;&gt;"",WEEKDAY(BJ$1,2)&lt;6),1,0),IF(AND(BM73&lt;&gt;"",WEEKDAY(BL$1,2)&lt;6),1,0))</f>
        <v>19</v>
      </c>
      <c r="BP73" s="85">
        <f>SUM(IF(AND((D73&lt;&gt;"")+(E73&lt;&gt;""),WEEKDAY(D$1,2)=6),1,0),IF(AND((F73&lt;&gt;"")+(G73&lt;&gt;""),WEEKDAY(F$1,2)=6),1,0),IF(AND((H73&lt;&gt;"")+(I73&lt;&gt;""),WEEKDAY(H$1,2)=6),1,0),IF(AND((J73&lt;&gt;"")+(K73&lt;&gt;""),WEEKDAY(J$1,2)=6),1,0),IF(AND((L73&lt;&gt;"")+(M73&lt;&gt;""),WEEKDAY(L$1,2)=6),1,0),IF(AND((N73&lt;&gt;"")+(O73&lt;&gt;""),WEEKDAY(N$1,2)=6),1,0),IF(AND((P73&lt;&gt;"")+(Q73&lt;&gt;""),WEEKDAY(P$1,2)=6),1,0),IF(AND((R73&lt;&gt;"")+(S73&lt;&gt;""),WEEKDAY(R$1,2)=6),1,0),IF(AND((T73&lt;&gt;"")+(U73&lt;&gt;""),WEEKDAY(T$1,2)=6),1,0),IF(AND((V73&lt;&gt;"")+(W73&lt;&gt;""),WEEKDAY(V$1,2)=6),1,0),IF(AND((X73&lt;&gt;"")+(Y73&lt;&gt;""),WEEKDAY(X$1,2)=6),1,0),IF(AND((Z73&lt;&gt;"")+(AA73&lt;&gt;""),WEEKDAY(Z$1,2)=6),1,0),IF(AND((AB73&lt;&gt;"")+(AC73&lt;&gt;""),WEEKDAY(AB$1,2)=6),1,0),IF(AND((AD73&lt;&gt;"")+(AE73&lt;&gt;""),WEEKDAY(AD$1,2)=6),1,0),IF(AND((AF73&lt;&gt;"")+(AG73&lt;&gt;""),WEEKDAY(AF$1,2)=6),1,0),IF(AND((AH73&lt;&gt;"")+(AI73&lt;&gt;""),WEEKDAY(AH$1,2)=6),1,0),IF(AND((AJ73&lt;&gt;"")+(AK73&lt;&gt;""),WEEKDAY(AJ$1,2)=6),1,0),IF(AND((AL73&lt;&gt;"")+(AM73&lt;&gt;""),WEEKDAY(AL$1,2)=6),1,0),IF(AND((AN73&lt;&gt;"")+(AO73&lt;&gt;""),WEEKDAY(AN$1,2)=6),1,0),IF(AND((AP73&lt;&gt;"")+(AQ73&lt;&gt;""),WEEKDAY(AP$1,2)=6),1,0),IF(AND((AR73&lt;&gt;"")+(AS73&lt;&gt;""),WEEKDAY(AR$1,2)=6),1,0),IF(AND((AT73&lt;&gt;"")+(AU73&lt;&gt;""),WEEKDAY(AT$1,2)=6),1,0),IF(AND((AV73&lt;&gt;"")+(AW73&lt;&gt;""),WEEKDAY(AV$1,2)=6),1,0),IF(AND((AX73&lt;&gt;"")+(AY73&lt;&gt;""),WEEKDAY(AX$1,2)=6),1,0),IF(AND((AZ73&lt;&gt;"")+(BA73&lt;&gt;""),WEEKDAY(AZ$1,2)=6),1,0),IF(AND((BB73&lt;&gt;"")+(BC73&lt;&gt;""),WEEKDAY(BB$1,2)=6),1,0),IF(AND((BD73&lt;&gt;"")+(BE73&lt;&gt;""),WEEKDAY(BD$1,2)=6),1,0),IF(AND((BF73&lt;&gt;"")+(BG73&lt;&gt;""),WEEKDAY(BF$1,2)=6),1,0),IF(AND((BH73&lt;&gt;"")+(BI73&lt;&gt;""),WEEKDAY(BH$1,2)=6),1,0),IF(AND((BJ73&lt;&gt;"")+(BK73&lt;&gt;""),WEEKDAY(BJ$1,2)=6),1,0),IF(AND((BL73&lt;&gt;"")+(BM73&lt;&gt;""),WEEKDAY(BL$1,2)=6),1,0))</f>
        <v>0</v>
      </c>
    </row>
    <row r="74" spans="1:68" ht="16.5">
      <c r="A74" s="86" t="s">
        <v>108</v>
      </c>
      <c r="B74" s="86" t="s">
        <v>119</v>
      </c>
      <c r="C74" s="92" t="s">
        <v>120</v>
      </c>
      <c r="D74" s="91"/>
      <c r="E74" s="91"/>
      <c r="F74" s="88">
        <v>0.3840277777777778</v>
      </c>
      <c r="G74" s="88">
        <v>0.12916666666666668</v>
      </c>
      <c r="H74" s="88">
        <v>0.37638888888888888</v>
      </c>
      <c r="I74" s="100">
        <v>0.16527777777777777</v>
      </c>
      <c r="J74" s="99">
        <v>0.36458333333333331</v>
      </c>
      <c r="K74" s="98"/>
      <c r="L74" s="99">
        <v>0.37916666666666665</v>
      </c>
      <c r="M74" s="99">
        <v>0.1388888888888889</v>
      </c>
      <c r="N74" s="88">
        <v>0.37916666666666665</v>
      </c>
      <c r="O74" s="88">
        <v>0.14930555555555555</v>
      </c>
      <c r="P74" s="95"/>
      <c r="Q74" s="95"/>
      <c r="R74" s="91"/>
      <c r="S74" s="91"/>
      <c r="T74" s="88">
        <v>0.37291666666666667</v>
      </c>
      <c r="U74" s="88">
        <v>0.19027777777777777</v>
      </c>
      <c r="V74" s="88">
        <v>0.37777777777777777</v>
      </c>
      <c r="W74" s="88">
        <v>0.1736111111111111</v>
      </c>
      <c r="X74" s="88">
        <v>0.35972222222222222</v>
      </c>
      <c r="Y74" s="88">
        <v>0.15555555555555556</v>
      </c>
      <c r="Z74" s="88">
        <v>0.37847222222222221</v>
      </c>
      <c r="AA74" s="88">
        <v>0.13819444444444445</v>
      </c>
      <c r="AB74" s="88">
        <v>0.42430555555555555</v>
      </c>
      <c r="AC74" s="88">
        <v>0.16944444444444445</v>
      </c>
      <c r="AD74" s="95"/>
      <c r="AE74" s="95"/>
      <c r="AF74" s="91"/>
      <c r="AG74" s="91"/>
      <c r="AH74" s="96"/>
      <c r="AI74" s="96"/>
      <c r="AJ74" s="88">
        <v>0.39097222222222222</v>
      </c>
      <c r="AK74" s="88">
        <v>0.13333333333333333</v>
      </c>
      <c r="AL74" s="88">
        <v>0.39305555555555555</v>
      </c>
      <c r="AM74" s="88">
        <v>0.12847222222222221</v>
      </c>
      <c r="AN74" s="88">
        <v>0.37847222222222221</v>
      </c>
      <c r="AO74" s="88">
        <v>0.16111111111111112</v>
      </c>
      <c r="AP74" s="85"/>
      <c r="AQ74" s="85"/>
      <c r="AR74" s="95"/>
      <c r="AS74" s="95"/>
      <c r="AT74" s="91"/>
      <c r="AU74" s="91"/>
      <c r="AV74" s="88">
        <v>0.38263888888888886</v>
      </c>
      <c r="AW74" s="88">
        <v>0.12638888888888888</v>
      </c>
      <c r="AX74" s="88">
        <v>0.43194444444444446</v>
      </c>
      <c r="AY74" s="88">
        <v>0.14166666666666666</v>
      </c>
      <c r="AZ74" s="88">
        <v>0.37430555555555556</v>
      </c>
      <c r="BA74" s="88">
        <v>0.16944444444444445</v>
      </c>
      <c r="BB74" s="88">
        <v>0</v>
      </c>
      <c r="BC74" s="85"/>
      <c r="BD74" s="88">
        <v>0.37222222222222223</v>
      </c>
      <c r="BE74" s="85"/>
      <c r="BF74" s="95"/>
      <c r="BG74" s="95"/>
      <c r="BH74" s="91"/>
      <c r="BI74" s="91"/>
      <c r="BJ74" s="88">
        <v>0.37916666666666665</v>
      </c>
      <c r="BK74" s="88">
        <v>0.13472222222222222</v>
      </c>
      <c r="BL74" s="99">
        <v>0.36805555555555558</v>
      </c>
      <c r="BM74" s="99">
        <v>0.16805555555555557</v>
      </c>
      <c r="BN74" s="85">
        <f>SUM(IF(AND(D74&lt;&gt;"",WEEKDAY(D$1,2)&lt;6),1,0),IF(AND(F74&lt;&gt;"",WEEKDAY(F$1,2)&lt;6),1,0),IF(AND(H74&lt;&gt;"",WEEKDAY(H$1,2)&lt;6),1,0),IF(AND(J74&lt;&gt;"",WEEKDAY(J$1,2)&lt;6),1,0),IF(AND(L74&lt;&gt;"",WEEKDAY(L$1,2)&lt;6),1,0),IF(AND(N74&lt;&gt;"",WEEKDAY(N$1,2)&lt;6),1,0),IF(AND(P74&lt;&gt;"",WEEKDAY(P$1,2)&lt;6),1,0),IF(AND(R74&lt;&gt;"",WEEKDAY(R$1,2)&lt;6),1,0),IF(AND(T74&lt;&gt;"",WEEKDAY(T$1,2)&lt;6),1,0),IF(AND(V74&lt;&gt;"",WEEKDAY(V$1,2)&lt;6),1,0),IF(AND(X74&lt;&gt;"",WEEKDAY(X$1,2)&lt;6),1,0),IF(AND(Z74&lt;&gt;"",WEEKDAY(Z$1,2)&lt;6),1,0),IF(AND(AB74&lt;&gt;"",WEEKDAY(AB$1,2)&lt;6),1,0),IF(AND(AD74&lt;&gt;"",WEEKDAY(AD$1,2)&lt;6),1,0),IF(AND(AF74&lt;&gt;"",WEEKDAY(AF$1,2)&lt;6),1,0),IF(AND(AH74&lt;&gt;"",WEEKDAY(AH$1,2)&lt;6),1,0),IF(AND(AJ74&lt;&gt;"",WEEKDAY(AJ$1,2)&lt;6),1,0),IF(AND(AL74&lt;&gt;"",WEEKDAY(AL$1,2)&lt;6),1,0),IF(AND(AN74&lt;&gt;"",WEEKDAY(AN$1,2)&lt;6),1,0),IF(AND(AP74&lt;&gt;"",WEEKDAY(AP$1,2)&lt;6),1,0),IF(AND(AR74&lt;&gt;"",WEEKDAY(AR$1,2)&lt;6),1,0),IF(AND(AT74&lt;&gt;"",WEEKDAY(AT$1,2)&lt;6),1,0),IF(AND(AV74&lt;&gt;"",WEEKDAY(AV$1,2)&lt;6),1,0),IF(AND(AX74&lt;&gt;"",WEEKDAY(AX$1,2)&lt;6),1,0),IF(AND(AZ74&lt;&gt;"",WEEKDAY(AZ$1,2)&lt;6),1,0),IF(AND(BB74&lt;&gt;"",WEEKDAY(BB$1,2)&lt;6),1,0),IF(AND(BD74&lt;&gt;"",WEEKDAY(BD$1,2)&lt;6),1,0),IF(AND(BF74&lt;&gt;"",WEEKDAY(BF$1,2)&lt;6),1,0),IF(AND(BH74&lt;&gt;"",WEEKDAY(BH$1,2)&lt;6),1,0),IF(AND(BJ74&lt;&gt;"",WEEKDAY(BJ$1,2)&lt;6),1,0),IF(AND(BL74&lt;&gt;"",WEEKDAY(BL$1,2)&lt;6),1,0))</f>
        <v>20</v>
      </c>
      <c r="BO74" s="85">
        <f>SUM(IF(AND(E74&lt;&gt;"",WEEKDAY(D$1,2)&lt;6),1,0),IF(AND(G74&lt;&gt;"",WEEKDAY(F$1,2)&lt;6),1,0),IF(AND(I74&lt;&gt;"",WEEKDAY(H$1,2)&lt;6),1,0),IF(AND(K74&lt;&gt;"",WEEKDAY(J$1,2)&lt;6),1,0),IF(AND(M74&lt;&gt;"",WEEKDAY(L$1,2)&lt;6),1,0),IF(AND(O74&lt;&gt;"",WEEKDAY(N$1,2)&lt;6),1,0),IF(AND(Q74&lt;&gt;"",WEEKDAY(P$1,2)&lt;6),1,0),IF(AND(S74&lt;&gt;"",WEEKDAY(R$1,2)&lt;6),1,0),IF(AND(U74&lt;&gt;"",WEEKDAY(T$1,2)&lt;6),1,0),IF(AND(W74&lt;&gt;"",WEEKDAY(V$1,2)&lt;6),1,0),IF(AND(Y74&lt;&gt;"",WEEKDAY(X$1,2)&lt;6),1,0),IF(AND(AA74&lt;&gt;"",WEEKDAY(Z$1,2)&lt;6),1,0),IF(AND(AC74&lt;&gt;"",WEEKDAY(AB$1,2)&lt;6),1,0),IF(AND(AE74&lt;&gt;"",WEEKDAY(AD$1,2)&lt;6),1,0),IF(AND(AG74&lt;&gt;"",WEEKDAY(AF$1,2)&lt;6),1,0),IF(AND(AI74&lt;&gt;"",WEEKDAY(AH$1,2)&lt;6),1,0),IF(AND(AK74&lt;&gt;"",WEEKDAY(AJ$1,2)&lt;6),1,0),IF(AND(AM74&lt;&gt;"",WEEKDAY(AL$1,2)&lt;6),1,0),IF(AND(AO74&lt;&gt;"",WEEKDAY(AN$1,2)&lt;6),1,0),IF(AND(AQ74&lt;&gt;"",WEEKDAY(AP$1,2)&lt;6),1,0),IF(AND(AS74&lt;&gt;"",WEEKDAY(AR$1,2)&lt;6),1,0),IF(AND(AU74&lt;&gt;"",WEEKDAY(AT$1,2)&lt;6),1,0),IF(AND(AW74&lt;&gt;"",WEEKDAY(AV$1,2)&lt;6),1,0),IF(AND(AY74&lt;&gt;"",WEEKDAY(AX$1,2)&lt;6),1,0),IF(AND(BA74&lt;&gt;"",WEEKDAY(AZ$1,2)&lt;6),1,0),IF(AND(BC74&lt;&gt;"",WEEKDAY(BB$1,2)&lt;6),1,0),IF(AND(BE74&lt;&gt;"",WEEKDAY(BD$1,2)&lt;6),1,0),IF(AND(BG74&lt;&gt;"",WEEKDAY(BF$1,2)&lt;6),1,0),IF(AND(BI74&lt;&gt;"",WEEKDAY(BH$1,2)&lt;6),1,0),IF(AND(BK74&lt;&gt;"",WEEKDAY(BJ$1,2)&lt;6),1,0),IF(AND(BM74&lt;&gt;"",WEEKDAY(BL$1,2)&lt;6),1,0))</f>
        <v>17</v>
      </c>
      <c r="BP74" s="85">
        <f>SUM(IF(AND((D74&lt;&gt;"")+(E74&lt;&gt;""),WEEKDAY(D$1,2)=6),1,0),IF(AND((F74&lt;&gt;"")+(G74&lt;&gt;""),WEEKDAY(F$1,2)=6),1,0),IF(AND((H74&lt;&gt;"")+(I74&lt;&gt;""),WEEKDAY(H$1,2)=6),1,0),IF(AND((J74&lt;&gt;"")+(K74&lt;&gt;""),WEEKDAY(J$1,2)=6),1,0),IF(AND((L74&lt;&gt;"")+(M74&lt;&gt;""),WEEKDAY(L$1,2)=6),1,0),IF(AND((N74&lt;&gt;"")+(O74&lt;&gt;""),WEEKDAY(N$1,2)=6),1,0),IF(AND((P74&lt;&gt;"")+(Q74&lt;&gt;""),WEEKDAY(P$1,2)=6),1,0),IF(AND((R74&lt;&gt;"")+(S74&lt;&gt;""),WEEKDAY(R$1,2)=6),1,0),IF(AND((T74&lt;&gt;"")+(U74&lt;&gt;""),WEEKDAY(T$1,2)=6),1,0),IF(AND((V74&lt;&gt;"")+(W74&lt;&gt;""),WEEKDAY(V$1,2)=6),1,0),IF(AND((X74&lt;&gt;"")+(Y74&lt;&gt;""),WEEKDAY(X$1,2)=6),1,0),IF(AND((Z74&lt;&gt;"")+(AA74&lt;&gt;""),WEEKDAY(Z$1,2)=6),1,0),IF(AND((AB74&lt;&gt;"")+(AC74&lt;&gt;""),WEEKDAY(AB$1,2)=6),1,0),IF(AND((AD74&lt;&gt;"")+(AE74&lt;&gt;""),WEEKDAY(AD$1,2)=6),1,0),IF(AND((AF74&lt;&gt;"")+(AG74&lt;&gt;""),WEEKDAY(AF$1,2)=6),1,0),IF(AND((AH74&lt;&gt;"")+(AI74&lt;&gt;""),WEEKDAY(AH$1,2)=6),1,0),IF(AND((AJ74&lt;&gt;"")+(AK74&lt;&gt;""),WEEKDAY(AJ$1,2)=6),1,0),IF(AND((AL74&lt;&gt;"")+(AM74&lt;&gt;""),WEEKDAY(AL$1,2)=6),1,0),IF(AND((AN74&lt;&gt;"")+(AO74&lt;&gt;""),WEEKDAY(AN$1,2)=6),1,0),IF(AND((AP74&lt;&gt;"")+(AQ74&lt;&gt;""),WEEKDAY(AP$1,2)=6),1,0),IF(AND((AR74&lt;&gt;"")+(AS74&lt;&gt;""),WEEKDAY(AR$1,2)=6),1,0),IF(AND((AT74&lt;&gt;"")+(AU74&lt;&gt;""),WEEKDAY(AT$1,2)=6),1,0),IF(AND((AV74&lt;&gt;"")+(AW74&lt;&gt;""),WEEKDAY(AV$1,2)=6),1,0),IF(AND((AX74&lt;&gt;"")+(AY74&lt;&gt;""),WEEKDAY(AX$1,2)=6),1,0),IF(AND((AZ74&lt;&gt;"")+(BA74&lt;&gt;""),WEEKDAY(AZ$1,2)=6),1,0),IF(AND((BB74&lt;&gt;"")+(BC74&lt;&gt;""),WEEKDAY(BB$1,2)=6),1,0),IF(AND((BD74&lt;&gt;"")+(BE74&lt;&gt;""),WEEKDAY(BD$1,2)=6),1,0),IF(AND((BF74&lt;&gt;"")+(BG74&lt;&gt;""),WEEKDAY(BF$1,2)=6),1,0),IF(AND((BH74&lt;&gt;"")+(BI74&lt;&gt;""),WEEKDAY(BH$1,2)=6),1,0),IF(AND((BJ74&lt;&gt;"")+(BK74&lt;&gt;""),WEEKDAY(BJ$1,2)=6),1,0),IF(AND((BL74&lt;&gt;"")+(BM74&lt;&gt;""),WEEKDAY(BL$1,2)=6),1,0))</f>
        <v>0</v>
      </c>
    </row>
    <row r="75" spans="1:68" ht="16.5">
      <c r="A75" s="86" t="s">
        <v>108</v>
      </c>
      <c r="B75" s="86" t="s">
        <v>121</v>
      </c>
      <c r="C75" s="92" t="s">
        <v>122</v>
      </c>
      <c r="D75" s="91"/>
      <c r="E75" s="91"/>
      <c r="F75" s="85"/>
      <c r="G75" s="85"/>
      <c r="H75" s="85"/>
      <c r="I75" s="85"/>
      <c r="J75" s="98"/>
      <c r="K75" s="99">
        <v>0.22430555555555556</v>
      </c>
      <c r="L75" s="98"/>
      <c r="M75" s="99">
        <v>0.12638888888888888</v>
      </c>
      <c r="N75" s="85"/>
      <c r="O75" s="88">
        <v>0.18402777777777779</v>
      </c>
      <c r="P75" s="95"/>
      <c r="Q75" s="95"/>
      <c r="R75" s="91"/>
      <c r="S75" s="91"/>
      <c r="T75" s="85"/>
      <c r="U75" s="88">
        <v>0.20277777777777778</v>
      </c>
      <c r="V75" s="88">
        <v>0.49166666666666664</v>
      </c>
      <c r="W75" s="88">
        <v>0.19375000000000001</v>
      </c>
      <c r="X75" s="88">
        <v>0.45833333333333331</v>
      </c>
      <c r="Y75" s="88">
        <v>0.13125000000000001</v>
      </c>
      <c r="Z75" s="85"/>
      <c r="AA75" s="88">
        <v>0.19722222222222222</v>
      </c>
      <c r="AB75" s="85"/>
      <c r="AC75" s="88">
        <v>0.22152777777777777</v>
      </c>
      <c r="AD75" s="95"/>
      <c r="AE75" s="95"/>
      <c r="AF75" s="91"/>
      <c r="AG75" s="91"/>
      <c r="AH75" s="96"/>
      <c r="AI75" s="96"/>
      <c r="AJ75" s="85"/>
      <c r="AK75" s="88">
        <v>0.17986111111111111</v>
      </c>
      <c r="AL75" s="88">
        <v>0.48680555555555555</v>
      </c>
      <c r="AM75" s="88">
        <v>0.17916666666666667</v>
      </c>
      <c r="AN75" s="85"/>
      <c r="AO75" s="88">
        <v>0.18958333333333333</v>
      </c>
      <c r="AP75" s="88">
        <v>0.44097222222222221</v>
      </c>
      <c r="AQ75" s="88">
        <v>0.20416666666666666</v>
      </c>
      <c r="AR75" s="95"/>
      <c r="AS75" s="95"/>
      <c r="AT75" s="91"/>
      <c r="AU75" s="91"/>
      <c r="AV75" s="88">
        <v>0.42222222222222222</v>
      </c>
      <c r="AW75" s="88">
        <v>0.15902777777777777</v>
      </c>
      <c r="AX75" s="85"/>
      <c r="AY75" s="88">
        <v>0.1423611111111111</v>
      </c>
      <c r="AZ75" s="85"/>
      <c r="BA75" s="88">
        <v>0.22013888888888888</v>
      </c>
      <c r="BB75" s="85"/>
      <c r="BC75" s="88">
        <v>0.15486111111111112</v>
      </c>
      <c r="BD75" s="88">
        <v>0.48055555555555557</v>
      </c>
      <c r="BE75" s="85"/>
      <c r="BF75" s="95"/>
      <c r="BG75" s="95"/>
      <c r="BH75" s="91"/>
      <c r="BI75" s="91"/>
      <c r="BJ75" s="85"/>
      <c r="BK75" s="88">
        <v>0.21527777777777779</v>
      </c>
      <c r="BL75" s="99">
        <v>0.40902777777777777</v>
      </c>
      <c r="BM75" s="99">
        <v>0.21736111111111112</v>
      </c>
      <c r="BN75" s="85">
        <f>SUM(IF(AND(D75&lt;&gt;"",WEEKDAY(D$1,2)&lt;6),1,0),IF(AND(F75&lt;&gt;"",WEEKDAY(F$1,2)&lt;6),1,0),IF(AND(H75&lt;&gt;"",WEEKDAY(H$1,2)&lt;6),1,0),IF(AND(J75&lt;&gt;"",WEEKDAY(J$1,2)&lt;6),1,0),IF(AND(L75&lt;&gt;"",WEEKDAY(L$1,2)&lt;6),1,0),IF(AND(N75&lt;&gt;"",WEEKDAY(N$1,2)&lt;6),1,0),IF(AND(P75&lt;&gt;"",WEEKDAY(P$1,2)&lt;6),1,0),IF(AND(R75&lt;&gt;"",WEEKDAY(R$1,2)&lt;6),1,0),IF(AND(T75&lt;&gt;"",WEEKDAY(T$1,2)&lt;6),1,0),IF(AND(V75&lt;&gt;"",WEEKDAY(V$1,2)&lt;6),1,0),IF(AND(X75&lt;&gt;"",WEEKDAY(X$1,2)&lt;6),1,0),IF(AND(Z75&lt;&gt;"",WEEKDAY(Z$1,2)&lt;6),1,0),IF(AND(AB75&lt;&gt;"",WEEKDAY(AB$1,2)&lt;6),1,0),IF(AND(AD75&lt;&gt;"",WEEKDAY(AD$1,2)&lt;6),1,0),IF(AND(AF75&lt;&gt;"",WEEKDAY(AF$1,2)&lt;6),1,0),IF(AND(AH75&lt;&gt;"",WEEKDAY(AH$1,2)&lt;6),1,0),IF(AND(AJ75&lt;&gt;"",WEEKDAY(AJ$1,2)&lt;6),1,0),IF(AND(AL75&lt;&gt;"",WEEKDAY(AL$1,2)&lt;6),1,0),IF(AND(AN75&lt;&gt;"",WEEKDAY(AN$1,2)&lt;6),1,0),IF(AND(AP75&lt;&gt;"",WEEKDAY(AP$1,2)&lt;6),1,0),IF(AND(AR75&lt;&gt;"",WEEKDAY(AR$1,2)&lt;6),1,0),IF(AND(AT75&lt;&gt;"",WEEKDAY(AT$1,2)&lt;6),1,0),IF(AND(AV75&lt;&gt;"",WEEKDAY(AV$1,2)&lt;6),1,0),IF(AND(AX75&lt;&gt;"",WEEKDAY(AX$1,2)&lt;6),1,0),IF(AND(AZ75&lt;&gt;"",WEEKDAY(AZ$1,2)&lt;6),1,0),IF(AND(BB75&lt;&gt;"",WEEKDAY(BB$1,2)&lt;6),1,0),IF(AND(BD75&lt;&gt;"",WEEKDAY(BD$1,2)&lt;6),1,0),IF(AND(BF75&lt;&gt;"",WEEKDAY(BF$1,2)&lt;6),1,0),IF(AND(BH75&lt;&gt;"",WEEKDAY(BH$1,2)&lt;6),1,0),IF(AND(BJ75&lt;&gt;"",WEEKDAY(BJ$1,2)&lt;6),1,0),IF(AND(BL75&lt;&gt;"",WEEKDAY(BL$1,2)&lt;6),1,0))</f>
        <v>7</v>
      </c>
      <c r="BO75" s="85">
        <f>SUM(IF(AND(E75&lt;&gt;"",WEEKDAY(D$1,2)&lt;6),1,0),IF(AND(G75&lt;&gt;"",WEEKDAY(F$1,2)&lt;6),1,0),IF(AND(I75&lt;&gt;"",WEEKDAY(H$1,2)&lt;6),1,0),IF(AND(K75&lt;&gt;"",WEEKDAY(J$1,2)&lt;6),1,0),IF(AND(M75&lt;&gt;"",WEEKDAY(L$1,2)&lt;6),1,0),IF(AND(O75&lt;&gt;"",WEEKDAY(N$1,2)&lt;6),1,0),IF(AND(Q75&lt;&gt;"",WEEKDAY(P$1,2)&lt;6),1,0),IF(AND(S75&lt;&gt;"",WEEKDAY(R$1,2)&lt;6),1,0),IF(AND(U75&lt;&gt;"",WEEKDAY(T$1,2)&lt;6),1,0),IF(AND(W75&lt;&gt;"",WEEKDAY(V$1,2)&lt;6),1,0),IF(AND(Y75&lt;&gt;"",WEEKDAY(X$1,2)&lt;6),1,0),IF(AND(AA75&lt;&gt;"",WEEKDAY(Z$1,2)&lt;6),1,0),IF(AND(AC75&lt;&gt;"",WEEKDAY(AB$1,2)&lt;6),1,0),IF(AND(AE75&lt;&gt;"",WEEKDAY(AD$1,2)&lt;6),1,0),IF(AND(AG75&lt;&gt;"",WEEKDAY(AF$1,2)&lt;6),1,0),IF(AND(AI75&lt;&gt;"",WEEKDAY(AH$1,2)&lt;6),1,0),IF(AND(AK75&lt;&gt;"",WEEKDAY(AJ$1,2)&lt;6),1,0),IF(AND(AM75&lt;&gt;"",WEEKDAY(AL$1,2)&lt;6),1,0),IF(AND(AO75&lt;&gt;"",WEEKDAY(AN$1,2)&lt;6),1,0),IF(AND(AQ75&lt;&gt;"",WEEKDAY(AP$1,2)&lt;6),1,0),IF(AND(AS75&lt;&gt;"",WEEKDAY(AR$1,2)&lt;6),1,0),IF(AND(AU75&lt;&gt;"",WEEKDAY(AT$1,2)&lt;6),1,0),IF(AND(AW75&lt;&gt;"",WEEKDAY(AV$1,2)&lt;6),1,0),IF(AND(AY75&lt;&gt;"",WEEKDAY(AX$1,2)&lt;6),1,0),IF(AND(BA75&lt;&gt;"",WEEKDAY(AZ$1,2)&lt;6),1,0),IF(AND(BC75&lt;&gt;"",WEEKDAY(BB$1,2)&lt;6),1,0),IF(AND(BE75&lt;&gt;"",WEEKDAY(BD$1,2)&lt;6),1,0),IF(AND(BG75&lt;&gt;"",WEEKDAY(BF$1,2)&lt;6),1,0),IF(AND(BI75&lt;&gt;"",WEEKDAY(BH$1,2)&lt;6),1,0),IF(AND(BK75&lt;&gt;"",WEEKDAY(BJ$1,2)&lt;6),1,0),IF(AND(BM75&lt;&gt;"",WEEKDAY(BL$1,2)&lt;6),1,0))</f>
        <v>18</v>
      </c>
      <c r="BP75" s="85">
        <f>SUM(IF(AND((D75&lt;&gt;"")+(E75&lt;&gt;""),WEEKDAY(D$1,2)=6),1,0),IF(AND((F75&lt;&gt;"")+(G75&lt;&gt;""),WEEKDAY(F$1,2)=6),1,0),IF(AND((H75&lt;&gt;"")+(I75&lt;&gt;""),WEEKDAY(H$1,2)=6),1,0),IF(AND((J75&lt;&gt;"")+(K75&lt;&gt;""),WEEKDAY(J$1,2)=6),1,0),IF(AND((L75&lt;&gt;"")+(M75&lt;&gt;""),WEEKDAY(L$1,2)=6),1,0),IF(AND((N75&lt;&gt;"")+(O75&lt;&gt;""),WEEKDAY(N$1,2)=6),1,0),IF(AND((P75&lt;&gt;"")+(Q75&lt;&gt;""),WEEKDAY(P$1,2)=6),1,0),IF(AND((R75&lt;&gt;"")+(S75&lt;&gt;""),WEEKDAY(R$1,2)=6),1,0),IF(AND((T75&lt;&gt;"")+(U75&lt;&gt;""),WEEKDAY(T$1,2)=6),1,0),IF(AND((V75&lt;&gt;"")+(W75&lt;&gt;""),WEEKDAY(V$1,2)=6),1,0),IF(AND((X75&lt;&gt;"")+(Y75&lt;&gt;""),WEEKDAY(X$1,2)=6),1,0),IF(AND((Z75&lt;&gt;"")+(AA75&lt;&gt;""),WEEKDAY(Z$1,2)=6),1,0),IF(AND((AB75&lt;&gt;"")+(AC75&lt;&gt;""),WEEKDAY(AB$1,2)=6),1,0),IF(AND((AD75&lt;&gt;"")+(AE75&lt;&gt;""),WEEKDAY(AD$1,2)=6),1,0),IF(AND((AF75&lt;&gt;"")+(AG75&lt;&gt;""),WEEKDAY(AF$1,2)=6),1,0),IF(AND((AH75&lt;&gt;"")+(AI75&lt;&gt;""),WEEKDAY(AH$1,2)=6),1,0),IF(AND((AJ75&lt;&gt;"")+(AK75&lt;&gt;""),WEEKDAY(AJ$1,2)=6),1,0),IF(AND((AL75&lt;&gt;"")+(AM75&lt;&gt;""),WEEKDAY(AL$1,2)=6),1,0),IF(AND((AN75&lt;&gt;"")+(AO75&lt;&gt;""),WEEKDAY(AN$1,2)=6),1,0),IF(AND((AP75&lt;&gt;"")+(AQ75&lt;&gt;""),WEEKDAY(AP$1,2)=6),1,0),IF(AND((AR75&lt;&gt;"")+(AS75&lt;&gt;""),WEEKDAY(AR$1,2)=6),1,0),IF(AND((AT75&lt;&gt;"")+(AU75&lt;&gt;""),WEEKDAY(AT$1,2)=6),1,0),IF(AND((AV75&lt;&gt;"")+(AW75&lt;&gt;""),WEEKDAY(AV$1,2)=6),1,0),IF(AND((AX75&lt;&gt;"")+(AY75&lt;&gt;""),WEEKDAY(AX$1,2)=6),1,0),IF(AND((AZ75&lt;&gt;"")+(BA75&lt;&gt;""),WEEKDAY(AZ$1,2)=6),1,0),IF(AND((BB75&lt;&gt;"")+(BC75&lt;&gt;""),WEEKDAY(BB$1,2)=6),1,0),IF(AND((BD75&lt;&gt;"")+(BE75&lt;&gt;""),WEEKDAY(BD$1,2)=6),1,0),IF(AND((BF75&lt;&gt;"")+(BG75&lt;&gt;""),WEEKDAY(BF$1,2)=6),1,0),IF(AND((BH75&lt;&gt;"")+(BI75&lt;&gt;""),WEEKDAY(BH$1,2)=6),1,0),IF(AND((BJ75&lt;&gt;"")+(BK75&lt;&gt;""),WEEKDAY(BJ$1,2)=6),1,0),IF(AND((BL75&lt;&gt;"")+(BM75&lt;&gt;""),WEEKDAY(BL$1,2)=6),1,0))</f>
        <v>0</v>
      </c>
    </row>
    <row r="76" spans="1:68" ht="16.5">
      <c r="A76" s="86" t="s">
        <v>123</v>
      </c>
      <c r="B76" s="86" t="s">
        <v>124</v>
      </c>
      <c r="C76" s="92" t="s">
        <v>125</v>
      </c>
      <c r="D76" s="91"/>
      <c r="E76" s="91"/>
      <c r="F76" s="88">
        <v>0.38611111111111113</v>
      </c>
      <c r="G76" s="88">
        <v>0.1673611111111111</v>
      </c>
      <c r="H76" s="88">
        <v>0.41666666666666669</v>
      </c>
      <c r="I76" s="99">
        <v>0.25</v>
      </c>
      <c r="J76" s="99">
        <v>0.4152777777777778</v>
      </c>
      <c r="K76" s="99">
        <v>0.16111111111111112</v>
      </c>
      <c r="L76" s="99">
        <v>0.39444444444444443</v>
      </c>
      <c r="M76" s="99">
        <v>0.16041666666666668</v>
      </c>
      <c r="N76" s="88">
        <v>0.39305555555555555</v>
      </c>
      <c r="O76" s="88">
        <v>0.16041666666666668</v>
      </c>
      <c r="P76" s="102">
        <v>0.37222222222222223</v>
      </c>
      <c r="Q76" s="95"/>
      <c r="R76" s="91"/>
      <c r="S76" s="91"/>
      <c r="T76" s="88">
        <v>0.38541666666666669</v>
      </c>
      <c r="U76" s="88">
        <v>0.17430555555555555</v>
      </c>
      <c r="V76" s="88">
        <v>0.35902777777777778</v>
      </c>
      <c r="W76" s="88">
        <v>0.15277777777777779</v>
      </c>
      <c r="X76" s="88">
        <v>0.37569444444444444</v>
      </c>
      <c r="Y76" s="88">
        <v>0.15208333333333332</v>
      </c>
      <c r="Z76" s="88">
        <v>0.33194444444444443</v>
      </c>
      <c r="AA76" s="88">
        <v>0.16666666666666666</v>
      </c>
      <c r="AB76" s="88">
        <v>0.38541666666666669</v>
      </c>
      <c r="AC76" s="88">
        <v>0.19236111111111112</v>
      </c>
      <c r="AD76" s="102">
        <v>0.34097222222222223</v>
      </c>
      <c r="AE76" s="102">
        <v>6.1805555555555558E-2</v>
      </c>
      <c r="AF76" s="91"/>
      <c r="AG76" s="91"/>
      <c r="AH76" s="96"/>
      <c r="AI76" s="96"/>
      <c r="AJ76" s="88">
        <v>0.37222222222222223</v>
      </c>
      <c r="AK76" s="88">
        <v>0.1361111111111111</v>
      </c>
      <c r="AL76" s="88">
        <v>0.37222222222222223</v>
      </c>
      <c r="AM76" s="88">
        <v>0.14652777777777778</v>
      </c>
      <c r="AN76" s="88">
        <v>0.36180555555555555</v>
      </c>
      <c r="AO76" s="88">
        <v>0.13680555555555557</v>
      </c>
      <c r="AP76" s="88">
        <v>0.43472222222222223</v>
      </c>
      <c r="AQ76" s="88">
        <v>0.14861111111111111</v>
      </c>
      <c r="AR76" s="102">
        <v>0.3888888888888889</v>
      </c>
      <c r="AS76" s="102">
        <v>6.458333333333334E-2</v>
      </c>
      <c r="AT76" s="91"/>
      <c r="AU76" s="91"/>
      <c r="AV76" s="88">
        <v>0.3576388888888889</v>
      </c>
      <c r="AW76" s="88">
        <v>0.23402777777777778</v>
      </c>
      <c r="AX76" s="88">
        <v>0.36249999999999999</v>
      </c>
      <c r="AY76" s="88">
        <v>0.13194444444444445</v>
      </c>
      <c r="AZ76" s="88">
        <v>0.36736111111111114</v>
      </c>
      <c r="BA76" s="88">
        <v>0.18958333333333333</v>
      </c>
      <c r="BB76" s="88">
        <v>0.35416666666666669</v>
      </c>
      <c r="BC76" s="88">
        <v>0.15347222222222223</v>
      </c>
      <c r="BD76" s="88">
        <v>0.3972222222222222</v>
      </c>
      <c r="BE76" s="85"/>
      <c r="BF76" s="95"/>
      <c r="BG76" s="95"/>
      <c r="BH76" s="91"/>
      <c r="BI76" s="91"/>
      <c r="BJ76" s="88">
        <v>0.37777777777777777</v>
      </c>
      <c r="BK76" s="88">
        <v>0.15069444444444444</v>
      </c>
      <c r="BL76" s="99">
        <v>0.37013888888888891</v>
      </c>
      <c r="BM76" s="99">
        <v>0.15416666666666667</v>
      </c>
      <c r="BN76" s="85">
        <f>SUM(IF(AND(D76&lt;&gt;"",WEEKDAY(D$1,2)&lt;6),1,0),IF(AND(F76&lt;&gt;"",WEEKDAY(F$1,2)&lt;6),1,0),IF(AND(H76&lt;&gt;"",WEEKDAY(H$1,2)&lt;6),1,0),IF(AND(J76&lt;&gt;"",WEEKDAY(J$1,2)&lt;6),1,0),IF(AND(L76&lt;&gt;"",WEEKDAY(L$1,2)&lt;6),1,0),IF(AND(N76&lt;&gt;"",WEEKDAY(N$1,2)&lt;6),1,0),IF(AND(P76&lt;&gt;"",WEEKDAY(P$1,2)&lt;6),1,0),IF(AND(R76&lt;&gt;"",WEEKDAY(R$1,2)&lt;6),1,0),IF(AND(T76&lt;&gt;"",WEEKDAY(T$1,2)&lt;6),1,0),IF(AND(V76&lt;&gt;"",WEEKDAY(V$1,2)&lt;6),1,0),IF(AND(X76&lt;&gt;"",WEEKDAY(X$1,2)&lt;6),1,0),IF(AND(Z76&lt;&gt;"",WEEKDAY(Z$1,2)&lt;6),1,0),IF(AND(AB76&lt;&gt;"",WEEKDAY(AB$1,2)&lt;6),1,0),IF(AND(AD76&lt;&gt;"",WEEKDAY(AD$1,2)&lt;6),1,0),IF(AND(AF76&lt;&gt;"",WEEKDAY(AF$1,2)&lt;6),1,0),IF(AND(AH76&lt;&gt;"",WEEKDAY(AH$1,2)&lt;6),1,0),IF(AND(AJ76&lt;&gt;"",WEEKDAY(AJ$1,2)&lt;6),1,0),IF(AND(AL76&lt;&gt;"",WEEKDAY(AL$1,2)&lt;6),1,0),IF(AND(AN76&lt;&gt;"",WEEKDAY(AN$1,2)&lt;6),1,0),IF(AND(AP76&lt;&gt;"",WEEKDAY(AP$1,2)&lt;6),1,0),IF(AND(AR76&lt;&gt;"",WEEKDAY(AR$1,2)&lt;6),1,0),IF(AND(AT76&lt;&gt;"",WEEKDAY(AT$1,2)&lt;6),1,0),IF(AND(AV76&lt;&gt;"",WEEKDAY(AV$1,2)&lt;6),1,0),IF(AND(AX76&lt;&gt;"",WEEKDAY(AX$1,2)&lt;6),1,0),IF(AND(AZ76&lt;&gt;"",WEEKDAY(AZ$1,2)&lt;6),1,0),IF(AND(BB76&lt;&gt;"",WEEKDAY(BB$1,2)&lt;6),1,0),IF(AND(BD76&lt;&gt;"",WEEKDAY(BD$1,2)&lt;6),1,0),IF(AND(BF76&lt;&gt;"",WEEKDAY(BF$1,2)&lt;6),1,0),IF(AND(BH76&lt;&gt;"",WEEKDAY(BH$1,2)&lt;6),1,0),IF(AND(BJ76&lt;&gt;"",WEEKDAY(BJ$1,2)&lt;6),1,0),IF(AND(BL76&lt;&gt;"",WEEKDAY(BL$1,2)&lt;6),1,0))</f>
        <v>21</v>
      </c>
      <c r="BO76" s="85">
        <f>SUM(IF(AND(E76&lt;&gt;"",WEEKDAY(D$1,2)&lt;6),1,0),IF(AND(G76&lt;&gt;"",WEEKDAY(F$1,2)&lt;6),1,0),IF(AND(I76&lt;&gt;"",WEEKDAY(H$1,2)&lt;6),1,0),IF(AND(K76&lt;&gt;"",WEEKDAY(J$1,2)&lt;6),1,0),IF(AND(M76&lt;&gt;"",WEEKDAY(L$1,2)&lt;6),1,0),IF(AND(O76&lt;&gt;"",WEEKDAY(N$1,2)&lt;6),1,0),IF(AND(Q76&lt;&gt;"",WEEKDAY(P$1,2)&lt;6),1,0),IF(AND(S76&lt;&gt;"",WEEKDAY(R$1,2)&lt;6),1,0),IF(AND(U76&lt;&gt;"",WEEKDAY(T$1,2)&lt;6),1,0),IF(AND(W76&lt;&gt;"",WEEKDAY(V$1,2)&lt;6),1,0),IF(AND(Y76&lt;&gt;"",WEEKDAY(X$1,2)&lt;6),1,0),IF(AND(AA76&lt;&gt;"",WEEKDAY(Z$1,2)&lt;6),1,0),IF(AND(AC76&lt;&gt;"",WEEKDAY(AB$1,2)&lt;6),1,0),IF(AND(AE76&lt;&gt;"",WEEKDAY(AD$1,2)&lt;6),1,0),IF(AND(AG76&lt;&gt;"",WEEKDAY(AF$1,2)&lt;6),1,0),IF(AND(AI76&lt;&gt;"",WEEKDAY(AH$1,2)&lt;6),1,0),IF(AND(AK76&lt;&gt;"",WEEKDAY(AJ$1,2)&lt;6),1,0),IF(AND(AM76&lt;&gt;"",WEEKDAY(AL$1,2)&lt;6),1,0),IF(AND(AO76&lt;&gt;"",WEEKDAY(AN$1,2)&lt;6),1,0),IF(AND(AQ76&lt;&gt;"",WEEKDAY(AP$1,2)&lt;6),1,0),IF(AND(AS76&lt;&gt;"",WEEKDAY(AR$1,2)&lt;6),1,0),IF(AND(AU76&lt;&gt;"",WEEKDAY(AT$1,2)&lt;6),1,0),IF(AND(AW76&lt;&gt;"",WEEKDAY(AV$1,2)&lt;6),1,0),IF(AND(AY76&lt;&gt;"",WEEKDAY(AX$1,2)&lt;6),1,0),IF(AND(BA76&lt;&gt;"",WEEKDAY(AZ$1,2)&lt;6),1,0),IF(AND(BC76&lt;&gt;"",WEEKDAY(BB$1,2)&lt;6),1,0),IF(AND(BE76&lt;&gt;"",WEEKDAY(BD$1,2)&lt;6),1,0),IF(AND(BG76&lt;&gt;"",WEEKDAY(BF$1,2)&lt;6),1,0),IF(AND(BI76&lt;&gt;"",WEEKDAY(BH$1,2)&lt;6),1,0),IF(AND(BK76&lt;&gt;"",WEEKDAY(BJ$1,2)&lt;6),1,0),IF(AND(BM76&lt;&gt;"",WEEKDAY(BL$1,2)&lt;6),1,0))</f>
        <v>20</v>
      </c>
      <c r="BP76" s="85">
        <f>SUM(IF(AND((D76&lt;&gt;"")+(E76&lt;&gt;""),WEEKDAY(D$1,2)=6),1,0),IF(AND((F76&lt;&gt;"")+(G76&lt;&gt;""),WEEKDAY(F$1,2)=6),1,0),IF(AND((H76&lt;&gt;"")+(I76&lt;&gt;""),WEEKDAY(H$1,2)=6),1,0),IF(AND((J76&lt;&gt;"")+(K76&lt;&gt;""),WEEKDAY(J$1,2)=6),1,0),IF(AND((L76&lt;&gt;"")+(M76&lt;&gt;""),WEEKDAY(L$1,2)=6),1,0),IF(AND((N76&lt;&gt;"")+(O76&lt;&gt;""),WEEKDAY(N$1,2)=6),1,0),IF(AND((P76&lt;&gt;"")+(Q76&lt;&gt;""),WEEKDAY(P$1,2)=6),1,0),IF(AND((R76&lt;&gt;"")+(S76&lt;&gt;""),WEEKDAY(R$1,2)=6),1,0),IF(AND((T76&lt;&gt;"")+(U76&lt;&gt;""),WEEKDAY(T$1,2)=6),1,0),IF(AND((V76&lt;&gt;"")+(W76&lt;&gt;""),WEEKDAY(V$1,2)=6),1,0),IF(AND((X76&lt;&gt;"")+(Y76&lt;&gt;""),WEEKDAY(X$1,2)=6),1,0),IF(AND((Z76&lt;&gt;"")+(AA76&lt;&gt;""),WEEKDAY(Z$1,2)=6),1,0),IF(AND((AB76&lt;&gt;"")+(AC76&lt;&gt;""),WEEKDAY(AB$1,2)=6),1,0),IF(AND((AD76&lt;&gt;"")+(AE76&lt;&gt;""),WEEKDAY(AD$1,2)=6),1,0),IF(AND((AF76&lt;&gt;"")+(AG76&lt;&gt;""),WEEKDAY(AF$1,2)=6),1,0),IF(AND((AH76&lt;&gt;"")+(AI76&lt;&gt;""),WEEKDAY(AH$1,2)=6),1,0),IF(AND((AJ76&lt;&gt;"")+(AK76&lt;&gt;""),WEEKDAY(AJ$1,2)=6),1,0),IF(AND((AL76&lt;&gt;"")+(AM76&lt;&gt;""),WEEKDAY(AL$1,2)=6),1,0),IF(AND((AN76&lt;&gt;"")+(AO76&lt;&gt;""),WEEKDAY(AN$1,2)=6),1,0),IF(AND((AP76&lt;&gt;"")+(AQ76&lt;&gt;""),WEEKDAY(AP$1,2)=6),1,0),IF(AND((AR76&lt;&gt;"")+(AS76&lt;&gt;""),WEEKDAY(AR$1,2)=6),1,0),IF(AND((AT76&lt;&gt;"")+(AU76&lt;&gt;""),WEEKDAY(AT$1,2)=6),1,0),IF(AND((AV76&lt;&gt;"")+(AW76&lt;&gt;""),WEEKDAY(AV$1,2)=6),1,0),IF(AND((AX76&lt;&gt;"")+(AY76&lt;&gt;""),WEEKDAY(AX$1,2)=6),1,0),IF(AND((AZ76&lt;&gt;"")+(BA76&lt;&gt;""),WEEKDAY(AZ$1,2)=6),1,0),IF(AND((BB76&lt;&gt;"")+(BC76&lt;&gt;""),WEEKDAY(BB$1,2)=6),1,0),IF(AND((BD76&lt;&gt;"")+(BE76&lt;&gt;""),WEEKDAY(BD$1,2)=6),1,0),IF(AND((BF76&lt;&gt;"")+(BG76&lt;&gt;""),WEEKDAY(BF$1,2)=6),1,0),IF(AND((BH76&lt;&gt;"")+(BI76&lt;&gt;""),WEEKDAY(BH$1,2)=6),1,0),IF(AND((BJ76&lt;&gt;"")+(BK76&lt;&gt;""),WEEKDAY(BJ$1,2)=6),1,0),IF(AND((BL76&lt;&gt;"")+(BM76&lt;&gt;""),WEEKDAY(BL$1,2)=6),1,0))</f>
        <v>3</v>
      </c>
    </row>
    <row r="77" spans="1:68" ht="16.5">
      <c r="A77" s="86" t="s">
        <v>123</v>
      </c>
      <c r="B77" s="86" t="s">
        <v>126</v>
      </c>
      <c r="C77" s="92" t="s">
        <v>127</v>
      </c>
      <c r="D77" s="91"/>
      <c r="E77" s="91"/>
      <c r="F77" s="88">
        <v>0.34861111111111109</v>
      </c>
      <c r="G77" s="88">
        <v>0.1763888888888889</v>
      </c>
      <c r="H77" s="88">
        <v>0.34583333333333333</v>
      </c>
      <c r="I77" s="85"/>
      <c r="J77" s="99">
        <v>0.35486111111111113</v>
      </c>
      <c r="K77" s="99">
        <v>0.16041666666666668</v>
      </c>
      <c r="L77" s="99">
        <v>0.35486111111111113</v>
      </c>
      <c r="M77" s="99">
        <v>0.24444444444444444</v>
      </c>
      <c r="N77" s="88">
        <v>0.35972222222222222</v>
      </c>
      <c r="O77" s="88">
        <v>0.16666666666666666</v>
      </c>
      <c r="P77" s="102">
        <v>0.38124999999999998</v>
      </c>
      <c r="Q77" s="95"/>
      <c r="R77" s="91"/>
      <c r="S77" s="91"/>
      <c r="T77" s="88">
        <v>0.41319444444444442</v>
      </c>
      <c r="U77" s="88">
        <v>0.19375000000000001</v>
      </c>
      <c r="V77" s="88">
        <v>0.35694444444444445</v>
      </c>
      <c r="W77" s="88">
        <v>0.17222222222222222</v>
      </c>
      <c r="X77" s="88">
        <v>0.35</v>
      </c>
      <c r="Y77" s="88">
        <v>0.14930555555555555</v>
      </c>
      <c r="Z77" s="88">
        <v>0.4</v>
      </c>
      <c r="AA77" s="88">
        <v>0.18333333333333332</v>
      </c>
      <c r="AB77" s="88">
        <v>0.34236111111111112</v>
      </c>
      <c r="AC77" s="88">
        <v>0.19027777777777777</v>
      </c>
      <c r="AD77" s="102">
        <v>0.41666666666666669</v>
      </c>
      <c r="AE77" s="95"/>
      <c r="AF77" s="91"/>
      <c r="AG77" s="91"/>
      <c r="AH77" s="96"/>
      <c r="AI77" s="96"/>
      <c r="AJ77" s="88">
        <v>0.36458333333333331</v>
      </c>
      <c r="AK77" s="88">
        <v>0.18194444444444444</v>
      </c>
      <c r="AL77" s="88">
        <v>0.36736111111111114</v>
      </c>
      <c r="AM77" s="88">
        <v>0.21666666666666667</v>
      </c>
      <c r="AN77" s="88">
        <v>0.35416666666666669</v>
      </c>
      <c r="AO77" s="88">
        <v>0.16597222222222222</v>
      </c>
      <c r="AP77" s="88">
        <v>0.36180555555555555</v>
      </c>
      <c r="AQ77" s="88">
        <v>0.15972222222222221</v>
      </c>
      <c r="AR77" s="95"/>
      <c r="AS77" s="102">
        <v>0.52638888888888891</v>
      </c>
      <c r="AT77" s="91"/>
      <c r="AU77" s="91"/>
      <c r="AV77" s="88">
        <v>0.35486111111111113</v>
      </c>
      <c r="AW77" s="88">
        <v>0.15277777777777779</v>
      </c>
      <c r="AX77" s="88">
        <v>0.36736111111111114</v>
      </c>
      <c r="AY77" s="88">
        <v>0.18124999999999999</v>
      </c>
      <c r="AZ77" s="88">
        <v>0.35069444444444442</v>
      </c>
      <c r="BA77" s="88">
        <v>0.18958333333333333</v>
      </c>
      <c r="BB77" s="88">
        <v>0.35347222222222224</v>
      </c>
      <c r="BC77" s="88">
        <v>0.15138888888888888</v>
      </c>
      <c r="BD77" s="88">
        <v>0.37013888888888891</v>
      </c>
      <c r="BE77" s="85"/>
      <c r="BF77" s="95"/>
      <c r="BG77" s="95"/>
      <c r="BH77" s="91"/>
      <c r="BI77" s="91"/>
      <c r="BJ77" s="88">
        <v>0.45277777777777778</v>
      </c>
      <c r="BK77" s="88">
        <v>0.19513888888888889</v>
      </c>
      <c r="BL77" s="99">
        <v>0.37777777777777777</v>
      </c>
      <c r="BM77" s="99">
        <v>0.16388888888888889</v>
      </c>
      <c r="BN77" s="85">
        <f>SUM(IF(AND(D77&lt;&gt;"",WEEKDAY(D$1,2)&lt;6),1,0),IF(AND(F77&lt;&gt;"",WEEKDAY(F$1,2)&lt;6),1,0),IF(AND(H77&lt;&gt;"",WEEKDAY(H$1,2)&lt;6),1,0),IF(AND(J77&lt;&gt;"",WEEKDAY(J$1,2)&lt;6),1,0),IF(AND(L77&lt;&gt;"",WEEKDAY(L$1,2)&lt;6),1,0),IF(AND(N77&lt;&gt;"",WEEKDAY(N$1,2)&lt;6),1,0),IF(AND(P77&lt;&gt;"",WEEKDAY(P$1,2)&lt;6),1,0),IF(AND(R77&lt;&gt;"",WEEKDAY(R$1,2)&lt;6),1,0),IF(AND(T77&lt;&gt;"",WEEKDAY(T$1,2)&lt;6),1,0),IF(AND(V77&lt;&gt;"",WEEKDAY(V$1,2)&lt;6),1,0),IF(AND(X77&lt;&gt;"",WEEKDAY(X$1,2)&lt;6),1,0),IF(AND(Z77&lt;&gt;"",WEEKDAY(Z$1,2)&lt;6),1,0),IF(AND(AB77&lt;&gt;"",WEEKDAY(AB$1,2)&lt;6),1,0),IF(AND(AD77&lt;&gt;"",WEEKDAY(AD$1,2)&lt;6),1,0),IF(AND(AF77&lt;&gt;"",WEEKDAY(AF$1,2)&lt;6),1,0),IF(AND(AH77&lt;&gt;"",WEEKDAY(AH$1,2)&lt;6),1,0),IF(AND(AJ77&lt;&gt;"",WEEKDAY(AJ$1,2)&lt;6),1,0),IF(AND(AL77&lt;&gt;"",WEEKDAY(AL$1,2)&lt;6),1,0),IF(AND(AN77&lt;&gt;"",WEEKDAY(AN$1,2)&lt;6),1,0),IF(AND(AP77&lt;&gt;"",WEEKDAY(AP$1,2)&lt;6),1,0),IF(AND(AR77&lt;&gt;"",WEEKDAY(AR$1,2)&lt;6),1,0),IF(AND(AT77&lt;&gt;"",WEEKDAY(AT$1,2)&lt;6),1,0),IF(AND(AV77&lt;&gt;"",WEEKDAY(AV$1,2)&lt;6),1,0),IF(AND(AX77&lt;&gt;"",WEEKDAY(AX$1,2)&lt;6),1,0),IF(AND(AZ77&lt;&gt;"",WEEKDAY(AZ$1,2)&lt;6),1,0),IF(AND(BB77&lt;&gt;"",WEEKDAY(BB$1,2)&lt;6),1,0),IF(AND(BD77&lt;&gt;"",WEEKDAY(BD$1,2)&lt;6),1,0),IF(AND(BF77&lt;&gt;"",WEEKDAY(BF$1,2)&lt;6),1,0),IF(AND(BH77&lt;&gt;"",WEEKDAY(BH$1,2)&lt;6),1,0),IF(AND(BJ77&lt;&gt;"",WEEKDAY(BJ$1,2)&lt;6),1,0),IF(AND(BL77&lt;&gt;"",WEEKDAY(BL$1,2)&lt;6),1,0))</f>
        <v>21</v>
      </c>
      <c r="BO77" s="85">
        <f>SUM(IF(AND(E77&lt;&gt;"",WEEKDAY(D$1,2)&lt;6),1,0),IF(AND(G77&lt;&gt;"",WEEKDAY(F$1,2)&lt;6),1,0),IF(AND(I77&lt;&gt;"",WEEKDAY(H$1,2)&lt;6),1,0),IF(AND(K77&lt;&gt;"",WEEKDAY(J$1,2)&lt;6),1,0),IF(AND(M77&lt;&gt;"",WEEKDAY(L$1,2)&lt;6),1,0),IF(AND(O77&lt;&gt;"",WEEKDAY(N$1,2)&lt;6),1,0),IF(AND(Q77&lt;&gt;"",WEEKDAY(P$1,2)&lt;6),1,0),IF(AND(S77&lt;&gt;"",WEEKDAY(R$1,2)&lt;6),1,0),IF(AND(U77&lt;&gt;"",WEEKDAY(T$1,2)&lt;6),1,0),IF(AND(W77&lt;&gt;"",WEEKDAY(V$1,2)&lt;6),1,0),IF(AND(Y77&lt;&gt;"",WEEKDAY(X$1,2)&lt;6),1,0),IF(AND(AA77&lt;&gt;"",WEEKDAY(Z$1,2)&lt;6),1,0),IF(AND(AC77&lt;&gt;"",WEEKDAY(AB$1,2)&lt;6),1,0),IF(AND(AE77&lt;&gt;"",WEEKDAY(AD$1,2)&lt;6),1,0),IF(AND(AG77&lt;&gt;"",WEEKDAY(AF$1,2)&lt;6),1,0),IF(AND(AI77&lt;&gt;"",WEEKDAY(AH$1,2)&lt;6),1,0),IF(AND(AK77&lt;&gt;"",WEEKDAY(AJ$1,2)&lt;6),1,0),IF(AND(AM77&lt;&gt;"",WEEKDAY(AL$1,2)&lt;6),1,0),IF(AND(AO77&lt;&gt;"",WEEKDAY(AN$1,2)&lt;6),1,0),IF(AND(AQ77&lt;&gt;"",WEEKDAY(AP$1,2)&lt;6),1,0),IF(AND(AS77&lt;&gt;"",WEEKDAY(AR$1,2)&lt;6),1,0),IF(AND(AU77&lt;&gt;"",WEEKDAY(AT$1,2)&lt;6),1,0),IF(AND(AW77&lt;&gt;"",WEEKDAY(AV$1,2)&lt;6),1,0),IF(AND(AY77&lt;&gt;"",WEEKDAY(AX$1,2)&lt;6),1,0),IF(AND(BA77&lt;&gt;"",WEEKDAY(AZ$1,2)&lt;6),1,0),IF(AND(BC77&lt;&gt;"",WEEKDAY(BB$1,2)&lt;6),1,0),IF(AND(BE77&lt;&gt;"",WEEKDAY(BD$1,2)&lt;6),1,0),IF(AND(BG77&lt;&gt;"",WEEKDAY(BF$1,2)&lt;6),1,0),IF(AND(BI77&lt;&gt;"",WEEKDAY(BH$1,2)&lt;6),1,0),IF(AND(BK77&lt;&gt;"",WEEKDAY(BJ$1,2)&lt;6),1,0),IF(AND(BM77&lt;&gt;"",WEEKDAY(BL$1,2)&lt;6),1,0))</f>
        <v>19</v>
      </c>
      <c r="BP77" s="85">
        <f>SUM(IF(AND((D77&lt;&gt;"")+(E77&lt;&gt;""),WEEKDAY(D$1,2)=6),1,0),IF(AND((F77&lt;&gt;"")+(G77&lt;&gt;""),WEEKDAY(F$1,2)=6),1,0),IF(AND((H77&lt;&gt;"")+(I77&lt;&gt;""),WEEKDAY(H$1,2)=6),1,0),IF(AND((J77&lt;&gt;"")+(K77&lt;&gt;""),WEEKDAY(J$1,2)=6),1,0),IF(AND((L77&lt;&gt;"")+(M77&lt;&gt;""),WEEKDAY(L$1,2)=6),1,0),IF(AND((N77&lt;&gt;"")+(O77&lt;&gt;""),WEEKDAY(N$1,2)=6),1,0),IF(AND((P77&lt;&gt;"")+(Q77&lt;&gt;""),WEEKDAY(P$1,2)=6),1,0),IF(AND((R77&lt;&gt;"")+(S77&lt;&gt;""),WEEKDAY(R$1,2)=6),1,0),IF(AND((T77&lt;&gt;"")+(U77&lt;&gt;""),WEEKDAY(T$1,2)=6),1,0),IF(AND((V77&lt;&gt;"")+(W77&lt;&gt;""),WEEKDAY(V$1,2)=6),1,0),IF(AND((X77&lt;&gt;"")+(Y77&lt;&gt;""),WEEKDAY(X$1,2)=6),1,0),IF(AND((Z77&lt;&gt;"")+(AA77&lt;&gt;""),WEEKDAY(Z$1,2)=6),1,0),IF(AND((AB77&lt;&gt;"")+(AC77&lt;&gt;""),WEEKDAY(AB$1,2)=6),1,0),IF(AND((AD77&lt;&gt;"")+(AE77&lt;&gt;""),WEEKDAY(AD$1,2)=6),1,0),IF(AND((AF77&lt;&gt;"")+(AG77&lt;&gt;""),WEEKDAY(AF$1,2)=6),1,0),IF(AND((AH77&lt;&gt;"")+(AI77&lt;&gt;""),WEEKDAY(AH$1,2)=6),1,0),IF(AND((AJ77&lt;&gt;"")+(AK77&lt;&gt;""),WEEKDAY(AJ$1,2)=6),1,0),IF(AND((AL77&lt;&gt;"")+(AM77&lt;&gt;""),WEEKDAY(AL$1,2)=6),1,0),IF(AND((AN77&lt;&gt;"")+(AO77&lt;&gt;""),WEEKDAY(AN$1,2)=6),1,0),IF(AND((AP77&lt;&gt;"")+(AQ77&lt;&gt;""),WEEKDAY(AP$1,2)=6),1,0),IF(AND((AR77&lt;&gt;"")+(AS77&lt;&gt;""),WEEKDAY(AR$1,2)=6),1,0),IF(AND((AT77&lt;&gt;"")+(AU77&lt;&gt;""),WEEKDAY(AT$1,2)=6),1,0),IF(AND((AV77&lt;&gt;"")+(AW77&lt;&gt;""),WEEKDAY(AV$1,2)=6),1,0),IF(AND((AX77&lt;&gt;"")+(AY77&lt;&gt;""),WEEKDAY(AX$1,2)=6),1,0),IF(AND((AZ77&lt;&gt;"")+(BA77&lt;&gt;""),WEEKDAY(AZ$1,2)=6),1,0),IF(AND((BB77&lt;&gt;"")+(BC77&lt;&gt;""),WEEKDAY(BB$1,2)=6),1,0),IF(AND((BD77&lt;&gt;"")+(BE77&lt;&gt;""),WEEKDAY(BD$1,2)=6),1,0),IF(AND((BF77&lt;&gt;"")+(BG77&lt;&gt;""),WEEKDAY(BF$1,2)=6),1,0),IF(AND((BH77&lt;&gt;"")+(BI77&lt;&gt;""),WEEKDAY(BH$1,2)=6),1,0),IF(AND((BJ77&lt;&gt;"")+(BK77&lt;&gt;""),WEEKDAY(BJ$1,2)=6),1,0),IF(AND((BL77&lt;&gt;"")+(BM77&lt;&gt;""),WEEKDAY(BL$1,2)=6),1,0))</f>
        <v>3</v>
      </c>
    </row>
    <row r="78" spans="1:68" ht="16.5">
      <c r="A78" s="86" t="s">
        <v>123</v>
      </c>
      <c r="B78" s="86" t="s">
        <v>641</v>
      </c>
      <c r="C78" s="92" t="s">
        <v>646</v>
      </c>
      <c r="D78" s="91"/>
      <c r="E78" s="91"/>
      <c r="F78" s="88"/>
      <c r="G78" s="88"/>
      <c r="H78" s="88"/>
      <c r="I78" s="85"/>
      <c r="J78" s="99"/>
      <c r="K78" s="99"/>
      <c r="L78" s="99"/>
      <c r="M78" s="99"/>
      <c r="N78" s="88"/>
      <c r="O78" s="88"/>
      <c r="P78" s="102"/>
      <c r="Q78" s="95"/>
      <c r="R78" s="91"/>
      <c r="S78" s="91"/>
      <c r="T78" s="88"/>
      <c r="U78" s="88"/>
      <c r="V78" s="88"/>
      <c r="W78" s="88"/>
      <c r="X78" s="88">
        <v>0.36527777777777776</v>
      </c>
      <c r="Y78" s="88">
        <v>0.12916666666666668</v>
      </c>
      <c r="Z78" s="88">
        <v>0.36458333333333331</v>
      </c>
      <c r="AA78" s="88">
        <v>0.13472222222222222</v>
      </c>
      <c r="AB78" s="85"/>
      <c r="AC78" s="88">
        <v>0.14583333333333334</v>
      </c>
      <c r="AD78" s="102">
        <v>0.35902777777777778</v>
      </c>
      <c r="AE78" s="95"/>
      <c r="AF78" s="91"/>
      <c r="AG78" s="91"/>
      <c r="AH78" s="96"/>
      <c r="AI78" s="96"/>
      <c r="AJ78" s="88">
        <v>0.375</v>
      </c>
      <c r="AK78" s="88">
        <v>0.1388888888888889</v>
      </c>
      <c r="AL78" s="88">
        <v>0.31527777777777777</v>
      </c>
      <c r="AM78" s="88">
        <v>0.12916666666666668</v>
      </c>
      <c r="AN78" s="88">
        <v>0.37361111111111112</v>
      </c>
      <c r="AO78" s="88">
        <v>0.15763888888888888</v>
      </c>
      <c r="AP78" s="88">
        <v>0.37083333333333335</v>
      </c>
      <c r="AQ78" s="88">
        <v>0.13055555555555556</v>
      </c>
      <c r="AR78" s="102">
        <v>0.37986111111111109</v>
      </c>
      <c r="AS78" s="95"/>
      <c r="AT78" s="91"/>
      <c r="AU78" s="91"/>
      <c r="AV78" s="88">
        <v>0.37986111111111109</v>
      </c>
      <c r="AW78" s="88">
        <v>0.11805555555555555</v>
      </c>
      <c r="AX78" s="88">
        <v>0.37986111111111109</v>
      </c>
      <c r="AY78" s="88">
        <v>0.12361111111111112</v>
      </c>
      <c r="AZ78" s="88">
        <v>0.38263888888888886</v>
      </c>
      <c r="BA78" s="88">
        <v>0.13680555555555557</v>
      </c>
      <c r="BB78" s="88">
        <v>0.37222222222222223</v>
      </c>
      <c r="BC78" s="88">
        <v>0.1451388888888889</v>
      </c>
      <c r="BD78" s="88">
        <v>0.37638888888888888</v>
      </c>
      <c r="BE78" s="85"/>
      <c r="BF78" s="95"/>
      <c r="BG78" s="95"/>
      <c r="BH78" s="91"/>
      <c r="BI78" s="91"/>
      <c r="BJ78" s="88">
        <v>0.375</v>
      </c>
      <c r="BK78" s="88">
        <v>0.20902777777777778</v>
      </c>
      <c r="BL78" s="99">
        <v>0.36875000000000002</v>
      </c>
      <c r="BM78" s="99">
        <v>0.13680555555555557</v>
      </c>
      <c r="BN78" s="85">
        <f>SUM(IF(AND(D78&lt;&gt;"",WEEKDAY(D$1,2)&lt;6),1,0),IF(AND(F78&lt;&gt;"",WEEKDAY(F$1,2)&lt;6),1,0),IF(AND(H78&lt;&gt;"",WEEKDAY(H$1,2)&lt;6),1,0),IF(AND(J78&lt;&gt;"",WEEKDAY(J$1,2)&lt;6),1,0),IF(AND(L78&lt;&gt;"",WEEKDAY(L$1,2)&lt;6),1,0),IF(AND(N78&lt;&gt;"",WEEKDAY(N$1,2)&lt;6),1,0),IF(AND(P78&lt;&gt;"",WEEKDAY(P$1,2)&lt;6),1,0),IF(AND(R78&lt;&gt;"",WEEKDAY(R$1,2)&lt;6),1,0),IF(AND(T78&lt;&gt;"",WEEKDAY(T$1,2)&lt;6),1,0),IF(AND(V78&lt;&gt;"",WEEKDAY(V$1,2)&lt;6),1,0),IF(AND(X78&lt;&gt;"",WEEKDAY(X$1,2)&lt;6),1,0),IF(AND(Z78&lt;&gt;"",WEEKDAY(Z$1,2)&lt;6),1,0),IF(AND(AB78&lt;&gt;"",WEEKDAY(AB$1,2)&lt;6),1,0),IF(AND(AD78&lt;&gt;"",WEEKDAY(AD$1,2)&lt;6),1,0),IF(AND(AF78&lt;&gt;"",WEEKDAY(AF$1,2)&lt;6),1,0),IF(AND(AH78&lt;&gt;"",WEEKDAY(AH$1,2)&lt;6),1,0),IF(AND(AJ78&lt;&gt;"",WEEKDAY(AJ$1,2)&lt;6),1,0),IF(AND(AL78&lt;&gt;"",WEEKDAY(AL$1,2)&lt;6),1,0),IF(AND(AN78&lt;&gt;"",WEEKDAY(AN$1,2)&lt;6),1,0),IF(AND(AP78&lt;&gt;"",WEEKDAY(AP$1,2)&lt;6),1,0),IF(AND(AR78&lt;&gt;"",WEEKDAY(AR$1,2)&lt;6),1,0),IF(AND(AT78&lt;&gt;"",WEEKDAY(AT$1,2)&lt;6),1,0),IF(AND(AV78&lt;&gt;"",WEEKDAY(AV$1,2)&lt;6),1,0),IF(AND(AX78&lt;&gt;"",WEEKDAY(AX$1,2)&lt;6),1,0),IF(AND(AZ78&lt;&gt;"",WEEKDAY(AZ$1,2)&lt;6),1,0),IF(AND(BB78&lt;&gt;"",WEEKDAY(BB$1,2)&lt;6),1,0),IF(AND(BD78&lt;&gt;"",WEEKDAY(BD$1,2)&lt;6),1,0),IF(AND(BF78&lt;&gt;"",WEEKDAY(BF$1,2)&lt;6),1,0),IF(AND(BH78&lt;&gt;"",WEEKDAY(BH$1,2)&lt;6),1,0),IF(AND(BJ78&lt;&gt;"",WEEKDAY(BJ$1,2)&lt;6),1,0),IF(AND(BL78&lt;&gt;"",WEEKDAY(BL$1,2)&lt;6),1,0))</f>
        <v>13</v>
      </c>
      <c r="BO78" s="85">
        <f>SUM(IF(AND(E78&lt;&gt;"",WEEKDAY(D$1,2)&lt;6),1,0),IF(AND(G78&lt;&gt;"",WEEKDAY(F$1,2)&lt;6),1,0),IF(AND(I78&lt;&gt;"",WEEKDAY(H$1,2)&lt;6),1,0),IF(AND(K78&lt;&gt;"",WEEKDAY(J$1,2)&lt;6),1,0),IF(AND(M78&lt;&gt;"",WEEKDAY(L$1,2)&lt;6),1,0),IF(AND(O78&lt;&gt;"",WEEKDAY(N$1,2)&lt;6),1,0),IF(AND(Q78&lt;&gt;"",WEEKDAY(P$1,2)&lt;6),1,0),IF(AND(S78&lt;&gt;"",WEEKDAY(R$1,2)&lt;6),1,0),IF(AND(U78&lt;&gt;"",WEEKDAY(T$1,2)&lt;6),1,0),IF(AND(W78&lt;&gt;"",WEEKDAY(V$1,2)&lt;6),1,0),IF(AND(Y78&lt;&gt;"",WEEKDAY(X$1,2)&lt;6),1,0),IF(AND(AA78&lt;&gt;"",WEEKDAY(Z$1,2)&lt;6),1,0),IF(AND(AC78&lt;&gt;"",WEEKDAY(AB$1,2)&lt;6),1,0),IF(AND(AE78&lt;&gt;"",WEEKDAY(AD$1,2)&lt;6),1,0),IF(AND(AG78&lt;&gt;"",WEEKDAY(AF$1,2)&lt;6),1,0),IF(AND(AI78&lt;&gt;"",WEEKDAY(AH$1,2)&lt;6),1,0),IF(AND(AK78&lt;&gt;"",WEEKDAY(AJ$1,2)&lt;6),1,0),IF(AND(AM78&lt;&gt;"",WEEKDAY(AL$1,2)&lt;6),1,0),IF(AND(AO78&lt;&gt;"",WEEKDAY(AN$1,2)&lt;6),1,0),IF(AND(AQ78&lt;&gt;"",WEEKDAY(AP$1,2)&lt;6),1,0),IF(AND(AS78&lt;&gt;"",WEEKDAY(AR$1,2)&lt;6),1,0),IF(AND(AU78&lt;&gt;"",WEEKDAY(AT$1,2)&lt;6),1,0),IF(AND(AW78&lt;&gt;"",WEEKDAY(AV$1,2)&lt;6),1,0),IF(AND(AY78&lt;&gt;"",WEEKDAY(AX$1,2)&lt;6),1,0),IF(AND(BA78&lt;&gt;"",WEEKDAY(AZ$1,2)&lt;6),1,0),IF(AND(BC78&lt;&gt;"",WEEKDAY(BB$1,2)&lt;6),1,0),IF(AND(BE78&lt;&gt;"",WEEKDAY(BD$1,2)&lt;6),1,0),IF(AND(BG78&lt;&gt;"",WEEKDAY(BF$1,2)&lt;6),1,0),IF(AND(BI78&lt;&gt;"",WEEKDAY(BH$1,2)&lt;6),1,0),IF(AND(BK78&lt;&gt;"",WEEKDAY(BJ$1,2)&lt;6),1,0),IF(AND(BM78&lt;&gt;"",WEEKDAY(BL$1,2)&lt;6),1,0))</f>
        <v>13</v>
      </c>
      <c r="BP78" s="85">
        <f>SUM(IF(AND((D78&lt;&gt;"")+(E78&lt;&gt;""),WEEKDAY(D$1,2)=6),1,0),IF(AND((F78&lt;&gt;"")+(G78&lt;&gt;""),WEEKDAY(F$1,2)=6),1,0),IF(AND((H78&lt;&gt;"")+(I78&lt;&gt;""),WEEKDAY(H$1,2)=6),1,0),IF(AND((J78&lt;&gt;"")+(K78&lt;&gt;""),WEEKDAY(J$1,2)=6),1,0),IF(AND((L78&lt;&gt;"")+(M78&lt;&gt;""),WEEKDAY(L$1,2)=6),1,0),IF(AND((N78&lt;&gt;"")+(O78&lt;&gt;""),WEEKDAY(N$1,2)=6),1,0),IF(AND((P78&lt;&gt;"")+(Q78&lt;&gt;""),WEEKDAY(P$1,2)=6),1,0),IF(AND((R78&lt;&gt;"")+(S78&lt;&gt;""),WEEKDAY(R$1,2)=6),1,0),IF(AND((T78&lt;&gt;"")+(U78&lt;&gt;""),WEEKDAY(T$1,2)=6),1,0),IF(AND((V78&lt;&gt;"")+(W78&lt;&gt;""),WEEKDAY(V$1,2)=6),1,0),IF(AND((X78&lt;&gt;"")+(Y78&lt;&gt;""),WEEKDAY(X$1,2)=6),1,0),IF(AND((Z78&lt;&gt;"")+(AA78&lt;&gt;""),WEEKDAY(Z$1,2)=6),1,0),IF(AND((AB78&lt;&gt;"")+(AC78&lt;&gt;""),WEEKDAY(AB$1,2)=6),1,0),IF(AND((AD78&lt;&gt;"")+(AE78&lt;&gt;""),WEEKDAY(AD$1,2)=6),1,0),IF(AND((AF78&lt;&gt;"")+(AG78&lt;&gt;""),WEEKDAY(AF$1,2)=6),1,0),IF(AND((AH78&lt;&gt;"")+(AI78&lt;&gt;""),WEEKDAY(AH$1,2)=6),1,0),IF(AND((AJ78&lt;&gt;"")+(AK78&lt;&gt;""),WEEKDAY(AJ$1,2)=6),1,0),IF(AND((AL78&lt;&gt;"")+(AM78&lt;&gt;""),WEEKDAY(AL$1,2)=6),1,0),IF(AND((AN78&lt;&gt;"")+(AO78&lt;&gt;""),WEEKDAY(AN$1,2)=6),1,0),IF(AND((AP78&lt;&gt;"")+(AQ78&lt;&gt;""),WEEKDAY(AP$1,2)=6),1,0),IF(AND((AR78&lt;&gt;"")+(AS78&lt;&gt;""),WEEKDAY(AR$1,2)=6),1,0),IF(AND((AT78&lt;&gt;"")+(AU78&lt;&gt;""),WEEKDAY(AT$1,2)=6),1,0),IF(AND((AV78&lt;&gt;"")+(AW78&lt;&gt;""),WEEKDAY(AV$1,2)=6),1,0),IF(AND((AX78&lt;&gt;"")+(AY78&lt;&gt;""),WEEKDAY(AX$1,2)=6),1,0),IF(AND((AZ78&lt;&gt;"")+(BA78&lt;&gt;""),WEEKDAY(AZ$1,2)=6),1,0),IF(AND((BB78&lt;&gt;"")+(BC78&lt;&gt;""),WEEKDAY(BB$1,2)=6),1,0),IF(AND((BD78&lt;&gt;"")+(BE78&lt;&gt;""),WEEKDAY(BD$1,2)=6),1,0),IF(AND((BF78&lt;&gt;"")+(BG78&lt;&gt;""),WEEKDAY(BF$1,2)=6),1,0),IF(AND((BH78&lt;&gt;"")+(BI78&lt;&gt;""),WEEKDAY(BH$1,2)=6),1,0),IF(AND((BJ78&lt;&gt;"")+(BK78&lt;&gt;""),WEEKDAY(BJ$1,2)=6),1,0),IF(AND((BL78&lt;&gt;"")+(BM78&lt;&gt;""),WEEKDAY(BL$1,2)=6),1,0))</f>
        <v>2</v>
      </c>
    </row>
    <row r="79" spans="1:68" ht="16.5">
      <c r="A79" s="86" t="s">
        <v>123</v>
      </c>
      <c r="B79" s="86" t="s">
        <v>128</v>
      </c>
      <c r="C79" s="92" t="s">
        <v>194</v>
      </c>
      <c r="D79" s="91"/>
      <c r="E79" s="91"/>
      <c r="F79" s="88">
        <v>0.3972222222222222</v>
      </c>
      <c r="G79" s="85"/>
      <c r="H79" s="85"/>
      <c r="I79" s="85"/>
      <c r="J79" s="99">
        <v>0.40833333333333333</v>
      </c>
      <c r="K79" s="98"/>
      <c r="L79" s="99">
        <v>0.42916666666666664</v>
      </c>
      <c r="M79" s="99">
        <v>0.18819444444444444</v>
      </c>
      <c r="N79" s="88">
        <v>0.40138888888888891</v>
      </c>
      <c r="O79" s="88">
        <v>0.17708333333333334</v>
      </c>
      <c r="P79" s="95"/>
      <c r="Q79" s="95"/>
      <c r="R79" s="91"/>
      <c r="S79" s="91"/>
      <c r="T79" s="88">
        <v>0.36666666666666664</v>
      </c>
      <c r="U79" s="88">
        <v>0.13472222222222222</v>
      </c>
      <c r="V79" s="88">
        <v>0.35</v>
      </c>
      <c r="W79" s="88">
        <v>0.12569444444444444</v>
      </c>
      <c r="X79" s="88">
        <v>0.35555555555555557</v>
      </c>
      <c r="Y79" s="88">
        <v>0.13958333333333334</v>
      </c>
      <c r="Z79" s="88">
        <v>0</v>
      </c>
      <c r="AA79" s="88">
        <v>0.23333333333333334</v>
      </c>
      <c r="AB79" s="88">
        <v>0.37430555555555556</v>
      </c>
      <c r="AC79" s="88">
        <v>0.16666666666666666</v>
      </c>
      <c r="AD79" s="102">
        <v>0.44374999999999998</v>
      </c>
      <c r="AE79" s="95"/>
      <c r="AF79" s="91"/>
      <c r="AG79" s="91"/>
      <c r="AH79" s="96"/>
      <c r="AI79" s="96"/>
      <c r="AJ79" s="88">
        <v>0.38611111111111113</v>
      </c>
      <c r="AK79" s="88">
        <v>0.17083333333333334</v>
      </c>
      <c r="AL79" s="88">
        <v>0.37152777777777779</v>
      </c>
      <c r="AM79" s="85"/>
      <c r="AN79" s="88">
        <v>0.375</v>
      </c>
      <c r="AO79" s="88">
        <v>0.14374999999999999</v>
      </c>
      <c r="AP79" s="88">
        <v>0.37013888888888891</v>
      </c>
      <c r="AQ79" s="88">
        <v>0.16041666666666668</v>
      </c>
      <c r="AR79" s="102">
        <v>0.39930555555555558</v>
      </c>
      <c r="AS79" s="95"/>
      <c r="AT79" s="91"/>
      <c r="AU79" s="91"/>
      <c r="AV79" s="88">
        <v>0.38055555555555554</v>
      </c>
      <c r="AW79" s="88">
        <v>0.1388888888888889</v>
      </c>
      <c r="AX79" s="88">
        <v>0.35972222222222222</v>
      </c>
      <c r="AY79" s="85"/>
      <c r="AZ79" s="88">
        <v>0.39791666666666664</v>
      </c>
      <c r="BA79" s="85"/>
      <c r="BB79" s="88">
        <v>0.40069444444444446</v>
      </c>
      <c r="BC79" s="88">
        <v>0.15972222222222221</v>
      </c>
      <c r="BD79" s="88">
        <v>0.38541666666666669</v>
      </c>
      <c r="BE79" s="85"/>
      <c r="BF79" s="95"/>
      <c r="BG79" s="95"/>
      <c r="BH79" s="91"/>
      <c r="BI79" s="91"/>
      <c r="BJ79" s="88">
        <v>0.38263888888888886</v>
      </c>
      <c r="BK79" s="88">
        <v>0.18888888888888888</v>
      </c>
      <c r="BL79" s="99">
        <v>0.37638888888888888</v>
      </c>
      <c r="BM79" s="99">
        <v>0.19583333333333333</v>
      </c>
      <c r="BN79" s="85">
        <f>SUM(IF(AND(D79&lt;&gt;"",WEEKDAY(D$1,2)&lt;6),1,0),IF(AND(F79&lt;&gt;"",WEEKDAY(F$1,2)&lt;6),1,0),IF(AND(H79&lt;&gt;"",WEEKDAY(H$1,2)&lt;6),1,0),IF(AND(J79&lt;&gt;"",WEEKDAY(J$1,2)&lt;6),1,0),IF(AND(L79&lt;&gt;"",WEEKDAY(L$1,2)&lt;6),1,0),IF(AND(N79&lt;&gt;"",WEEKDAY(N$1,2)&lt;6),1,0),IF(AND(P79&lt;&gt;"",WEEKDAY(P$1,2)&lt;6),1,0),IF(AND(R79&lt;&gt;"",WEEKDAY(R$1,2)&lt;6),1,0),IF(AND(T79&lt;&gt;"",WEEKDAY(T$1,2)&lt;6),1,0),IF(AND(V79&lt;&gt;"",WEEKDAY(V$1,2)&lt;6),1,0),IF(AND(X79&lt;&gt;"",WEEKDAY(X$1,2)&lt;6),1,0),IF(AND(Z79&lt;&gt;"",WEEKDAY(Z$1,2)&lt;6),1,0),IF(AND(AB79&lt;&gt;"",WEEKDAY(AB$1,2)&lt;6),1,0),IF(AND(AD79&lt;&gt;"",WEEKDAY(AD$1,2)&lt;6),1,0),IF(AND(AF79&lt;&gt;"",WEEKDAY(AF$1,2)&lt;6),1,0),IF(AND(AH79&lt;&gt;"",WEEKDAY(AH$1,2)&lt;6),1,0),IF(AND(AJ79&lt;&gt;"",WEEKDAY(AJ$1,2)&lt;6),1,0),IF(AND(AL79&lt;&gt;"",WEEKDAY(AL$1,2)&lt;6),1,0),IF(AND(AN79&lt;&gt;"",WEEKDAY(AN$1,2)&lt;6),1,0),IF(AND(AP79&lt;&gt;"",WEEKDAY(AP$1,2)&lt;6),1,0),IF(AND(AR79&lt;&gt;"",WEEKDAY(AR$1,2)&lt;6),1,0),IF(AND(AT79&lt;&gt;"",WEEKDAY(AT$1,2)&lt;6),1,0),IF(AND(AV79&lt;&gt;"",WEEKDAY(AV$1,2)&lt;6),1,0),IF(AND(AX79&lt;&gt;"",WEEKDAY(AX$1,2)&lt;6),1,0),IF(AND(AZ79&lt;&gt;"",WEEKDAY(AZ$1,2)&lt;6),1,0),IF(AND(BB79&lt;&gt;"",WEEKDAY(BB$1,2)&lt;6),1,0),IF(AND(BD79&lt;&gt;"",WEEKDAY(BD$1,2)&lt;6),1,0),IF(AND(BF79&lt;&gt;"",WEEKDAY(BF$1,2)&lt;6),1,0),IF(AND(BH79&lt;&gt;"",WEEKDAY(BH$1,2)&lt;6),1,0),IF(AND(BJ79&lt;&gt;"",WEEKDAY(BJ$1,2)&lt;6),1,0),IF(AND(BL79&lt;&gt;"",WEEKDAY(BL$1,2)&lt;6),1,0))</f>
        <v>20</v>
      </c>
      <c r="BO79" s="85">
        <f>SUM(IF(AND(E79&lt;&gt;"",WEEKDAY(D$1,2)&lt;6),1,0),IF(AND(G79&lt;&gt;"",WEEKDAY(F$1,2)&lt;6),1,0),IF(AND(I79&lt;&gt;"",WEEKDAY(H$1,2)&lt;6),1,0),IF(AND(K79&lt;&gt;"",WEEKDAY(J$1,2)&lt;6),1,0),IF(AND(M79&lt;&gt;"",WEEKDAY(L$1,2)&lt;6),1,0),IF(AND(O79&lt;&gt;"",WEEKDAY(N$1,2)&lt;6),1,0),IF(AND(Q79&lt;&gt;"",WEEKDAY(P$1,2)&lt;6),1,0),IF(AND(S79&lt;&gt;"",WEEKDAY(R$1,2)&lt;6),1,0),IF(AND(U79&lt;&gt;"",WEEKDAY(T$1,2)&lt;6),1,0),IF(AND(W79&lt;&gt;"",WEEKDAY(V$1,2)&lt;6),1,0),IF(AND(Y79&lt;&gt;"",WEEKDAY(X$1,2)&lt;6),1,0),IF(AND(AA79&lt;&gt;"",WEEKDAY(Z$1,2)&lt;6),1,0),IF(AND(AC79&lt;&gt;"",WEEKDAY(AB$1,2)&lt;6),1,0),IF(AND(AE79&lt;&gt;"",WEEKDAY(AD$1,2)&lt;6),1,0),IF(AND(AG79&lt;&gt;"",WEEKDAY(AF$1,2)&lt;6),1,0),IF(AND(AI79&lt;&gt;"",WEEKDAY(AH$1,2)&lt;6),1,0),IF(AND(AK79&lt;&gt;"",WEEKDAY(AJ$1,2)&lt;6),1,0),IF(AND(AM79&lt;&gt;"",WEEKDAY(AL$1,2)&lt;6),1,0),IF(AND(AO79&lt;&gt;"",WEEKDAY(AN$1,2)&lt;6),1,0),IF(AND(AQ79&lt;&gt;"",WEEKDAY(AP$1,2)&lt;6),1,0),IF(AND(AS79&lt;&gt;"",WEEKDAY(AR$1,2)&lt;6),1,0),IF(AND(AU79&lt;&gt;"",WEEKDAY(AT$1,2)&lt;6),1,0),IF(AND(AW79&lt;&gt;"",WEEKDAY(AV$1,2)&lt;6),1,0),IF(AND(AY79&lt;&gt;"",WEEKDAY(AX$1,2)&lt;6),1,0),IF(AND(BA79&lt;&gt;"",WEEKDAY(AZ$1,2)&lt;6),1,0),IF(AND(BC79&lt;&gt;"",WEEKDAY(BB$1,2)&lt;6),1,0),IF(AND(BE79&lt;&gt;"",WEEKDAY(BD$1,2)&lt;6),1,0),IF(AND(BG79&lt;&gt;"",WEEKDAY(BF$1,2)&lt;6),1,0),IF(AND(BI79&lt;&gt;"",WEEKDAY(BH$1,2)&lt;6),1,0),IF(AND(BK79&lt;&gt;"",WEEKDAY(BJ$1,2)&lt;6),1,0),IF(AND(BM79&lt;&gt;"",WEEKDAY(BL$1,2)&lt;6),1,0))</f>
        <v>14</v>
      </c>
      <c r="BP79" s="85">
        <f>SUM(IF(AND((D79&lt;&gt;"")+(E79&lt;&gt;""),WEEKDAY(D$1,2)=6),1,0),IF(AND((F79&lt;&gt;"")+(G79&lt;&gt;""),WEEKDAY(F$1,2)=6),1,0),IF(AND((H79&lt;&gt;"")+(I79&lt;&gt;""),WEEKDAY(H$1,2)=6),1,0),IF(AND((J79&lt;&gt;"")+(K79&lt;&gt;""),WEEKDAY(J$1,2)=6),1,0),IF(AND((L79&lt;&gt;"")+(M79&lt;&gt;""),WEEKDAY(L$1,2)=6),1,0),IF(AND((N79&lt;&gt;"")+(O79&lt;&gt;""),WEEKDAY(N$1,2)=6),1,0),IF(AND((P79&lt;&gt;"")+(Q79&lt;&gt;""),WEEKDAY(P$1,2)=6),1,0),IF(AND((R79&lt;&gt;"")+(S79&lt;&gt;""),WEEKDAY(R$1,2)=6),1,0),IF(AND((T79&lt;&gt;"")+(U79&lt;&gt;""),WEEKDAY(T$1,2)=6),1,0),IF(AND((V79&lt;&gt;"")+(W79&lt;&gt;""),WEEKDAY(V$1,2)=6),1,0),IF(AND((X79&lt;&gt;"")+(Y79&lt;&gt;""),WEEKDAY(X$1,2)=6),1,0),IF(AND((Z79&lt;&gt;"")+(AA79&lt;&gt;""),WEEKDAY(Z$1,2)=6),1,0),IF(AND((AB79&lt;&gt;"")+(AC79&lt;&gt;""),WEEKDAY(AB$1,2)=6),1,0),IF(AND((AD79&lt;&gt;"")+(AE79&lt;&gt;""),WEEKDAY(AD$1,2)=6),1,0),IF(AND((AF79&lt;&gt;"")+(AG79&lt;&gt;""),WEEKDAY(AF$1,2)=6),1,0),IF(AND((AH79&lt;&gt;"")+(AI79&lt;&gt;""),WEEKDAY(AH$1,2)=6),1,0),IF(AND((AJ79&lt;&gt;"")+(AK79&lt;&gt;""),WEEKDAY(AJ$1,2)=6),1,0),IF(AND((AL79&lt;&gt;"")+(AM79&lt;&gt;""),WEEKDAY(AL$1,2)=6),1,0),IF(AND((AN79&lt;&gt;"")+(AO79&lt;&gt;""),WEEKDAY(AN$1,2)=6),1,0),IF(AND((AP79&lt;&gt;"")+(AQ79&lt;&gt;""),WEEKDAY(AP$1,2)=6),1,0),IF(AND((AR79&lt;&gt;"")+(AS79&lt;&gt;""),WEEKDAY(AR$1,2)=6),1,0),IF(AND((AT79&lt;&gt;"")+(AU79&lt;&gt;""),WEEKDAY(AT$1,2)=6),1,0),IF(AND((AV79&lt;&gt;"")+(AW79&lt;&gt;""),WEEKDAY(AV$1,2)=6),1,0),IF(AND((AX79&lt;&gt;"")+(AY79&lt;&gt;""),WEEKDAY(AX$1,2)=6),1,0),IF(AND((AZ79&lt;&gt;"")+(BA79&lt;&gt;""),WEEKDAY(AZ$1,2)=6),1,0),IF(AND((BB79&lt;&gt;"")+(BC79&lt;&gt;""),WEEKDAY(BB$1,2)=6),1,0),IF(AND((BD79&lt;&gt;"")+(BE79&lt;&gt;""),WEEKDAY(BD$1,2)=6),1,0),IF(AND((BF79&lt;&gt;"")+(BG79&lt;&gt;""),WEEKDAY(BF$1,2)=6),1,0),IF(AND((BH79&lt;&gt;"")+(BI79&lt;&gt;""),WEEKDAY(BH$1,2)=6),1,0),IF(AND((BJ79&lt;&gt;"")+(BK79&lt;&gt;""),WEEKDAY(BJ$1,2)=6),1,0),IF(AND((BL79&lt;&gt;"")+(BM79&lt;&gt;""),WEEKDAY(BL$1,2)=6),1,0))</f>
        <v>2</v>
      </c>
    </row>
    <row r="80" spans="1:68" ht="16.5">
      <c r="A80" s="86" t="s">
        <v>123</v>
      </c>
      <c r="B80" s="86" t="s">
        <v>130</v>
      </c>
      <c r="C80" s="92" t="s">
        <v>131</v>
      </c>
      <c r="D80" s="91"/>
      <c r="E80" s="91"/>
      <c r="F80" s="88">
        <v>0.39027777777777778</v>
      </c>
      <c r="G80" s="88">
        <v>0.2013888888888889</v>
      </c>
      <c r="H80" s="88">
        <v>0.38124999999999998</v>
      </c>
      <c r="I80" s="85"/>
      <c r="J80" s="99">
        <v>0.38055555555555554</v>
      </c>
      <c r="K80" s="99">
        <v>0.17708333333333334</v>
      </c>
      <c r="L80" s="99">
        <v>0.37083333333333335</v>
      </c>
      <c r="M80" s="98"/>
      <c r="N80" s="88">
        <v>0.38124999999999998</v>
      </c>
      <c r="O80" s="88">
        <v>0.21736111111111112</v>
      </c>
      <c r="P80" s="95"/>
      <c r="Q80" s="95"/>
      <c r="R80" s="91"/>
      <c r="S80" s="91"/>
      <c r="T80" s="88">
        <v>0.38194444444444442</v>
      </c>
      <c r="U80" s="88">
        <v>0.17222222222222222</v>
      </c>
      <c r="V80" s="88">
        <v>0.49722222222222223</v>
      </c>
      <c r="W80" s="88">
        <v>0.16250000000000001</v>
      </c>
      <c r="X80" s="88">
        <v>0.37083333333333335</v>
      </c>
      <c r="Y80" s="88">
        <v>0.22013888888888888</v>
      </c>
      <c r="Z80" s="88">
        <v>0.40069444444444446</v>
      </c>
      <c r="AA80" s="88">
        <v>0.16250000000000001</v>
      </c>
      <c r="AB80" s="88">
        <v>0.48749999999999999</v>
      </c>
      <c r="AC80" s="88">
        <v>0.17291666666666666</v>
      </c>
      <c r="AD80" s="95"/>
      <c r="AE80" s="95"/>
      <c r="AF80" s="91"/>
      <c r="AG80" s="91"/>
      <c r="AH80" s="96"/>
      <c r="AI80" s="96"/>
      <c r="AJ80" s="88">
        <v>0.37847222222222221</v>
      </c>
      <c r="AK80" s="88">
        <v>0.20069444444444445</v>
      </c>
      <c r="AL80" s="88">
        <v>0.37986111111111109</v>
      </c>
      <c r="AM80" s="85"/>
      <c r="AN80" s="88">
        <v>0.37777777777777777</v>
      </c>
      <c r="AO80" s="88">
        <v>0.1875</v>
      </c>
      <c r="AP80" s="88">
        <v>0.36041666666666666</v>
      </c>
      <c r="AQ80" s="88">
        <v>0.27083333333333331</v>
      </c>
      <c r="AR80" s="95"/>
      <c r="AS80" s="102">
        <v>0.53888888888888886</v>
      </c>
      <c r="AT80" s="91"/>
      <c r="AU80" s="91"/>
      <c r="AV80" s="88">
        <v>0.38194444444444442</v>
      </c>
      <c r="AW80" s="88">
        <v>0.19652777777777777</v>
      </c>
      <c r="AX80" s="88">
        <v>0.37569444444444444</v>
      </c>
      <c r="AY80" s="88">
        <v>0.1736111111111111</v>
      </c>
      <c r="AZ80" s="88">
        <v>0.38124999999999998</v>
      </c>
      <c r="BA80" s="85"/>
      <c r="BB80" s="88">
        <v>0.37777777777777777</v>
      </c>
      <c r="BC80" s="88">
        <v>0.18263888888888888</v>
      </c>
      <c r="BD80" s="88">
        <v>0.36319444444444443</v>
      </c>
      <c r="BE80" s="85"/>
      <c r="BF80" s="95"/>
      <c r="BG80" s="95"/>
      <c r="BH80" s="91"/>
      <c r="BI80" s="91"/>
      <c r="BJ80" s="88">
        <v>0.37152777777777779</v>
      </c>
      <c r="BK80" s="88">
        <v>0.15833333333333333</v>
      </c>
      <c r="BL80" s="99">
        <v>0.38194444444444442</v>
      </c>
      <c r="BM80" s="99">
        <v>0</v>
      </c>
      <c r="BN80" s="85">
        <f>SUM(IF(AND(D80&lt;&gt;"",WEEKDAY(D$1,2)&lt;6),1,0),IF(AND(F80&lt;&gt;"",WEEKDAY(F$1,2)&lt;6),1,0),IF(AND(H80&lt;&gt;"",WEEKDAY(H$1,2)&lt;6),1,0),IF(AND(J80&lt;&gt;"",WEEKDAY(J$1,2)&lt;6),1,0),IF(AND(L80&lt;&gt;"",WEEKDAY(L$1,2)&lt;6),1,0),IF(AND(N80&lt;&gt;"",WEEKDAY(N$1,2)&lt;6),1,0),IF(AND(P80&lt;&gt;"",WEEKDAY(P$1,2)&lt;6),1,0),IF(AND(R80&lt;&gt;"",WEEKDAY(R$1,2)&lt;6),1,0),IF(AND(T80&lt;&gt;"",WEEKDAY(T$1,2)&lt;6),1,0),IF(AND(V80&lt;&gt;"",WEEKDAY(V$1,2)&lt;6),1,0),IF(AND(X80&lt;&gt;"",WEEKDAY(X$1,2)&lt;6),1,0),IF(AND(Z80&lt;&gt;"",WEEKDAY(Z$1,2)&lt;6),1,0),IF(AND(AB80&lt;&gt;"",WEEKDAY(AB$1,2)&lt;6),1,0),IF(AND(AD80&lt;&gt;"",WEEKDAY(AD$1,2)&lt;6),1,0),IF(AND(AF80&lt;&gt;"",WEEKDAY(AF$1,2)&lt;6),1,0),IF(AND(AH80&lt;&gt;"",WEEKDAY(AH$1,2)&lt;6),1,0),IF(AND(AJ80&lt;&gt;"",WEEKDAY(AJ$1,2)&lt;6),1,0),IF(AND(AL80&lt;&gt;"",WEEKDAY(AL$1,2)&lt;6),1,0),IF(AND(AN80&lt;&gt;"",WEEKDAY(AN$1,2)&lt;6),1,0),IF(AND(AP80&lt;&gt;"",WEEKDAY(AP$1,2)&lt;6),1,0),IF(AND(AR80&lt;&gt;"",WEEKDAY(AR$1,2)&lt;6),1,0),IF(AND(AT80&lt;&gt;"",WEEKDAY(AT$1,2)&lt;6),1,0),IF(AND(AV80&lt;&gt;"",WEEKDAY(AV$1,2)&lt;6),1,0),IF(AND(AX80&lt;&gt;"",WEEKDAY(AX$1,2)&lt;6),1,0),IF(AND(AZ80&lt;&gt;"",WEEKDAY(AZ$1,2)&lt;6),1,0),IF(AND(BB80&lt;&gt;"",WEEKDAY(BB$1,2)&lt;6),1,0),IF(AND(BD80&lt;&gt;"",WEEKDAY(BD$1,2)&lt;6),1,0),IF(AND(BF80&lt;&gt;"",WEEKDAY(BF$1,2)&lt;6),1,0),IF(AND(BH80&lt;&gt;"",WEEKDAY(BH$1,2)&lt;6),1,0),IF(AND(BJ80&lt;&gt;"",WEEKDAY(BJ$1,2)&lt;6),1,0),IF(AND(BL80&lt;&gt;"",WEEKDAY(BL$1,2)&lt;6),1,0))</f>
        <v>21</v>
      </c>
      <c r="BO80" s="85">
        <f>SUM(IF(AND(E80&lt;&gt;"",WEEKDAY(D$1,2)&lt;6),1,0),IF(AND(G80&lt;&gt;"",WEEKDAY(F$1,2)&lt;6),1,0),IF(AND(I80&lt;&gt;"",WEEKDAY(H$1,2)&lt;6),1,0),IF(AND(K80&lt;&gt;"",WEEKDAY(J$1,2)&lt;6),1,0),IF(AND(M80&lt;&gt;"",WEEKDAY(L$1,2)&lt;6),1,0),IF(AND(O80&lt;&gt;"",WEEKDAY(N$1,2)&lt;6),1,0),IF(AND(Q80&lt;&gt;"",WEEKDAY(P$1,2)&lt;6),1,0),IF(AND(S80&lt;&gt;"",WEEKDAY(R$1,2)&lt;6),1,0),IF(AND(U80&lt;&gt;"",WEEKDAY(T$1,2)&lt;6),1,0),IF(AND(W80&lt;&gt;"",WEEKDAY(V$1,2)&lt;6),1,0),IF(AND(Y80&lt;&gt;"",WEEKDAY(X$1,2)&lt;6),1,0),IF(AND(AA80&lt;&gt;"",WEEKDAY(Z$1,2)&lt;6),1,0),IF(AND(AC80&lt;&gt;"",WEEKDAY(AB$1,2)&lt;6),1,0),IF(AND(AE80&lt;&gt;"",WEEKDAY(AD$1,2)&lt;6),1,0),IF(AND(AG80&lt;&gt;"",WEEKDAY(AF$1,2)&lt;6),1,0),IF(AND(AI80&lt;&gt;"",WEEKDAY(AH$1,2)&lt;6),1,0),IF(AND(AK80&lt;&gt;"",WEEKDAY(AJ$1,2)&lt;6),1,0),IF(AND(AM80&lt;&gt;"",WEEKDAY(AL$1,2)&lt;6),1,0),IF(AND(AO80&lt;&gt;"",WEEKDAY(AN$1,2)&lt;6),1,0),IF(AND(AQ80&lt;&gt;"",WEEKDAY(AP$1,2)&lt;6),1,0),IF(AND(AS80&lt;&gt;"",WEEKDAY(AR$1,2)&lt;6),1,0),IF(AND(AU80&lt;&gt;"",WEEKDAY(AT$1,2)&lt;6),1,0),IF(AND(AW80&lt;&gt;"",WEEKDAY(AV$1,2)&lt;6),1,0),IF(AND(AY80&lt;&gt;"",WEEKDAY(AX$1,2)&lt;6),1,0),IF(AND(BA80&lt;&gt;"",WEEKDAY(AZ$1,2)&lt;6),1,0),IF(AND(BC80&lt;&gt;"",WEEKDAY(BB$1,2)&lt;6),1,0),IF(AND(BE80&lt;&gt;"",WEEKDAY(BD$1,2)&lt;6),1,0),IF(AND(BG80&lt;&gt;"",WEEKDAY(BF$1,2)&lt;6),1,0),IF(AND(BI80&lt;&gt;"",WEEKDAY(BH$1,2)&lt;6),1,0),IF(AND(BK80&lt;&gt;"",WEEKDAY(BJ$1,2)&lt;6),1,0),IF(AND(BM80&lt;&gt;"",WEEKDAY(BL$1,2)&lt;6),1,0))</f>
        <v>16</v>
      </c>
      <c r="BP80" s="85">
        <f>SUM(IF(AND((D80&lt;&gt;"")+(E80&lt;&gt;""),WEEKDAY(D$1,2)=6),1,0),IF(AND((F80&lt;&gt;"")+(G80&lt;&gt;""),WEEKDAY(F$1,2)=6),1,0),IF(AND((H80&lt;&gt;"")+(I80&lt;&gt;""),WEEKDAY(H$1,2)=6),1,0),IF(AND((J80&lt;&gt;"")+(K80&lt;&gt;""),WEEKDAY(J$1,2)=6),1,0),IF(AND((L80&lt;&gt;"")+(M80&lt;&gt;""),WEEKDAY(L$1,2)=6),1,0),IF(AND((N80&lt;&gt;"")+(O80&lt;&gt;""),WEEKDAY(N$1,2)=6),1,0),IF(AND((P80&lt;&gt;"")+(Q80&lt;&gt;""),WEEKDAY(P$1,2)=6),1,0),IF(AND((R80&lt;&gt;"")+(S80&lt;&gt;""),WEEKDAY(R$1,2)=6),1,0),IF(AND((T80&lt;&gt;"")+(U80&lt;&gt;""),WEEKDAY(T$1,2)=6),1,0),IF(AND((V80&lt;&gt;"")+(W80&lt;&gt;""),WEEKDAY(V$1,2)=6),1,0),IF(AND((X80&lt;&gt;"")+(Y80&lt;&gt;""),WEEKDAY(X$1,2)=6),1,0),IF(AND((Z80&lt;&gt;"")+(AA80&lt;&gt;""),WEEKDAY(Z$1,2)=6),1,0),IF(AND((AB80&lt;&gt;"")+(AC80&lt;&gt;""),WEEKDAY(AB$1,2)=6),1,0),IF(AND((AD80&lt;&gt;"")+(AE80&lt;&gt;""),WEEKDAY(AD$1,2)=6),1,0),IF(AND((AF80&lt;&gt;"")+(AG80&lt;&gt;""),WEEKDAY(AF$1,2)=6),1,0),IF(AND((AH80&lt;&gt;"")+(AI80&lt;&gt;""),WEEKDAY(AH$1,2)=6),1,0),IF(AND((AJ80&lt;&gt;"")+(AK80&lt;&gt;""),WEEKDAY(AJ$1,2)=6),1,0),IF(AND((AL80&lt;&gt;"")+(AM80&lt;&gt;""),WEEKDAY(AL$1,2)=6),1,0),IF(AND((AN80&lt;&gt;"")+(AO80&lt;&gt;""),WEEKDAY(AN$1,2)=6),1,0),IF(AND((AP80&lt;&gt;"")+(AQ80&lt;&gt;""),WEEKDAY(AP$1,2)=6),1,0),IF(AND((AR80&lt;&gt;"")+(AS80&lt;&gt;""),WEEKDAY(AR$1,2)=6),1,0),IF(AND((AT80&lt;&gt;"")+(AU80&lt;&gt;""),WEEKDAY(AT$1,2)=6),1,0),IF(AND((AV80&lt;&gt;"")+(AW80&lt;&gt;""),WEEKDAY(AV$1,2)=6),1,0),IF(AND((AX80&lt;&gt;"")+(AY80&lt;&gt;""),WEEKDAY(AX$1,2)=6),1,0),IF(AND((AZ80&lt;&gt;"")+(BA80&lt;&gt;""),WEEKDAY(AZ$1,2)=6),1,0),IF(AND((BB80&lt;&gt;"")+(BC80&lt;&gt;""),WEEKDAY(BB$1,2)=6),1,0),IF(AND((BD80&lt;&gt;"")+(BE80&lt;&gt;""),WEEKDAY(BD$1,2)=6),1,0),IF(AND((BF80&lt;&gt;"")+(BG80&lt;&gt;""),WEEKDAY(BF$1,2)=6),1,0),IF(AND((BH80&lt;&gt;"")+(BI80&lt;&gt;""),WEEKDAY(BH$1,2)=6),1,0),IF(AND((BJ80&lt;&gt;"")+(BK80&lt;&gt;""),WEEKDAY(BJ$1,2)=6),1,0),IF(AND((BL80&lt;&gt;"")+(BM80&lt;&gt;""),WEEKDAY(BL$1,2)=6),1,0))</f>
        <v>1</v>
      </c>
    </row>
    <row r="81" spans="1:68" ht="16.5">
      <c r="A81" s="86" t="s">
        <v>123</v>
      </c>
      <c r="B81" s="86" t="s">
        <v>132</v>
      </c>
      <c r="C81" s="92" t="s">
        <v>133</v>
      </c>
      <c r="D81" s="91"/>
      <c r="E81" s="91"/>
      <c r="F81" s="88">
        <v>0.37986111111111109</v>
      </c>
      <c r="G81" s="88">
        <v>0.15</v>
      </c>
      <c r="H81" s="88">
        <v>0.43055555555555558</v>
      </c>
      <c r="I81" s="88">
        <v>0.15972222222222221</v>
      </c>
      <c r="J81" s="99">
        <v>0.375</v>
      </c>
      <c r="K81" s="99">
        <v>0.14930555555555555</v>
      </c>
      <c r="L81" s="99">
        <v>0.41180555555555554</v>
      </c>
      <c r="M81" s="99">
        <v>0.1451388888888889</v>
      </c>
      <c r="N81" s="88">
        <v>0.38958333333333334</v>
      </c>
      <c r="O81" s="88">
        <v>0.17083333333333334</v>
      </c>
      <c r="P81" s="102">
        <v>0.34652777777777777</v>
      </c>
      <c r="Q81" s="95"/>
      <c r="R81" s="91"/>
      <c r="S81" s="91"/>
      <c r="T81" s="88">
        <v>0.37777777777777777</v>
      </c>
      <c r="U81" s="88">
        <v>0.14861111111111111</v>
      </c>
      <c r="V81" s="88">
        <v>0.36041666666666666</v>
      </c>
      <c r="W81" s="88">
        <v>0.15902777777777777</v>
      </c>
      <c r="X81" s="88">
        <v>0.37083333333333335</v>
      </c>
      <c r="Y81" s="88">
        <v>0.15763888888888888</v>
      </c>
      <c r="Z81" s="88">
        <v>0.35833333333333334</v>
      </c>
      <c r="AA81" s="88">
        <v>0.16666666666666666</v>
      </c>
      <c r="AB81" s="88">
        <v>0.37152777777777779</v>
      </c>
      <c r="AC81" s="88">
        <v>0.16319444444444445</v>
      </c>
      <c r="AD81" s="102">
        <v>0.34930555555555554</v>
      </c>
      <c r="AE81" s="95"/>
      <c r="AF81" s="91"/>
      <c r="AG81" s="91"/>
      <c r="AH81" s="96"/>
      <c r="AI81" s="96"/>
      <c r="AJ81" s="88">
        <v>0.37569444444444444</v>
      </c>
      <c r="AK81" s="88">
        <v>0.15555555555555556</v>
      </c>
      <c r="AL81" s="88">
        <v>0.38611111111111113</v>
      </c>
      <c r="AM81" s="88">
        <v>0.15347222222222223</v>
      </c>
      <c r="AN81" s="88">
        <v>0.3923611111111111</v>
      </c>
      <c r="AO81" s="88">
        <v>0.13263888888888889</v>
      </c>
      <c r="AP81" s="88">
        <v>0.38958333333333334</v>
      </c>
      <c r="AQ81" s="88">
        <v>0.15972222222222221</v>
      </c>
      <c r="AR81" s="102">
        <v>0.42430555555555555</v>
      </c>
      <c r="AS81" s="95"/>
      <c r="AT81" s="91"/>
      <c r="AU81" s="91"/>
      <c r="AV81" s="88">
        <v>0.40416666666666667</v>
      </c>
      <c r="AW81" s="88">
        <v>0.13472222222222222</v>
      </c>
      <c r="AX81" s="88">
        <v>0.38541666666666669</v>
      </c>
      <c r="AY81" s="88">
        <v>0.15</v>
      </c>
      <c r="AZ81" s="88">
        <v>0.37777777777777777</v>
      </c>
      <c r="BA81" s="88">
        <v>0.13680555555555557</v>
      </c>
      <c r="BB81" s="88">
        <v>0.37291666666666667</v>
      </c>
      <c r="BC81" s="88">
        <v>0.14791666666666667</v>
      </c>
      <c r="BD81" s="88">
        <v>0.40069444444444446</v>
      </c>
      <c r="BE81" s="85"/>
      <c r="BF81" s="95"/>
      <c r="BG81" s="95"/>
      <c r="BH81" s="91"/>
      <c r="BI81" s="91"/>
      <c r="BJ81" s="88">
        <v>0.39097222222222222</v>
      </c>
      <c r="BK81" s="88">
        <v>0.14652777777777778</v>
      </c>
      <c r="BL81" s="99">
        <v>0.38541666666666669</v>
      </c>
      <c r="BM81" s="99">
        <v>0.15555555555555556</v>
      </c>
      <c r="BN81" s="85">
        <f>SUM(IF(AND(D81&lt;&gt;"",WEEKDAY(D$1,2)&lt;6),1,0),IF(AND(F81&lt;&gt;"",WEEKDAY(F$1,2)&lt;6),1,0),IF(AND(H81&lt;&gt;"",WEEKDAY(H$1,2)&lt;6),1,0),IF(AND(J81&lt;&gt;"",WEEKDAY(J$1,2)&lt;6),1,0),IF(AND(L81&lt;&gt;"",WEEKDAY(L$1,2)&lt;6),1,0),IF(AND(N81&lt;&gt;"",WEEKDAY(N$1,2)&lt;6),1,0),IF(AND(P81&lt;&gt;"",WEEKDAY(P$1,2)&lt;6),1,0),IF(AND(R81&lt;&gt;"",WEEKDAY(R$1,2)&lt;6),1,0),IF(AND(T81&lt;&gt;"",WEEKDAY(T$1,2)&lt;6),1,0),IF(AND(V81&lt;&gt;"",WEEKDAY(V$1,2)&lt;6),1,0),IF(AND(X81&lt;&gt;"",WEEKDAY(X$1,2)&lt;6),1,0),IF(AND(Z81&lt;&gt;"",WEEKDAY(Z$1,2)&lt;6),1,0),IF(AND(AB81&lt;&gt;"",WEEKDAY(AB$1,2)&lt;6),1,0),IF(AND(AD81&lt;&gt;"",WEEKDAY(AD$1,2)&lt;6),1,0),IF(AND(AF81&lt;&gt;"",WEEKDAY(AF$1,2)&lt;6),1,0),IF(AND(AH81&lt;&gt;"",WEEKDAY(AH$1,2)&lt;6),1,0),IF(AND(AJ81&lt;&gt;"",WEEKDAY(AJ$1,2)&lt;6),1,0),IF(AND(AL81&lt;&gt;"",WEEKDAY(AL$1,2)&lt;6),1,0),IF(AND(AN81&lt;&gt;"",WEEKDAY(AN$1,2)&lt;6),1,0),IF(AND(AP81&lt;&gt;"",WEEKDAY(AP$1,2)&lt;6),1,0),IF(AND(AR81&lt;&gt;"",WEEKDAY(AR$1,2)&lt;6),1,0),IF(AND(AT81&lt;&gt;"",WEEKDAY(AT$1,2)&lt;6),1,0),IF(AND(AV81&lt;&gt;"",WEEKDAY(AV$1,2)&lt;6),1,0),IF(AND(AX81&lt;&gt;"",WEEKDAY(AX$1,2)&lt;6),1,0),IF(AND(AZ81&lt;&gt;"",WEEKDAY(AZ$1,2)&lt;6),1,0),IF(AND(BB81&lt;&gt;"",WEEKDAY(BB$1,2)&lt;6),1,0),IF(AND(BD81&lt;&gt;"",WEEKDAY(BD$1,2)&lt;6),1,0),IF(AND(BF81&lt;&gt;"",WEEKDAY(BF$1,2)&lt;6),1,0),IF(AND(BH81&lt;&gt;"",WEEKDAY(BH$1,2)&lt;6),1,0),IF(AND(BJ81&lt;&gt;"",WEEKDAY(BJ$1,2)&lt;6),1,0),IF(AND(BL81&lt;&gt;"",WEEKDAY(BL$1,2)&lt;6),1,0))</f>
        <v>21</v>
      </c>
      <c r="BO81" s="85">
        <f>SUM(IF(AND(E81&lt;&gt;"",WEEKDAY(D$1,2)&lt;6),1,0),IF(AND(G81&lt;&gt;"",WEEKDAY(F$1,2)&lt;6),1,0),IF(AND(I81&lt;&gt;"",WEEKDAY(H$1,2)&lt;6),1,0),IF(AND(K81&lt;&gt;"",WEEKDAY(J$1,2)&lt;6),1,0),IF(AND(M81&lt;&gt;"",WEEKDAY(L$1,2)&lt;6),1,0),IF(AND(O81&lt;&gt;"",WEEKDAY(N$1,2)&lt;6),1,0),IF(AND(Q81&lt;&gt;"",WEEKDAY(P$1,2)&lt;6),1,0),IF(AND(S81&lt;&gt;"",WEEKDAY(R$1,2)&lt;6),1,0),IF(AND(U81&lt;&gt;"",WEEKDAY(T$1,2)&lt;6),1,0),IF(AND(W81&lt;&gt;"",WEEKDAY(V$1,2)&lt;6),1,0),IF(AND(Y81&lt;&gt;"",WEEKDAY(X$1,2)&lt;6),1,0),IF(AND(AA81&lt;&gt;"",WEEKDAY(Z$1,2)&lt;6),1,0),IF(AND(AC81&lt;&gt;"",WEEKDAY(AB$1,2)&lt;6),1,0),IF(AND(AE81&lt;&gt;"",WEEKDAY(AD$1,2)&lt;6),1,0),IF(AND(AG81&lt;&gt;"",WEEKDAY(AF$1,2)&lt;6),1,0),IF(AND(AI81&lt;&gt;"",WEEKDAY(AH$1,2)&lt;6),1,0),IF(AND(AK81&lt;&gt;"",WEEKDAY(AJ$1,2)&lt;6),1,0),IF(AND(AM81&lt;&gt;"",WEEKDAY(AL$1,2)&lt;6),1,0),IF(AND(AO81&lt;&gt;"",WEEKDAY(AN$1,2)&lt;6),1,0),IF(AND(AQ81&lt;&gt;"",WEEKDAY(AP$1,2)&lt;6),1,0),IF(AND(AS81&lt;&gt;"",WEEKDAY(AR$1,2)&lt;6),1,0),IF(AND(AU81&lt;&gt;"",WEEKDAY(AT$1,2)&lt;6),1,0),IF(AND(AW81&lt;&gt;"",WEEKDAY(AV$1,2)&lt;6),1,0),IF(AND(AY81&lt;&gt;"",WEEKDAY(AX$1,2)&lt;6),1,0),IF(AND(BA81&lt;&gt;"",WEEKDAY(AZ$1,2)&lt;6),1,0),IF(AND(BC81&lt;&gt;"",WEEKDAY(BB$1,2)&lt;6),1,0),IF(AND(BE81&lt;&gt;"",WEEKDAY(BD$1,2)&lt;6),1,0),IF(AND(BG81&lt;&gt;"",WEEKDAY(BF$1,2)&lt;6),1,0),IF(AND(BI81&lt;&gt;"",WEEKDAY(BH$1,2)&lt;6),1,0),IF(AND(BK81&lt;&gt;"",WEEKDAY(BJ$1,2)&lt;6),1,0),IF(AND(BM81&lt;&gt;"",WEEKDAY(BL$1,2)&lt;6),1,0))</f>
        <v>20</v>
      </c>
      <c r="BP81" s="85">
        <f>SUM(IF(AND((D81&lt;&gt;"")+(E81&lt;&gt;""),WEEKDAY(D$1,2)=6),1,0),IF(AND((F81&lt;&gt;"")+(G81&lt;&gt;""),WEEKDAY(F$1,2)=6),1,0),IF(AND((H81&lt;&gt;"")+(I81&lt;&gt;""),WEEKDAY(H$1,2)=6),1,0),IF(AND((J81&lt;&gt;"")+(K81&lt;&gt;""),WEEKDAY(J$1,2)=6),1,0),IF(AND((L81&lt;&gt;"")+(M81&lt;&gt;""),WEEKDAY(L$1,2)=6),1,0),IF(AND((N81&lt;&gt;"")+(O81&lt;&gt;""),WEEKDAY(N$1,2)=6),1,0),IF(AND((P81&lt;&gt;"")+(Q81&lt;&gt;""),WEEKDAY(P$1,2)=6),1,0),IF(AND((R81&lt;&gt;"")+(S81&lt;&gt;""),WEEKDAY(R$1,2)=6),1,0),IF(AND((T81&lt;&gt;"")+(U81&lt;&gt;""),WEEKDAY(T$1,2)=6),1,0),IF(AND((V81&lt;&gt;"")+(W81&lt;&gt;""),WEEKDAY(V$1,2)=6),1,0),IF(AND((X81&lt;&gt;"")+(Y81&lt;&gt;""),WEEKDAY(X$1,2)=6),1,0),IF(AND((Z81&lt;&gt;"")+(AA81&lt;&gt;""),WEEKDAY(Z$1,2)=6),1,0),IF(AND((AB81&lt;&gt;"")+(AC81&lt;&gt;""),WEEKDAY(AB$1,2)=6),1,0),IF(AND((AD81&lt;&gt;"")+(AE81&lt;&gt;""),WEEKDAY(AD$1,2)=6),1,0),IF(AND((AF81&lt;&gt;"")+(AG81&lt;&gt;""),WEEKDAY(AF$1,2)=6),1,0),IF(AND((AH81&lt;&gt;"")+(AI81&lt;&gt;""),WEEKDAY(AH$1,2)=6),1,0),IF(AND((AJ81&lt;&gt;"")+(AK81&lt;&gt;""),WEEKDAY(AJ$1,2)=6),1,0),IF(AND((AL81&lt;&gt;"")+(AM81&lt;&gt;""),WEEKDAY(AL$1,2)=6),1,0),IF(AND((AN81&lt;&gt;"")+(AO81&lt;&gt;""),WEEKDAY(AN$1,2)=6),1,0),IF(AND((AP81&lt;&gt;"")+(AQ81&lt;&gt;""),WEEKDAY(AP$1,2)=6),1,0),IF(AND((AR81&lt;&gt;"")+(AS81&lt;&gt;""),WEEKDAY(AR$1,2)=6),1,0),IF(AND((AT81&lt;&gt;"")+(AU81&lt;&gt;""),WEEKDAY(AT$1,2)=6),1,0),IF(AND((AV81&lt;&gt;"")+(AW81&lt;&gt;""),WEEKDAY(AV$1,2)=6),1,0),IF(AND((AX81&lt;&gt;"")+(AY81&lt;&gt;""),WEEKDAY(AX$1,2)=6),1,0),IF(AND((AZ81&lt;&gt;"")+(BA81&lt;&gt;""),WEEKDAY(AZ$1,2)=6),1,0),IF(AND((BB81&lt;&gt;"")+(BC81&lt;&gt;""),WEEKDAY(BB$1,2)=6),1,0),IF(AND((BD81&lt;&gt;"")+(BE81&lt;&gt;""),WEEKDAY(BD$1,2)=6),1,0),IF(AND((BF81&lt;&gt;"")+(BG81&lt;&gt;""),WEEKDAY(BF$1,2)=6),1,0),IF(AND((BH81&lt;&gt;"")+(BI81&lt;&gt;""),WEEKDAY(BH$1,2)=6),1,0),IF(AND((BJ81&lt;&gt;"")+(BK81&lt;&gt;""),WEEKDAY(BJ$1,2)=6),1,0),IF(AND((BL81&lt;&gt;"")+(BM81&lt;&gt;""),WEEKDAY(BL$1,2)=6),1,0))</f>
        <v>3</v>
      </c>
    </row>
    <row r="82" spans="1:68" ht="16.5">
      <c r="A82" s="86" t="s">
        <v>134</v>
      </c>
      <c r="B82" s="86" t="s">
        <v>135</v>
      </c>
      <c r="C82" s="92" t="s">
        <v>136</v>
      </c>
      <c r="D82" s="91"/>
      <c r="E82" s="91"/>
      <c r="F82" s="88">
        <v>0.36180555555555555</v>
      </c>
      <c r="G82" s="85"/>
      <c r="H82" s="88">
        <v>0.36527777777777776</v>
      </c>
      <c r="I82" s="85"/>
      <c r="J82" s="99">
        <v>0.35347222222222224</v>
      </c>
      <c r="K82" s="98"/>
      <c r="L82" s="98"/>
      <c r="M82" s="98"/>
      <c r="N82" s="88">
        <v>0.36319444444444443</v>
      </c>
      <c r="O82" s="85"/>
      <c r="P82" s="95"/>
      <c r="Q82" s="95"/>
      <c r="R82" s="91"/>
      <c r="S82" s="91"/>
      <c r="T82" s="88">
        <v>0.35694444444444445</v>
      </c>
      <c r="U82" s="85"/>
      <c r="V82" s="88">
        <v>0.36875000000000002</v>
      </c>
      <c r="W82" s="85"/>
      <c r="X82" s="88">
        <v>0.38541666666666669</v>
      </c>
      <c r="Y82" s="85"/>
      <c r="Z82" s="88">
        <v>0.36805555555555558</v>
      </c>
      <c r="AA82" s="85"/>
      <c r="AB82" s="88">
        <v>0.36041666666666666</v>
      </c>
      <c r="AC82" s="85"/>
      <c r="AD82" s="95"/>
      <c r="AE82" s="95"/>
      <c r="AF82" s="91"/>
      <c r="AG82" s="91"/>
      <c r="AH82" s="96"/>
      <c r="AI82" s="96"/>
      <c r="AJ82" s="88">
        <v>0.36458333333333331</v>
      </c>
      <c r="AK82" s="85"/>
      <c r="AL82" s="85"/>
      <c r="AM82" s="85"/>
      <c r="AN82" s="88">
        <v>0.35347222222222224</v>
      </c>
      <c r="AO82" s="85"/>
      <c r="AP82" s="88">
        <v>0.35902777777777778</v>
      </c>
      <c r="AQ82" s="85"/>
      <c r="AR82" s="95"/>
      <c r="AS82" s="95"/>
      <c r="AT82" s="91"/>
      <c r="AU82" s="91"/>
      <c r="AV82" s="88">
        <v>0.38055555555555554</v>
      </c>
      <c r="AW82" s="85"/>
      <c r="AX82" s="88">
        <v>0.3576388888888889</v>
      </c>
      <c r="AY82" s="85"/>
      <c r="AZ82" s="88">
        <v>0.3576388888888889</v>
      </c>
      <c r="BA82" s="85"/>
      <c r="BB82" s="88">
        <v>0.34166666666666667</v>
      </c>
      <c r="BC82" s="85"/>
      <c r="BD82" s="88">
        <v>0.34375</v>
      </c>
      <c r="BE82" s="85"/>
      <c r="BF82" s="95"/>
      <c r="BG82" s="95"/>
      <c r="BH82" s="91"/>
      <c r="BI82" s="91"/>
      <c r="BJ82" s="88">
        <v>0.36736111111111114</v>
      </c>
      <c r="BK82" s="85"/>
      <c r="BL82" s="99">
        <v>0.38333333333333336</v>
      </c>
      <c r="BM82" s="98"/>
      <c r="BN82" s="85">
        <f>SUM(IF(AND(D82&lt;&gt;"",WEEKDAY(D$1,2)&lt;6),1,0),IF(AND(F82&lt;&gt;"",WEEKDAY(F$1,2)&lt;6),1,0),IF(AND(H82&lt;&gt;"",WEEKDAY(H$1,2)&lt;6),1,0),IF(AND(J82&lt;&gt;"",WEEKDAY(J$1,2)&lt;6),1,0),IF(AND(L82&lt;&gt;"",WEEKDAY(L$1,2)&lt;6),1,0),IF(AND(N82&lt;&gt;"",WEEKDAY(N$1,2)&lt;6),1,0),IF(AND(P82&lt;&gt;"",WEEKDAY(P$1,2)&lt;6),1,0),IF(AND(R82&lt;&gt;"",WEEKDAY(R$1,2)&lt;6),1,0),IF(AND(T82&lt;&gt;"",WEEKDAY(T$1,2)&lt;6),1,0),IF(AND(V82&lt;&gt;"",WEEKDAY(V$1,2)&lt;6),1,0),IF(AND(X82&lt;&gt;"",WEEKDAY(X$1,2)&lt;6),1,0),IF(AND(Z82&lt;&gt;"",WEEKDAY(Z$1,2)&lt;6),1,0),IF(AND(AB82&lt;&gt;"",WEEKDAY(AB$1,2)&lt;6),1,0),IF(AND(AD82&lt;&gt;"",WEEKDAY(AD$1,2)&lt;6),1,0),IF(AND(AF82&lt;&gt;"",WEEKDAY(AF$1,2)&lt;6),1,0),IF(AND(AH82&lt;&gt;"",WEEKDAY(AH$1,2)&lt;6),1,0),IF(AND(AJ82&lt;&gt;"",WEEKDAY(AJ$1,2)&lt;6),1,0),IF(AND(AL82&lt;&gt;"",WEEKDAY(AL$1,2)&lt;6),1,0),IF(AND(AN82&lt;&gt;"",WEEKDAY(AN$1,2)&lt;6),1,0),IF(AND(AP82&lt;&gt;"",WEEKDAY(AP$1,2)&lt;6),1,0),IF(AND(AR82&lt;&gt;"",WEEKDAY(AR$1,2)&lt;6),1,0),IF(AND(AT82&lt;&gt;"",WEEKDAY(AT$1,2)&lt;6),1,0),IF(AND(AV82&lt;&gt;"",WEEKDAY(AV$1,2)&lt;6),1,0),IF(AND(AX82&lt;&gt;"",WEEKDAY(AX$1,2)&lt;6),1,0),IF(AND(AZ82&lt;&gt;"",WEEKDAY(AZ$1,2)&lt;6),1,0),IF(AND(BB82&lt;&gt;"",WEEKDAY(BB$1,2)&lt;6),1,0),IF(AND(BD82&lt;&gt;"",WEEKDAY(BD$1,2)&lt;6),1,0),IF(AND(BF82&lt;&gt;"",WEEKDAY(BF$1,2)&lt;6),1,0),IF(AND(BH82&lt;&gt;"",WEEKDAY(BH$1,2)&lt;6),1,0),IF(AND(BJ82&lt;&gt;"",WEEKDAY(BJ$1,2)&lt;6),1,0),IF(AND(BL82&lt;&gt;"",WEEKDAY(BL$1,2)&lt;6),1,0))</f>
        <v>19</v>
      </c>
      <c r="BO82" s="85">
        <f>SUM(IF(AND(E82&lt;&gt;"",WEEKDAY(D$1,2)&lt;6),1,0),IF(AND(G82&lt;&gt;"",WEEKDAY(F$1,2)&lt;6),1,0),IF(AND(I82&lt;&gt;"",WEEKDAY(H$1,2)&lt;6),1,0),IF(AND(K82&lt;&gt;"",WEEKDAY(J$1,2)&lt;6),1,0),IF(AND(M82&lt;&gt;"",WEEKDAY(L$1,2)&lt;6),1,0),IF(AND(O82&lt;&gt;"",WEEKDAY(N$1,2)&lt;6),1,0),IF(AND(Q82&lt;&gt;"",WEEKDAY(P$1,2)&lt;6),1,0),IF(AND(S82&lt;&gt;"",WEEKDAY(R$1,2)&lt;6),1,0),IF(AND(U82&lt;&gt;"",WEEKDAY(T$1,2)&lt;6),1,0),IF(AND(W82&lt;&gt;"",WEEKDAY(V$1,2)&lt;6),1,0),IF(AND(Y82&lt;&gt;"",WEEKDAY(X$1,2)&lt;6),1,0),IF(AND(AA82&lt;&gt;"",WEEKDAY(Z$1,2)&lt;6),1,0),IF(AND(AC82&lt;&gt;"",WEEKDAY(AB$1,2)&lt;6),1,0),IF(AND(AE82&lt;&gt;"",WEEKDAY(AD$1,2)&lt;6),1,0),IF(AND(AG82&lt;&gt;"",WEEKDAY(AF$1,2)&lt;6),1,0),IF(AND(AI82&lt;&gt;"",WEEKDAY(AH$1,2)&lt;6),1,0),IF(AND(AK82&lt;&gt;"",WEEKDAY(AJ$1,2)&lt;6),1,0),IF(AND(AM82&lt;&gt;"",WEEKDAY(AL$1,2)&lt;6),1,0),IF(AND(AO82&lt;&gt;"",WEEKDAY(AN$1,2)&lt;6),1,0),IF(AND(AQ82&lt;&gt;"",WEEKDAY(AP$1,2)&lt;6),1,0),IF(AND(AS82&lt;&gt;"",WEEKDAY(AR$1,2)&lt;6),1,0),IF(AND(AU82&lt;&gt;"",WEEKDAY(AT$1,2)&lt;6),1,0),IF(AND(AW82&lt;&gt;"",WEEKDAY(AV$1,2)&lt;6),1,0),IF(AND(AY82&lt;&gt;"",WEEKDAY(AX$1,2)&lt;6),1,0),IF(AND(BA82&lt;&gt;"",WEEKDAY(AZ$1,2)&lt;6),1,0),IF(AND(BC82&lt;&gt;"",WEEKDAY(BB$1,2)&lt;6),1,0),IF(AND(BE82&lt;&gt;"",WEEKDAY(BD$1,2)&lt;6),1,0),IF(AND(BG82&lt;&gt;"",WEEKDAY(BF$1,2)&lt;6),1,0),IF(AND(BI82&lt;&gt;"",WEEKDAY(BH$1,2)&lt;6),1,0),IF(AND(BK82&lt;&gt;"",WEEKDAY(BJ$1,2)&lt;6),1,0),IF(AND(BM82&lt;&gt;"",WEEKDAY(BL$1,2)&lt;6),1,0))</f>
        <v>0</v>
      </c>
      <c r="BP82" s="85">
        <f>SUM(IF(AND((D82&lt;&gt;"")+(E82&lt;&gt;""),WEEKDAY(D$1,2)=6),1,0),IF(AND((F82&lt;&gt;"")+(G82&lt;&gt;""),WEEKDAY(F$1,2)=6),1,0),IF(AND((H82&lt;&gt;"")+(I82&lt;&gt;""),WEEKDAY(H$1,2)=6),1,0),IF(AND((J82&lt;&gt;"")+(K82&lt;&gt;""),WEEKDAY(J$1,2)=6),1,0),IF(AND((L82&lt;&gt;"")+(M82&lt;&gt;""),WEEKDAY(L$1,2)=6),1,0),IF(AND((N82&lt;&gt;"")+(O82&lt;&gt;""),WEEKDAY(N$1,2)=6),1,0),IF(AND((P82&lt;&gt;"")+(Q82&lt;&gt;""),WEEKDAY(P$1,2)=6),1,0),IF(AND((R82&lt;&gt;"")+(S82&lt;&gt;""),WEEKDAY(R$1,2)=6),1,0),IF(AND((T82&lt;&gt;"")+(U82&lt;&gt;""),WEEKDAY(T$1,2)=6),1,0),IF(AND((V82&lt;&gt;"")+(W82&lt;&gt;""),WEEKDAY(V$1,2)=6),1,0),IF(AND((X82&lt;&gt;"")+(Y82&lt;&gt;""),WEEKDAY(X$1,2)=6),1,0),IF(AND((Z82&lt;&gt;"")+(AA82&lt;&gt;""),WEEKDAY(Z$1,2)=6),1,0),IF(AND((AB82&lt;&gt;"")+(AC82&lt;&gt;""),WEEKDAY(AB$1,2)=6),1,0),IF(AND((AD82&lt;&gt;"")+(AE82&lt;&gt;""),WEEKDAY(AD$1,2)=6),1,0),IF(AND((AF82&lt;&gt;"")+(AG82&lt;&gt;""),WEEKDAY(AF$1,2)=6),1,0),IF(AND((AH82&lt;&gt;"")+(AI82&lt;&gt;""),WEEKDAY(AH$1,2)=6),1,0),IF(AND((AJ82&lt;&gt;"")+(AK82&lt;&gt;""),WEEKDAY(AJ$1,2)=6),1,0),IF(AND((AL82&lt;&gt;"")+(AM82&lt;&gt;""),WEEKDAY(AL$1,2)=6),1,0),IF(AND((AN82&lt;&gt;"")+(AO82&lt;&gt;""),WEEKDAY(AN$1,2)=6),1,0),IF(AND((AP82&lt;&gt;"")+(AQ82&lt;&gt;""),WEEKDAY(AP$1,2)=6),1,0),IF(AND((AR82&lt;&gt;"")+(AS82&lt;&gt;""),WEEKDAY(AR$1,2)=6),1,0),IF(AND((AT82&lt;&gt;"")+(AU82&lt;&gt;""),WEEKDAY(AT$1,2)=6),1,0),IF(AND((AV82&lt;&gt;"")+(AW82&lt;&gt;""),WEEKDAY(AV$1,2)=6),1,0),IF(AND((AX82&lt;&gt;"")+(AY82&lt;&gt;""),WEEKDAY(AX$1,2)=6),1,0),IF(AND((AZ82&lt;&gt;"")+(BA82&lt;&gt;""),WEEKDAY(AZ$1,2)=6),1,0),IF(AND((BB82&lt;&gt;"")+(BC82&lt;&gt;""),WEEKDAY(BB$1,2)=6),1,0),IF(AND((BD82&lt;&gt;"")+(BE82&lt;&gt;""),WEEKDAY(BD$1,2)=6),1,0),IF(AND((BF82&lt;&gt;"")+(BG82&lt;&gt;""),WEEKDAY(BF$1,2)=6),1,0),IF(AND((BH82&lt;&gt;"")+(BI82&lt;&gt;""),WEEKDAY(BH$1,2)=6),1,0),IF(AND((BJ82&lt;&gt;"")+(BK82&lt;&gt;""),WEEKDAY(BJ$1,2)=6),1,0),IF(AND((BL82&lt;&gt;"")+(BM82&lt;&gt;""),WEEKDAY(BL$1,2)=6),1,0))</f>
        <v>0</v>
      </c>
    </row>
    <row r="83" spans="1:68" ht="16.5">
      <c r="A83" s="86" t="s">
        <v>134</v>
      </c>
      <c r="B83" s="86" t="s">
        <v>135</v>
      </c>
      <c r="C83" s="92" t="s">
        <v>137</v>
      </c>
      <c r="D83" s="91"/>
      <c r="E83" s="91"/>
      <c r="F83" s="85"/>
      <c r="G83" s="85"/>
      <c r="H83" s="85"/>
      <c r="I83" s="85"/>
      <c r="J83" s="98"/>
      <c r="K83" s="99">
        <v>0.12361111111111112</v>
      </c>
      <c r="L83" s="98"/>
      <c r="M83" s="99">
        <v>0.15277777777777779</v>
      </c>
      <c r="N83" s="85"/>
      <c r="O83" s="88">
        <v>0.15555555555555556</v>
      </c>
      <c r="P83" s="95"/>
      <c r="Q83" s="95"/>
      <c r="R83" s="91"/>
      <c r="S83" s="91"/>
      <c r="T83" s="85"/>
      <c r="U83" s="88">
        <v>0.10138888888888889</v>
      </c>
      <c r="V83" s="85"/>
      <c r="W83" s="88">
        <v>0.15277777777777779</v>
      </c>
      <c r="X83" s="85"/>
      <c r="Y83" s="88">
        <v>0.14652777777777778</v>
      </c>
      <c r="Z83" s="85"/>
      <c r="AA83" s="88">
        <v>0.24583333333333332</v>
      </c>
      <c r="AB83" s="85"/>
      <c r="AC83" s="88">
        <v>0.15972222222222221</v>
      </c>
      <c r="AD83" s="95"/>
      <c r="AE83" s="95"/>
      <c r="AF83" s="91"/>
      <c r="AG83" s="91"/>
      <c r="AH83" s="96"/>
      <c r="AI83" s="96"/>
      <c r="AJ83" s="85"/>
      <c r="AK83" s="88">
        <v>0.17222222222222222</v>
      </c>
      <c r="AL83" s="88">
        <v>0.37291666666666667</v>
      </c>
      <c r="AM83" s="85"/>
      <c r="AN83" s="85"/>
      <c r="AO83" s="85"/>
      <c r="AP83" s="85"/>
      <c r="AQ83" s="85"/>
      <c r="AR83" s="95"/>
      <c r="AS83" s="95"/>
      <c r="AT83" s="91"/>
      <c r="AU83" s="91"/>
      <c r="AV83" s="85"/>
      <c r="AW83" s="85"/>
      <c r="AX83" s="85"/>
      <c r="AY83" s="85"/>
      <c r="AZ83" s="85"/>
      <c r="BA83" s="88">
        <v>0.16041666666666668</v>
      </c>
      <c r="BB83" s="85"/>
      <c r="BC83" s="85"/>
      <c r="BD83" s="85"/>
      <c r="BE83" s="85"/>
      <c r="BF83" s="95"/>
      <c r="BG83" s="95"/>
      <c r="BH83" s="91"/>
      <c r="BI83" s="91"/>
      <c r="BJ83" s="85"/>
      <c r="BK83" s="85"/>
      <c r="BL83" s="98"/>
      <c r="BM83" s="98"/>
      <c r="BN83" s="85">
        <f>SUM(IF(AND(D83&lt;&gt;"",WEEKDAY(D$1,2)&lt;6),1,0),IF(AND(F83&lt;&gt;"",WEEKDAY(F$1,2)&lt;6),1,0),IF(AND(H83&lt;&gt;"",WEEKDAY(H$1,2)&lt;6),1,0),IF(AND(J83&lt;&gt;"",WEEKDAY(J$1,2)&lt;6),1,0),IF(AND(L83&lt;&gt;"",WEEKDAY(L$1,2)&lt;6),1,0),IF(AND(N83&lt;&gt;"",WEEKDAY(N$1,2)&lt;6),1,0),IF(AND(P83&lt;&gt;"",WEEKDAY(P$1,2)&lt;6),1,0),IF(AND(R83&lt;&gt;"",WEEKDAY(R$1,2)&lt;6),1,0),IF(AND(T83&lt;&gt;"",WEEKDAY(T$1,2)&lt;6),1,0),IF(AND(V83&lt;&gt;"",WEEKDAY(V$1,2)&lt;6),1,0),IF(AND(X83&lt;&gt;"",WEEKDAY(X$1,2)&lt;6),1,0),IF(AND(Z83&lt;&gt;"",WEEKDAY(Z$1,2)&lt;6),1,0),IF(AND(AB83&lt;&gt;"",WEEKDAY(AB$1,2)&lt;6),1,0),IF(AND(AD83&lt;&gt;"",WEEKDAY(AD$1,2)&lt;6),1,0),IF(AND(AF83&lt;&gt;"",WEEKDAY(AF$1,2)&lt;6),1,0),IF(AND(AH83&lt;&gt;"",WEEKDAY(AH$1,2)&lt;6),1,0),IF(AND(AJ83&lt;&gt;"",WEEKDAY(AJ$1,2)&lt;6),1,0),IF(AND(AL83&lt;&gt;"",WEEKDAY(AL$1,2)&lt;6),1,0),IF(AND(AN83&lt;&gt;"",WEEKDAY(AN$1,2)&lt;6),1,0),IF(AND(AP83&lt;&gt;"",WEEKDAY(AP$1,2)&lt;6),1,0),IF(AND(AR83&lt;&gt;"",WEEKDAY(AR$1,2)&lt;6),1,0),IF(AND(AT83&lt;&gt;"",WEEKDAY(AT$1,2)&lt;6),1,0),IF(AND(AV83&lt;&gt;"",WEEKDAY(AV$1,2)&lt;6),1,0),IF(AND(AX83&lt;&gt;"",WEEKDAY(AX$1,2)&lt;6),1,0),IF(AND(AZ83&lt;&gt;"",WEEKDAY(AZ$1,2)&lt;6),1,0),IF(AND(BB83&lt;&gt;"",WEEKDAY(BB$1,2)&lt;6),1,0),IF(AND(BD83&lt;&gt;"",WEEKDAY(BD$1,2)&lt;6),1,0),IF(AND(BF83&lt;&gt;"",WEEKDAY(BF$1,2)&lt;6),1,0),IF(AND(BH83&lt;&gt;"",WEEKDAY(BH$1,2)&lt;6),1,0),IF(AND(BJ83&lt;&gt;"",WEEKDAY(BJ$1,2)&lt;6),1,0),IF(AND(BL83&lt;&gt;"",WEEKDAY(BL$1,2)&lt;6),1,0))</f>
        <v>1</v>
      </c>
      <c r="BO83" s="85">
        <f>SUM(IF(AND(E83&lt;&gt;"",WEEKDAY(D$1,2)&lt;6),1,0),IF(AND(G83&lt;&gt;"",WEEKDAY(F$1,2)&lt;6),1,0),IF(AND(I83&lt;&gt;"",WEEKDAY(H$1,2)&lt;6),1,0),IF(AND(K83&lt;&gt;"",WEEKDAY(J$1,2)&lt;6),1,0),IF(AND(M83&lt;&gt;"",WEEKDAY(L$1,2)&lt;6),1,0),IF(AND(O83&lt;&gt;"",WEEKDAY(N$1,2)&lt;6),1,0),IF(AND(Q83&lt;&gt;"",WEEKDAY(P$1,2)&lt;6),1,0),IF(AND(S83&lt;&gt;"",WEEKDAY(R$1,2)&lt;6),1,0),IF(AND(U83&lt;&gt;"",WEEKDAY(T$1,2)&lt;6),1,0),IF(AND(W83&lt;&gt;"",WEEKDAY(V$1,2)&lt;6),1,0),IF(AND(Y83&lt;&gt;"",WEEKDAY(X$1,2)&lt;6),1,0),IF(AND(AA83&lt;&gt;"",WEEKDAY(Z$1,2)&lt;6),1,0),IF(AND(AC83&lt;&gt;"",WEEKDAY(AB$1,2)&lt;6),1,0),IF(AND(AE83&lt;&gt;"",WEEKDAY(AD$1,2)&lt;6),1,0),IF(AND(AG83&lt;&gt;"",WEEKDAY(AF$1,2)&lt;6),1,0),IF(AND(AI83&lt;&gt;"",WEEKDAY(AH$1,2)&lt;6),1,0),IF(AND(AK83&lt;&gt;"",WEEKDAY(AJ$1,2)&lt;6),1,0),IF(AND(AM83&lt;&gt;"",WEEKDAY(AL$1,2)&lt;6),1,0),IF(AND(AO83&lt;&gt;"",WEEKDAY(AN$1,2)&lt;6),1,0),IF(AND(AQ83&lt;&gt;"",WEEKDAY(AP$1,2)&lt;6),1,0),IF(AND(AS83&lt;&gt;"",WEEKDAY(AR$1,2)&lt;6),1,0),IF(AND(AU83&lt;&gt;"",WEEKDAY(AT$1,2)&lt;6),1,0),IF(AND(AW83&lt;&gt;"",WEEKDAY(AV$1,2)&lt;6),1,0),IF(AND(AY83&lt;&gt;"",WEEKDAY(AX$1,2)&lt;6),1,0),IF(AND(BA83&lt;&gt;"",WEEKDAY(AZ$1,2)&lt;6),1,0),IF(AND(BC83&lt;&gt;"",WEEKDAY(BB$1,2)&lt;6),1,0),IF(AND(BE83&lt;&gt;"",WEEKDAY(BD$1,2)&lt;6),1,0),IF(AND(BG83&lt;&gt;"",WEEKDAY(BF$1,2)&lt;6),1,0),IF(AND(BI83&lt;&gt;"",WEEKDAY(BH$1,2)&lt;6),1,0),IF(AND(BK83&lt;&gt;"",WEEKDAY(BJ$1,2)&lt;6),1,0),IF(AND(BM83&lt;&gt;"",WEEKDAY(BL$1,2)&lt;6),1,0))</f>
        <v>10</v>
      </c>
      <c r="BP83" s="85">
        <f>SUM(IF(AND((D83&lt;&gt;"")+(E83&lt;&gt;""),WEEKDAY(D$1,2)=6),1,0),IF(AND((F83&lt;&gt;"")+(G83&lt;&gt;""),WEEKDAY(F$1,2)=6),1,0),IF(AND((H83&lt;&gt;"")+(I83&lt;&gt;""),WEEKDAY(H$1,2)=6),1,0),IF(AND((J83&lt;&gt;"")+(K83&lt;&gt;""),WEEKDAY(J$1,2)=6),1,0),IF(AND((L83&lt;&gt;"")+(M83&lt;&gt;""),WEEKDAY(L$1,2)=6),1,0),IF(AND((N83&lt;&gt;"")+(O83&lt;&gt;""),WEEKDAY(N$1,2)=6),1,0),IF(AND((P83&lt;&gt;"")+(Q83&lt;&gt;""),WEEKDAY(P$1,2)=6),1,0),IF(AND((R83&lt;&gt;"")+(S83&lt;&gt;""),WEEKDAY(R$1,2)=6),1,0),IF(AND((T83&lt;&gt;"")+(U83&lt;&gt;""),WEEKDAY(T$1,2)=6),1,0),IF(AND((V83&lt;&gt;"")+(W83&lt;&gt;""),WEEKDAY(V$1,2)=6),1,0),IF(AND((X83&lt;&gt;"")+(Y83&lt;&gt;""),WEEKDAY(X$1,2)=6),1,0),IF(AND((Z83&lt;&gt;"")+(AA83&lt;&gt;""),WEEKDAY(Z$1,2)=6),1,0),IF(AND((AB83&lt;&gt;"")+(AC83&lt;&gt;""),WEEKDAY(AB$1,2)=6),1,0),IF(AND((AD83&lt;&gt;"")+(AE83&lt;&gt;""),WEEKDAY(AD$1,2)=6),1,0),IF(AND((AF83&lt;&gt;"")+(AG83&lt;&gt;""),WEEKDAY(AF$1,2)=6),1,0),IF(AND((AH83&lt;&gt;"")+(AI83&lt;&gt;""),WEEKDAY(AH$1,2)=6),1,0),IF(AND((AJ83&lt;&gt;"")+(AK83&lt;&gt;""),WEEKDAY(AJ$1,2)=6),1,0),IF(AND((AL83&lt;&gt;"")+(AM83&lt;&gt;""),WEEKDAY(AL$1,2)=6),1,0),IF(AND((AN83&lt;&gt;"")+(AO83&lt;&gt;""),WEEKDAY(AN$1,2)=6),1,0),IF(AND((AP83&lt;&gt;"")+(AQ83&lt;&gt;""),WEEKDAY(AP$1,2)=6),1,0),IF(AND((AR83&lt;&gt;"")+(AS83&lt;&gt;""),WEEKDAY(AR$1,2)=6),1,0),IF(AND((AT83&lt;&gt;"")+(AU83&lt;&gt;""),WEEKDAY(AT$1,2)=6),1,0),IF(AND((AV83&lt;&gt;"")+(AW83&lt;&gt;""),WEEKDAY(AV$1,2)=6),1,0),IF(AND((AX83&lt;&gt;"")+(AY83&lt;&gt;""),WEEKDAY(AX$1,2)=6),1,0),IF(AND((AZ83&lt;&gt;"")+(BA83&lt;&gt;""),WEEKDAY(AZ$1,2)=6),1,0),IF(AND((BB83&lt;&gt;"")+(BC83&lt;&gt;""),WEEKDAY(BB$1,2)=6),1,0),IF(AND((BD83&lt;&gt;"")+(BE83&lt;&gt;""),WEEKDAY(BD$1,2)=6),1,0),IF(AND((BF83&lt;&gt;"")+(BG83&lt;&gt;""),WEEKDAY(BF$1,2)=6),1,0),IF(AND((BH83&lt;&gt;"")+(BI83&lt;&gt;""),WEEKDAY(BH$1,2)=6),1,0),IF(AND((BJ83&lt;&gt;"")+(BK83&lt;&gt;""),WEEKDAY(BJ$1,2)=6),1,0),IF(AND((BL83&lt;&gt;"")+(BM83&lt;&gt;""),WEEKDAY(BL$1,2)=6),1,0))</f>
        <v>0</v>
      </c>
    </row>
    <row r="84" spans="1:68" ht="16.5">
      <c r="A84" s="86" t="s">
        <v>134</v>
      </c>
      <c r="B84" s="86" t="s">
        <v>135</v>
      </c>
      <c r="C84" s="92" t="s">
        <v>138</v>
      </c>
      <c r="D84" s="91"/>
      <c r="E84" s="91"/>
      <c r="F84" s="85"/>
      <c r="G84" s="85"/>
      <c r="H84" s="85"/>
      <c r="I84" s="85"/>
      <c r="J84" s="98"/>
      <c r="K84" s="98"/>
      <c r="L84" s="98"/>
      <c r="M84" s="98"/>
      <c r="N84" s="85"/>
      <c r="O84" s="85"/>
      <c r="P84" s="95"/>
      <c r="Q84" s="95"/>
      <c r="R84" s="91"/>
      <c r="S84" s="91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95"/>
      <c r="AE84" s="95"/>
      <c r="AF84" s="91"/>
      <c r="AG84" s="91"/>
      <c r="AH84" s="96"/>
      <c r="AI84" s="96"/>
      <c r="AJ84" s="85"/>
      <c r="AK84" s="85"/>
      <c r="AL84" s="85"/>
      <c r="AM84" s="85"/>
      <c r="AN84" s="85"/>
      <c r="AO84" s="85"/>
      <c r="AP84" s="85"/>
      <c r="AQ84" s="85"/>
      <c r="AR84" s="95"/>
      <c r="AS84" s="95"/>
      <c r="AT84" s="91"/>
      <c r="AU84" s="91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95"/>
      <c r="BG84" s="95"/>
      <c r="BH84" s="91"/>
      <c r="BI84" s="91"/>
      <c r="BJ84" s="85"/>
      <c r="BK84" s="85"/>
      <c r="BL84" s="98"/>
      <c r="BM84" s="98"/>
      <c r="BN84" s="85">
        <f>SUM(IF(AND(D84&lt;&gt;"",WEEKDAY(D$1,2)&lt;6),1,0),IF(AND(F84&lt;&gt;"",WEEKDAY(F$1,2)&lt;6),1,0),IF(AND(H84&lt;&gt;"",WEEKDAY(H$1,2)&lt;6),1,0),IF(AND(J84&lt;&gt;"",WEEKDAY(J$1,2)&lt;6),1,0),IF(AND(L84&lt;&gt;"",WEEKDAY(L$1,2)&lt;6),1,0),IF(AND(N84&lt;&gt;"",WEEKDAY(N$1,2)&lt;6),1,0),IF(AND(P84&lt;&gt;"",WEEKDAY(P$1,2)&lt;6),1,0),IF(AND(R84&lt;&gt;"",WEEKDAY(R$1,2)&lt;6),1,0),IF(AND(T84&lt;&gt;"",WEEKDAY(T$1,2)&lt;6),1,0),IF(AND(V84&lt;&gt;"",WEEKDAY(V$1,2)&lt;6),1,0),IF(AND(X84&lt;&gt;"",WEEKDAY(X$1,2)&lt;6),1,0),IF(AND(Z84&lt;&gt;"",WEEKDAY(Z$1,2)&lt;6),1,0),IF(AND(AB84&lt;&gt;"",WEEKDAY(AB$1,2)&lt;6),1,0),IF(AND(AD84&lt;&gt;"",WEEKDAY(AD$1,2)&lt;6),1,0),IF(AND(AF84&lt;&gt;"",WEEKDAY(AF$1,2)&lt;6),1,0),IF(AND(AH84&lt;&gt;"",WEEKDAY(AH$1,2)&lt;6),1,0),IF(AND(AJ84&lt;&gt;"",WEEKDAY(AJ$1,2)&lt;6),1,0),IF(AND(AL84&lt;&gt;"",WEEKDAY(AL$1,2)&lt;6),1,0),IF(AND(AN84&lt;&gt;"",WEEKDAY(AN$1,2)&lt;6),1,0),IF(AND(AP84&lt;&gt;"",WEEKDAY(AP$1,2)&lt;6),1,0),IF(AND(AR84&lt;&gt;"",WEEKDAY(AR$1,2)&lt;6),1,0),IF(AND(AT84&lt;&gt;"",WEEKDAY(AT$1,2)&lt;6),1,0),IF(AND(AV84&lt;&gt;"",WEEKDAY(AV$1,2)&lt;6),1,0),IF(AND(AX84&lt;&gt;"",WEEKDAY(AX$1,2)&lt;6),1,0),IF(AND(AZ84&lt;&gt;"",WEEKDAY(AZ$1,2)&lt;6),1,0),IF(AND(BB84&lt;&gt;"",WEEKDAY(BB$1,2)&lt;6),1,0),IF(AND(BD84&lt;&gt;"",WEEKDAY(BD$1,2)&lt;6),1,0),IF(AND(BF84&lt;&gt;"",WEEKDAY(BF$1,2)&lt;6),1,0),IF(AND(BH84&lt;&gt;"",WEEKDAY(BH$1,2)&lt;6),1,0),IF(AND(BJ84&lt;&gt;"",WEEKDAY(BJ$1,2)&lt;6),1,0),IF(AND(BL84&lt;&gt;"",WEEKDAY(BL$1,2)&lt;6),1,0))</f>
        <v>0</v>
      </c>
      <c r="BO84" s="85">
        <f>SUM(IF(AND(E84&lt;&gt;"",WEEKDAY(D$1,2)&lt;6),1,0),IF(AND(G84&lt;&gt;"",WEEKDAY(F$1,2)&lt;6),1,0),IF(AND(I84&lt;&gt;"",WEEKDAY(H$1,2)&lt;6),1,0),IF(AND(K84&lt;&gt;"",WEEKDAY(J$1,2)&lt;6),1,0),IF(AND(M84&lt;&gt;"",WEEKDAY(L$1,2)&lt;6),1,0),IF(AND(O84&lt;&gt;"",WEEKDAY(N$1,2)&lt;6),1,0),IF(AND(Q84&lt;&gt;"",WEEKDAY(P$1,2)&lt;6),1,0),IF(AND(S84&lt;&gt;"",WEEKDAY(R$1,2)&lt;6),1,0),IF(AND(U84&lt;&gt;"",WEEKDAY(T$1,2)&lt;6),1,0),IF(AND(W84&lt;&gt;"",WEEKDAY(V$1,2)&lt;6),1,0),IF(AND(Y84&lt;&gt;"",WEEKDAY(X$1,2)&lt;6),1,0),IF(AND(AA84&lt;&gt;"",WEEKDAY(Z$1,2)&lt;6),1,0),IF(AND(AC84&lt;&gt;"",WEEKDAY(AB$1,2)&lt;6),1,0),IF(AND(AE84&lt;&gt;"",WEEKDAY(AD$1,2)&lt;6),1,0),IF(AND(AG84&lt;&gt;"",WEEKDAY(AF$1,2)&lt;6),1,0),IF(AND(AI84&lt;&gt;"",WEEKDAY(AH$1,2)&lt;6),1,0),IF(AND(AK84&lt;&gt;"",WEEKDAY(AJ$1,2)&lt;6),1,0),IF(AND(AM84&lt;&gt;"",WEEKDAY(AL$1,2)&lt;6),1,0),IF(AND(AO84&lt;&gt;"",WEEKDAY(AN$1,2)&lt;6),1,0),IF(AND(AQ84&lt;&gt;"",WEEKDAY(AP$1,2)&lt;6),1,0),IF(AND(AS84&lt;&gt;"",WEEKDAY(AR$1,2)&lt;6),1,0),IF(AND(AU84&lt;&gt;"",WEEKDAY(AT$1,2)&lt;6),1,0),IF(AND(AW84&lt;&gt;"",WEEKDAY(AV$1,2)&lt;6),1,0),IF(AND(AY84&lt;&gt;"",WEEKDAY(AX$1,2)&lt;6),1,0),IF(AND(BA84&lt;&gt;"",WEEKDAY(AZ$1,2)&lt;6),1,0),IF(AND(BC84&lt;&gt;"",WEEKDAY(BB$1,2)&lt;6),1,0),IF(AND(BE84&lt;&gt;"",WEEKDAY(BD$1,2)&lt;6),1,0),IF(AND(BG84&lt;&gt;"",WEEKDAY(BF$1,2)&lt;6),1,0),IF(AND(BI84&lt;&gt;"",WEEKDAY(BH$1,2)&lt;6),1,0),IF(AND(BK84&lt;&gt;"",WEEKDAY(BJ$1,2)&lt;6),1,0),IF(AND(BM84&lt;&gt;"",WEEKDAY(BL$1,2)&lt;6),1,0))</f>
        <v>0</v>
      </c>
      <c r="BP84" s="85">
        <f>SUM(IF(AND((D84&lt;&gt;"")+(E84&lt;&gt;""),WEEKDAY(D$1,2)=6),1,0),IF(AND((F84&lt;&gt;"")+(G84&lt;&gt;""),WEEKDAY(F$1,2)=6),1,0),IF(AND((H84&lt;&gt;"")+(I84&lt;&gt;""),WEEKDAY(H$1,2)=6),1,0),IF(AND((J84&lt;&gt;"")+(K84&lt;&gt;""),WEEKDAY(J$1,2)=6),1,0),IF(AND((L84&lt;&gt;"")+(M84&lt;&gt;""),WEEKDAY(L$1,2)=6),1,0),IF(AND((N84&lt;&gt;"")+(O84&lt;&gt;""),WEEKDAY(N$1,2)=6),1,0),IF(AND((P84&lt;&gt;"")+(Q84&lt;&gt;""),WEEKDAY(P$1,2)=6),1,0),IF(AND((R84&lt;&gt;"")+(S84&lt;&gt;""),WEEKDAY(R$1,2)=6),1,0),IF(AND((T84&lt;&gt;"")+(U84&lt;&gt;""),WEEKDAY(T$1,2)=6),1,0),IF(AND((V84&lt;&gt;"")+(W84&lt;&gt;""),WEEKDAY(V$1,2)=6),1,0),IF(AND((X84&lt;&gt;"")+(Y84&lt;&gt;""),WEEKDAY(X$1,2)=6),1,0),IF(AND((Z84&lt;&gt;"")+(AA84&lt;&gt;""),WEEKDAY(Z$1,2)=6),1,0),IF(AND((AB84&lt;&gt;"")+(AC84&lt;&gt;""),WEEKDAY(AB$1,2)=6),1,0),IF(AND((AD84&lt;&gt;"")+(AE84&lt;&gt;""),WEEKDAY(AD$1,2)=6),1,0),IF(AND((AF84&lt;&gt;"")+(AG84&lt;&gt;""),WEEKDAY(AF$1,2)=6),1,0),IF(AND((AH84&lt;&gt;"")+(AI84&lt;&gt;""),WEEKDAY(AH$1,2)=6),1,0),IF(AND((AJ84&lt;&gt;"")+(AK84&lt;&gt;""),WEEKDAY(AJ$1,2)=6),1,0),IF(AND((AL84&lt;&gt;"")+(AM84&lt;&gt;""),WEEKDAY(AL$1,2)=6),1,0),IF(AND((AN84&lt;&gt;"")+(AO84&lt;&gt;""),WEEKDAY(AN$1,2)=6),1,0),IF(AND((AP84&lt;&gt;"")+(AQ84&lt;&gt;""),WEEKDAY(AP$1,2)=6),1,0),IF(AND((AR84&lt;&gt;"")+(AS84&lt;&gt;""),WEEKDAY(AR$1,2)=6),1,0),IF(AND((AT84&lt;&gt;"")+(AU84&lt;&gt;""),WEEKDAY(AT$1,2)=6),1,0),IF(AND((AV84&lt;&gt;"")+(AW84&lt;&gt;""),WEEKDAY(AV$1,2)=6),1,0),IF(AND((AX84&lt;&gt;"")+(AY84&lt;&gt;""),WEEKDAY(AX$1,2)=6),1,0),IF(AND((AZ84&lt;&gt;"")+(BA84&lt;&gt;""),WEEKDAY(AZ$1,2)=6),1,0),IF(AND((BB84&lt;&gt;"")+(BC84&lt;&gt;""),WEEKDAY(BB$1,2)=6),1,0),IF(AND((BD84&lt;&gt;"")+(BE84&lt;&gt;""),WEEKDAY(BD$1,2)=6),1,0),IF(AND((BF84&lt;&gt;"")+(BG84&lt;&gt;""),WEEKDAY(BF$1,2)=6),1,0),IF(AND((BH84&lt;&gt;"")+(BI84&lt;&gt;""),WEEKDAY(BH$1,2)=6),1,0),IF(AND((BJ84&lt;&gt;"")+(BK84&lt;&gt;""),WEEKDAY(BJ$1,2)=6),1,0),IF(AND((BL84&lt;&gt;"")+(BM84&lt;&gt;""),WEEKDAY(BL$1,2)=6),1,0))</f>
        <v>0</v>
      </c>
    </row>
    <row r="85" spans="1:68" ht="16.5">
      <c r="A85" s="86" t="s">
        <v>134</v>
      </c>
      <c r="B85" s="86" t="s">
        <v>135</v>
      </c>
      <c r="C85" s="92" t="s">
        <v>139</v>
      </c>
      <c r="D85" s="91"/>
      <c r="E85" s="91"/>
      <c r="F85" s="85"/>
      <c r="G85" s="85"/>
      <c r="H85" s="85"/>
      <c r="I85" s="85"/>
      <c r="J85" s="98"/>
      <c r="K85" s="98"/>
      <c r="L85" s="98"/>
      <c r="M85" s="98"/>
      <c r="N85" s="85"/>
      <c r="O85" s="85"/>
      <c r="P85" s="95"/>
      <c r="Q85" s="95"/>
      <c r="R85" s="91"/>
      <c r="S85" s="91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95"/>
      <c r="AE85" s="95"/>
      <c r="AF85" s="91"/>
      <c r="AG85" s="91"/>
      <c r="AH85" s="96"/>
      <c r="AI85" s="96"/>
      <c r="AJ85" s="85"/>
      <c r="AK85" s="85"/>
      <c r="AL85" s="85"/>
      <c r="AM85" s="85"/>
      <c r="AN85" s="85"/>
      <c r="AO85" s="85"/>
      <c r="AP85" s="85"/>
      <c r="AQ85" s="85"/>
      <c r="AR85" s="95"/>
      <c r="AS85" s="95"/>
      <c r="AT85" s="91"/>
      <c r="AU85" s="91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95"/>
      <c r="BG85" s="95"/>
      <c r="BH85" s="91"/>
      <c r="BI85" s="91"/>
      <c r="BJ85" s="85"/>
      <c r="BK85" s="85"/>
      <c r="BL85" s="98"/>
      <c r="BM85" s="98"/>
      <c r="BN85" s="85">
        <f>SUM(IF(AND(D85&lt;&gt;"",WEEKDAY(D$1,2)&lt;6),1,0),IF(AND(F85&lt;&gt;"",WEEKDAY(F$1,2)&lt;6),1,0),IF(AND(H85&lt;&gt;"",WEEKDAY(H$1,2)&lt;6),1,0),IF(AND(J85&lt;&gt;"",WEEKDAY(J$1,2)&lt;6),1,0),IF(AND(L85&lt;&gt;"",WEEKDAY(L$1,2)&lt;6),1,0),IF(AND(N85&lt;&gt;"",WEEKDAY(N$1,2)&lt;6),1,0),IF(AND(P85&lt;&gt;"",WEEKDAY(P$1,2)&lt;6),1,0),IF(AND(R85&lt;&gt;"",WEEKDAY(R$1,2)&lt;6),1,0),IF(AND(T85&lt;&gt;"",WEEKDAY(T$1,2)&lt;6),1,0),IF(AND(V85&lt;&gt;"",WEEKDAY(V$1,2)&lt;6),1,0),IF(AND(X85&lt;&gt;"",WEEKDAY(X$1,2)&lt;6),1,0),IF(AND(Z85&lt;&gt;"",WEEKDAY(Z$1,2)&lt;6),1,0),IF(AND(AB85&lt;&gt;"",WEEKDAY(AB$1,2)&lt;6),1,0),IF(AND(AD85&lt;&gt;"",WEEKDAY(AD$1,2)&lt;6),1,0),IF(AND(AF85&lt;&gt;"",WEEKDAY(AF$1,2)&lt;6),1,0),IF(AND(AH85&lt;&gt;"",WEEKDAY(AH$1,2)&lt;6),1,0),IF(AND(AJ85&lt;&gt;"",WEEKDAY(AJ$1,2)&lt;6),1,0),IF(AND(AL85&lt;&gt;"",WEEKDAY(AL$1,2)&lt;6),1,0),IF(AND(AN85&lt;&gt;"",WEEKDAY(AN$1,2)&lt;6),1,0),IF(AND(AP85&lt;&gt;"",WEEKDAY(AP$1,2)&lt;6),1,0),IF(AND(AR85&lt;&gt;"",WEEKDAY(AR$1,2)&lt;6),1,0),IF(AND(AT85&lt;&gt;"",WEEKDAY(AT$1,2)&lt;6),1,0),IF(AND(AV85&lt;&gt;"",WEEKDAY(AV$1,2)&lt;6),1,0),IF(AND(AX85&lt;&gt;"",WEEKDAY(AX$1,2)&lt;6),1,0),IF(AND(AZ85&lt;&gt;"",WEEKDAY(AZ$1,2)&lt;6),1,0),IF(AND(BB85&lt;&gt;"",WEEKDAY(BB$1,2)&lt;6),1,0),IF(AND(BD85&lt;&gt;"",WEEKDAY(BD$1,2)&lt;6),1,0),IF(AND(BF85&lt;&gt;"",WEEKDAY(BF$1,2)&lt;6),1,0),IF(AND(BH85&lt;&gt;"",WEEKDAY(BH$1,2)&lt;6),1,0),IF(AND(BJ85&lt;&gt;"",WEEKDAY(BJ$1,2)&lt;6),1,0),IF(AND(BL85&lt;&gt;"",WEEKDAY(BL$1,2)&lt;6),1,0))</f>
        <v>0</v>
      </c>
      <c r="BO85" s="85">
        <f>SUM(IF(AND(E85&lt;&gt;"",WEEKDAY(D$1,2)&lt;6),1,0),IF(AND(G85&lt;&gt;"",WEEKDAY(F$1,2)&lt;6),1,0),IF(AND(I85&lt;&gt;"",WEEKDAY(H$1,2)&lt;6),1,0),IF(AND(K85&lt;&gt;"",WEEKDAY(J$1,2)&lt;6),1,0),IF(AND(M85&lt;&gt;"",WEEKDAY(L$1,2)&lt;6),1,0),IF(AND(O85&lt;&gt;"",WEEKDAY(N$1,2)&lt;6),1,0),IF(AND(Q85&lt;&gt;"",WEEKDAY(P$1,2)&lt;6),1,0),IF(AND(S85&lt;&gt;"",WEEKDAY(R$1,2)&lt;6),1,0),IF(AND(U85&lt;&gt;"",WEEKDAY(T$1,2)&lt;6),1,0),IF(AND(W85&lt;&gt;"",WEEKDAY(V$1,2)&lt;6),1,0),IF(AND(Y85&lt;&gt;"",WEEKDAY(X$1,2)&lt;6),1,0),IF(AND(AA85&lt;&gt;"",WEEKDAY(Z$1,2)&lt;6),1,0),IF(AND(AC85&lt;&gt;"",WEEKDAY(AB$1,2)&lt;6),1,0),IF(AND(AE85&lt;&gt;"",WEEKDAY(AD$1,2)&lt;6),1,0),IF(AND(AG85&lt;&gt;"",WEEKDAY(AF$1,2)&lt;6),1,0),IF(AND(AI85&lt;&gt;"",WEEKDAY(AH$1,2)&lt;6),1,0),IF(AND(AK85&lt;&gt;"",WEEKDAY(AJ$1,2)&lt;6),1,0),IF(AND(AM85&lt;&gt;"",WEEKDAY(AL$1,2)&lt;6),1,0),IF(AND(AO85&lt;&gt;"",WEEKDAY(AN$1,2)&lt;6),1,0),IF(AND(AQ85&lt;&gt;"",WEEKDAY(AP$1,2)&lt;6),1,0),IF(AND(AS85&lt;&gt;"",WEEKDAY(AR$1,2)&lt;6),1,0),IF(AND(AU85&lt;&gt;"",WEEKDAY(AT$1,2)&lt;6),1,0),IF(AND(AW85&lt;&gt;"",WEEKDAY(AV$1,2)&lt;6),1,0),IF(AND(AY85&lt;&gt;"",WEEKDAY(AX$1,2)&lt;6),1,0),IF(AND(BA85&lt;&gt;"",WEEKDAY(AZ$1,2)&lt;6),1,0),IF(AND(BC85&lt;&gt;"",WEEKDAY(BB$1,2)&lt;6),1,0),IF(AND(BE85&lt;&gt;"",WEEKDAY(BD$1,2)&lt;6),1,0),IF(AND(BG85&lt;&gt;"",WEEKDAY(BF$1,2)&lt;6),1,0),IF(AND(BI85&lt;&gt;"",WEEKDAY(BH$1,2)&lt;6),1,0),IF(AND(BK85&lt;&gt;"",WEEKDAY(BJ$1,2)&lt;6),1,0),IF(AND(BM85&lt;&gt;"",WEEKDAY(BL$1,2)&lt;6),1,0))</f>
        <v>0</v>
      </c>
      <c r="BP85" s="85">
        <f>SUM(IF(AND((D85&lt;&gt;"")+(E85&lt;&gt;""),WEEKDAY(D$1,2)=6),1,0),IF(AND((F85&lt;&gt;"")+(G85&lt;&gt;""),WEEKDAY(F$1,2)=6),1,0),IF(AND((H85&lt;&gt;"")+(I85&lt;&gt;""),WEEKDAY(H$1,2)=6),1,0),IF(AND((J85&lt;&gt;"")+(K85&lt;&gt;""),WEEKDAY(J$1,2)=6),1,0),IF(AND((L85&lt;&gt;"")+(M85&lt;&gt;""),WEEKDAY(L$1,2)=6),1,0),IF(AND((N85&lt;&gt;"")+(O85&lt;&gt;""),WEEKDAY(N$1,2)=6),1,0),IF(AND((P85&lt;&gt;"")+(Q85&lt;&gt;""),WEEKDAY(P$1,2)=6),1,0),IF(AND((R85&lt;&gt;"")+(S85&lt;&gt;""),WEEKDAY(R$1,2)=6),1,0),IF(AND((T85&lt;&gt;"")+(U85&lt;&gt;""),WEEKDAY(T$1,2)=6),1,0),IF(AND((V85&lt;&gt;"")+(W85&lt;&gt;""),WEEKDAY(V$1,2)=6),1,0),IF(AND((X85&lt;&gt;"")+(Y85&lt;&gt;""),WEEKDAY(X$1,2)=6),1,0),IF(AND((Z85&lt;&gt;"")+(AA85&lt;&gt;""),WEEKDAY(Z$1,2)=6),1,0),IF(AND((AB85&lt;&gt;"")+(AC85&lt;&gt;""),WEEKDAY(AB$1,2)=6),1,0),IF(AND((AD85&lt;&gt;"")+(AE85&lt;&gt;""),WEEKDAY(AD$1,2)=6),1,0),IF(AND((AF85&lt;&gt;"")+(AG85&lt;&gt;""),WEEKDAY(AF$1,2)=6),1,0),IF(AND((AH85&lt;&gt;"")+(AI85&lt;&gt;""),WEEKDAY(AH$1,2)=6),1,0),IF(AND((AJ85&lt;&gt;"")+(AK85&lt;&gt;""),WEEKDAY(AJ$1,2)=6),1,0),IF(AND((AL85&lt;&gt;"")+(AM85&lt;&gt;""),WEEKDAY(AL$1,2)=6),1,0),IF(AND((AN85&lt;&gt;"")+(AO85&lt;&gt;""),WEEKDAY(AN$1,2)=6),1,0),IF(AND((AP85&lt;&gt;"")+(AQ85&lt;&gt;""),WEEKDAY(AP$1,2)=6),1,0),IF(AND((AR85&lt;&gt;"")+(AS85&lt;&gt;""),WEEKDAY(AR$1,2)=6),1,0),IF(AND((AT85&lt;&gt;"")+(AU85&lt;&gt;""),WEEKDAY(AT$1,2)=6),1,0),IF(AND((AV85&lt;&gt;"")+(AW85&lt;&gt;""),WEEKDAY(AV$1,2)=6),1,0),IF(AND((AX85&lt;&gt;"")+(AY85&lt;&gt;""),WEEKDAY(AX$1,2)=6),1,0),IF(AND((AZ85&lt;&gt;"")+(BA85&lt;&gt;""),WEEKDAY(AZ$1,2)=6),1,0),IF(AND((BB85&lt;&gt;"")+(BC85&lt;&gt;""),WEEKDAY(BB$1,2)=6),1,0),IF(AND((BD85&lt;&gt;"")+(BE85&lt;&gt;""),WEEKDAY(BD$1,2)=6),1,0),IF(AND((BF85&lt;&gt;"")+(BG85&lt;&gt;""),WEEKDAY(BF$1,2)=6),1,0),IF(AND((BH85&lt;&gt;"")+(BI85&lt;&gt;""),WEEKDAY(BH$1,2)=6),1,0),IF(AND((BJ85&lt;&gt;"")+(BK85&lt;&gt;""),WEEKDAY(BJ$1,2)=6),1,0),IF(AND((BL85&lt;&gt;"")+(BM85&lt;&gt;""),WEEKDAY(BL$1,2)=6),1,0))</f>
        <v>0</v>
      </c>
    </row>
    <row r="86" spans="1:68" ht="16.5">
      <c r="A86" s="86" t="s">
        <v>134</v>
      </c>
      <c r="B86" s="86" t="s">
        <v>135</v>
      </c>
      <c r="C86" s="92" t="s">
        <v>140</v>
      </c>
      <c r="D86" s="91"/>
      <c r="E86" s="91"/>
      <c r="F86" s="85"/>
      <c r="G86" s="85"/>
      <c r="H86" s="85"/>
      <c r="I86" s="85"/>
      <c r="J86" s="98"/>
      <c r="K86" s="98"/>
      <c r="L86" s="98"/>
      <c r="M86" s="98"/>
      <c r="N86" s="85"/>
      <c r="O86" s="85"/>
      <c r="P86" s="95"/>
      <c r="Q86" s="95"/>
      <c r="R86" s="91"/>
      <c r="S86" s="91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95"/>
      <c r="AE86" s="95"/>
      <c r="AF86" s="91"/>
      <c r="AG86" s="91"/>
      <c r="AH86" s="96"/>
      <c r="AI86" s="96"/>
      <c r="AJ86" s="85"/>
      <c r="AK86" s="85"/>
      <c r="AL86" s="85"/>
      <c r="AM86" s="85"/>
      <c r="AN86" s="85"/>
      <c r="AO86" s="85"/>
      <c r="AP86" s="85"/>
      <c r="AQ86" s="85"/>
      <c r="AR86" s="95"/>
      <c r="AS86" s="95"/>
      <c r="AT86" s="91"/>
      <c r="AU86" s="91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95"/>
      <c r="BG86" s="95"/>
      <c r="BH86" s="91"/>
      <c r="BI86" s="91"/>
      <c r="BJ86" s="85"/>
      <c r="BK86" s="85"/>
      <c r="BL86" s="98"/>
      <c r="BM86" s="98"/>
      <c r="BN86" s="85">
        <f>SUM(IF(AND(D86&lt;&gt;"",WEEKDAY(D$1,2)&lt;6),1,0),IF(AND(F86&lt;&gt;"",WEEKDAY(F$1,2)&lt;6),1,0),IF(AND(H86&lt;&gt;"",WEEKDAY(H$1,2)&lt;6),1,0),IF(AND(J86&lt;&gt;"",WEEKDAY(J$1,2)&lt;6),1,0),IF(AND(L86&lt;&gt;"",WEEKDAY(L$1,2)&lt;6),1,0),IF(AND(N86&lt;&gt;"",WEEKDAY(N$1,2)&lt;6),1,0),IF(AND(P86&lt;&gt;"",WEEKDAY(P$1,2)&lt;6),1,0),IF(AND(R86&lt;&gt;"",WEEKDAY(R$1,2)&lt;6),1,0),IF(AND(T86&lt;&gt;"",WEEKDAY(T$1,2)&lt;6),1,0),IF(AND(V86&lt;&gt;"",WEEKDAY(V$1,2)&lt;6),1,0),IF(AND(X86&lt;&gt;"",WEEKDAY(X$1,2)&lt;6),1,0),IF(AND(Z86&lt;&gt;"",WEEKDAY(Z$1,2)&lt;6),1,0),IF(AND(AB86&lt;&gt;"",WEEKDAY(AB$1,2)&lt;6),1,0),IF(AND(AD86&lt;&gt;"",WEEKDAY(AD$1,2)&lt;6),1,0),IF(AND(AF86&lt;&gt;"",WEEKDAY(AF$1,2)&lt;6),1,0),IF(AND(AH86&lt;&gt;"",WEEKDAY(AH$1,2)&lt;6),1,0),IF(AND(AJ86&lt;&gt;"",WEEKDAY(AJ$1,2)&lt;6),1,0),IF(AND(AL86&lt;&gt;"",WEEKDAY(AL$1,2)&lt;6),1,0),IF(AND(AN86&lt;&gt;"",WEEKDAY(AN$1,2)&lt;6),1,0),IF(AND(AP86&lt;&gt;"",WEEKDAY(AP$1,2)&lt;6),1,0),IF(AND(AR86&lt;&gt;"",WEEKDAY(AR$1,2)&lt;6),1,0),IF(AND(AT86&lt;&gt;"",WEEKDAY(AT$1,2)&lt;6),1,0),IF(AND(AV86&lt;&gt;"",WEEKDAY(AV$1,2)&lt;6),1,0),IF(AND(AX86&lt;&gt;"",WEEKDAY(AX$1,2)&lt;6),1,0),IF(AND(AZ86&lt;&gt;"",WEEKDAY(AZ$1,2)&lt;6),1,0),IF(AND(BB86&lt;&gt;"",WEEKDAY(BB$1,2)&lt;6),1,0),IF(AND(BD86&lt;&gt;"",WEEKDAY(BD$1,2)&lt;6),1,0),IF(AND(BF86&lt;&gt;"",WEEKDAY(BF$1,2)&lt;6),1,0),IF(AND(BH86&lt;&gt;"",WEEKDAY(BH$1,2)&lt;6),1,0),IF(AND(BJ86&lt;&gt;"",WEEKDAY(BJ$1,2)&lt;6),1,0),IF(AND(BL86&lt;&gt;"",WEEKDAY(BL$1,2)&lt;6),1,0))</f>
        <v>0</v>
      </c>
      <c r="BO86" s="85">
        <f>SUM(IF(AND(E86&lt;&gt;"",WEEKDAY(D$1,2)&lt;6),1,0),IF(AND(G86&lt;&gt;"",WEEKDAY(F$1,2)&lt;6),1,0),IF(AND(I86&lt;&gt;"",WEEKDAY(H$1,2)&lt;6),1,0),IF(AND(K86&lt;&gt;"",WEEKDAY(J$1,2)&lt;6),1,0),IF(AND(M86&lt;&gt;"",WEEKDAY(L$1,2)&lt;6),1,0),IF(AND(O86&lt;&gt;"",WEEKDAY(N$1,2)&lt;6),1,0),IF(AND(Q86&lt;&gt;"",WEEKDAY(P$1,2)&lt;6),1,0),IF(AND(S86&lt;&gt;"",WEEKDAY(R$1,2)&lt;6),1,0),IF(AND(U86&lt;&gt;"",WEEKDAY(T$1,2)&lt;6),1,0),IF(AND(W86&lt;&gt;"",WEEKDAY(V$1,2)&lt;6),1,0),IF(AND(Y86&lt;&gt;"",WEEKDAY(X$1,2)&lt;6),1,0),IF(AND(AA86&lt;&gt;"",WEEKDAY(Z$1,2)&lt;6),1,0),IF(AND(AC86&lt;&gt;"",WEEKDAY(AB$1,2)&lt;6),1,0),IF(AND(AE86&lt;&gt;"",WEEKDAY(AD$1,2)&lt;6),1,0),IF(AND(AG86&lt;&gt;"",WEEKDAY(AF$1,2)&lt;6),1,0),IF(AND(AI86&lt;&gt;"",WEEKDAY(AH$1,2)&lt;6),1,0),IF(AND(AK86&lt;&gt;"",WEEKDAY(AJ$1,2)&lt;6),1,0),IF(AND(AM86&lt;&gt;"",WEEKDAY(AL$1,2)&lt;6),1,0),IF(AND(AO86&lt;&gt;"",WEEKDAY(AN$1,2)&lt;6),1,0),IF(AND(AQ86&lt;&gt;"",WEEKDAY(AP$1,2)&lt;6),1,0),IF(AND(AS86&lt;&gt;"",WEEKDAY(AR$1,2)&lt;6),1,0),IF(AND(AU86&lt;&gt;"",WEEKDAY(AT$1,2)&lt;6),1,0),IF(AND(AW86&lt;&gt;"",WEEKDAY(AV$1,2)&lt;6),1,0),IF(AND(AY86&lt;&gt;"",WEEKDAY(AX$1,2)&lt;6),1,0),IF(AND(BA86&lt;&gt;"",WEEKDAY(AZ$1,2)&lt;6),1,0),IF(AND(BC86&lt;&gt;"",WEEKDAY(BB$1,2)&lt;6),1,0),IF(AND(BE86&lt;&gt;"",WEEKDAY(BD$1,2)&lt;6),1,0),IF(AND(BG86&lt;&gt;"",WEEKDAY(BF$1,2)&lt;6),1,0),IF(AND(BI86&lt;&gt;"",WEEKDAY(BH$1,2)&lt;6),1,0),IF(AND(BK86&lt;&gt;"",WEEKDAY(BJ$1,2)&lt;6),1,0),IF(AND(BM86&lt;&gt;"",WEEKDAY(BL$1,2)&lt;6),1,0))</f>
        <v>0</v>
      </c>
      <c r="BP86" s="85">
        <f>SUM(IF(AND((D86&lt;&gt;"")+(E86&lt;&gt;""),WEEKDAY(D$1,2)=6),1,0),IF(AND((F86&lt;&gt;"")+(G86&lt;&gt;""),WEEKDAY(F$1,2)=6),1,0),IF(AND((H86&lt;&gt;"")+(I86&lt;&gt;""),WEEKDAY(H$1,2)=6),1,0),IF(AND((J86&lt;&gt;"")+(K86&lt;&gt;""),WEEKDAY(J$1,2)=6),1,0),IF(AND((L86&lt;&gt;"")+(M86&lt;&gt;""),WEEKDAY(L$1,2)=6),1,0),IF(AND((N86&lt;&gt;"")+(O86&lt;&gt;""),WEEKDAY(N$1,2)=6),1,0),IF(AND((P86&lt;&gt;"")+(Q86&lt;&gt;""),WEEKDAY(P$1,2)=6),1,0),IF(AND((R86&lt;&gt;"")+(S86&lt;&gt;""),WEEKDAY(R$1,2)=6),1,0),IF(AND((T86&lt;&gt;"")+(U86&lt;&gt;""),WEEKDAY(T$1,2)=6),1,0),IF(AND((V86&lt;&gt;"")+(W86&lt;&gt;""),WEEKDAY(V$1,2)=6),1,0),IF(AND((X86&lt;&gt;"")+(Y86&lt;&gt;""),WEEKDAY(X$1,2)=6),1,0),IF(AND((Z86&lt;&gt;"")+(AA86&lt;&gt;""),WEEKDAY(Z$1,2)=6),1,0),IF(AND((AB86&lt;&gt;"")+(AC86&lt;&gt;""),WEEKDAY(AB$1,2)=6),1,0),IF(AND((AD86&lt;&gt;"")+(AE86&lt;&gt;""),WEEKDAY(AD$1,2)=6),1,0),IF(AND((AF86&lt;&gt;"")+(AG86&lt;&gt;""),WEEKDAY(AF$1,2)=6),1,0),IF(AND((AH86&lt;&gt;"")+(AI86&lt;&gt;""),WEEKDAY(AH$1,2)=6),1,0),IF(AND((AJ86&lt;&gt;"")+(AK86&lt;&gt;""),WEEKDAY(AJ$1,2)=6),1,0),IF(AND((AL86&lt;&gt;"")+(AM86&lt;&gt;""),WEEKDAY(AL$1,2)=6),1,0),IF(AND((AN86&lt;&gt;"")+(AO86&lt;&gt;""),WEEKDAY(AN$1,2)=6),1,0),IF(AND((AP86&lt;&gt;"")+(AQ86&lt;&gt;""),WEEKDAY(AP$1,2)=6),1,0),IF(AND((AR86&lt;&gt;"")+(AS86&lt;&gt;""),WEEKDAY(AR$1,2)=6),1,0),IF(AND((AT86&lt;&gt;"")+(AU86&lt;&gt;""),WEEKDAY(AT$1,2)=6),1,0),IF(AND((AV86&lt;&gt;"")+(AW86&lt;&gt;""),WEEKDAY(AV$1,2)=6),1,0),IF(AND((AX86&lt;&gt;"")+(AY86&lt;&gt;""),WEEKDAY(AX$1,2)=6),1,0),IF(AND((AZ86&lt;&gt;"")+(BA86&lt;&gt;""),WEEKDAY(AZ$1,2)=6),1,0),IF(AND((BB86&lt;&gt;"")+(BC86&lt;&gt;""),WEEKDAY(BB$1,2)=6),1,0),IF(AND((BD86&lt;&gt;"")+(BE86&lt;&gt;""),WEEKDAY(BD$1,2)=6),1,0),IF(AND((BF86&lt;&gt;"")+(BG86&lt;&gt;""),WEEKDAY(BF$1,2)=6),1,0),IF(AND((BH86&lt;&gt;"")+(BI86&lt;&gt;""),WEEKDAY(BH$1,2)=6),1,0),IF(AND((BJ86&lt;&gt;"")+(BK86&lt;&gt;""),WEEKDAY(BJ$1,2)=6),1,0),IF(AND((BL86&lt;&gt;"")+(BM86&lt;&gt;""),WEEKDAY(BL$1,2)=6),1,0))</f>
        <v>0</v>
      </c>
    </row>
    <row r="87" spans="1:68" ht="16.5">
      <c r="A87" s="86" t="s">
        <v>134</v>
      </c>
      <c r="B87" s="86" t="s">
        <v>141</v>
      </c>
      <c r="C87" s="92" t="s">
        <v>142</v>
      </c>
      <c r="D87" s="91"/>
      <c r="E87" s="91"/>
      <c r="F87" s="88">
        <v>0.3923611111111111</v>
      </c>
      <c r="G87" s="85"/>
      <c r="H87" s="88">
        <v>0.39652777777777776</v>
      </c>
      <c r="I87" s="85"/>
      <c r="J87" s="99">
        <v>0.39166666666666666</v>
      </c>
      <c r="K87" s="98"/>
      <c r="L87" s="99">
        <v>0.39652777777777776</v>
      </c>
      <c r="M87" s="99">
        <v>0.21805555555555556</v>
      </c>
      <c r="N87" s="88">
        <v>0.38958333333333334</v>
      </c>
      <c r="O87" s="88">
        <v>0.16319444444444445</v>
      </c>
      <c r="P87" s="95"/>
      <c r="Q87" s="95"/>
      <c r="R87" s="91"/>
      <c r="S87" s="91"/>
      <c r="T87" s="88">
        <v>0.41388888888888886</v>
      </c>
      <c r="U87" s="88">
        <v>0.1673611111111111</v>
      </c>
      <c r="V87" s="88">
        <v>0.37569444444444444</v>
      </c>
      <c r="W87" s="85"/>
      <c r="X87" s="88">
        <v>0.40069444444444446</v>
      </c>
      <c r="Y87" s="88">
        <v>0.17499999999999999</v>
      </c>
      <c r="Z87" s="88">
        <v>0.39513888888888887</v>
      </c>
      <c r="AA87" s="88">
        <v>0.17916666666666667</v>
      </c>
      <c r="AB87" s="88">
        <v>0.3972222222222222</v>
      </c>
      <c r="AC87" s="88">
        <v>0.18680555555555556</v>
      </c>
      <c r="AD87" s="95"/>
      <c r="AE87" s="95"/>
      <c r="AF87" s="91"/>
      <c r="AG87" s="91"/>
      <c r="AH87" s="96"/>
      <c r="AI87" s="96"/>
      <c r="AJ87" s="88">
        <v>0.3972222222222222</v>
      </c>
      <c r="AK87" s="85"/>
      <c r="AL87" s="88">
        <v>0.39513888888888887</v>
      </c>
      <c r="AM87" s="88">
        <v>0.1673611111111111</v>
      </c>
      <c r="AN87" s="88">
        <v>0.3840277777777778</v>
      </c>
      <c r="AO87" s="88">
        <v>0.14791666666666667</v>
      </c>
      <c r="AP87" s="88">
        <v>0.38958333333333334</v>
      </c>
      <c r="AQ87" s="88">
        <v>0.16944444444444445</v>
      </c>
      <c r="AR87" s="95"/>
      <c r="AS87" s="95"/>
      <c r="AT87" s="91"/>
      <c r="AU87" s="91"/>
      <c r="AV87" s="88">
        <v>0.37986111111111109</v>
      </c>
      <c r="AW87" s="88">
        <v>0.15833333333333333</v>
      </c>
      <c r="AX87" s="88">
        <v>0.38611111111111113</v>
      </c>
      <c r="AY87" s="85"/>
      <c r="AZ87" s="88">
        <v>0.3659722222222222</v>
      </c>
      <c r="BA87" s="85"/>
      <c r="BB87" s="85"/>
      <c r="BC87" s="85"/>
      <c r="BD87" s="85"/>
      <c r="BE87" s="85"/>
      <c r="BF87" s="95"/>
      <c r="BG87" s="95"/>
      <c r="BH87" s="91"/>
      <c r="BI87" s="91"/>
      <c r="BJ87" s="88">
        <v>0.41805555555555557</v>
      </c>
      <c r="BK87" s="88">
        <v>0.1701388888888889</v>
      </c>
      <c r="BL87" s="99">
        <v>0.36458333333333331</v>
      </c>
      <c r="BM87" s="99">
        <v>0.25208333333333333</v>
      </c>
      <c r="BN87" s="85">
        <f>SUM(IF(AND(D87&lt;&gt;"",WEEKDAY(D$1,2)&lt;6),1,0),IF(AND(F87&lt;&gt;"",WEEKDAY(F$1,2)&lt;6),1,0),IF(AND(H87&lt;&gt;"",WEEKDAY(H$1,2)&lt;6),1,0),IF(AND(J87&lt;&gt;"",WEEKDAY(J$1,2)&lt;6),1,0),IF(AND(L87&lt;&gt;"",WEEKDAY(L$1,2)&lt;6),1,0),IF(AND(N87&lt;&gt;"",WEEKDAY(N$1,2)&lt;6),1,0),IF(AND(P87&lt;&gt;"",WEEKDAY(P$1,2)&lt;6),1,0),IF(AND(R87&lt;&gt;"",WEEKDAY(R$1,2)&lt;6),1,0),IF(AND(T87&lt;&gt;"",WEEKDAY(T$1,2)&lt;6),1,0),IF(AND(V87&lt;&gt;"",WEEKDAY(V$1,2)&lt;6),1,0),IF(AND(X87&lt;&gt;"",WEEKDAY(X$1,2)&lt;6),1,0),IF(AND(Z87&lt;&gt;"",WEEKDAY(Z$1,2)&lt;6),1,0),IF(AND(AB87&lt;&gt;"",WEEKDAY(AB$1,2)&lt;6),1,0),IF(AND(AD87&lt;&gt;"",WEEKDAY(AD$1,2)&lt;6),1,0),IF(AND(AF87&lt;&gt;"",WEEKDAY(AF$1,2)&lt;6),1,0),IF(AND(AH87&lt;&gt;"",WEEKDAY(AH$1,2)&lt;6),1,0),IF(AND(AJ87&lt;&gt;"",WEEKDAY(AJ$1,2)&lt;6),1,0),IF(AND(AL87&lt;&gt;"",WEEKDAY(AL$1,2)&lt;6),1,0),IF(AND(AN87&lt;&gt;"",WEEKDAY(AN$1,2)&lt;6),1,0),IF(AND(AP87&lt;&gt;"",WEEKDAY(AP$1,2)&lt;6),1,0),IF(AND(AR87&lt;&gt;"",WEEKDAY(AR$1,2)&lt;6),1,0),IF(AND(AT87&lt;&gt;"",WEEKDAY(AT$1,2)&lt;6),1,0),IF(AND(AV87&lt;&gt;"",WEEKDAY(AV$1,2)&lt;6),1,0),IF(AND(AX87&lt;&gt;"",WEEKDAY(AX$1,2)&lt;6),1,0),IF(AND(AZ87&lt;&gt;"",WEEKDAY(AZ$1,2)&lt;6),1,0),IF(AND(BB87&lt;&gt;"",WEEKDAY(BB$1,2)&lt;6),1,0),IF(AND(BD87&lt;&gt;"",WEEKDAY(BD$1,2)&lt;6),1,0),IF(AND(BF87&lt;&gt;"",WEEKDAY(BF$1,2)&lt;6),1,0),IF(AND(BH87&lt;&gt;"",WEEKDAY(BH$1,2)&lt;6),1,0),IF(AND(BJ87&lt;&gt;"",WEEKDAY(BJ$1,2)&lt;6),1,0),IF(AND(BL87&lt;&gt;"",WEEKDAY(BL$1,2)&lt;6),1,0))</f>
        <v>19</v>
      </c>
      <c r="BO87" s="85">
        <f>SUM(IF(AND(E87&lt;&gt;"",WEEKDAY(D$1,2)&lt;6),1,0),IF(AND(G87&lt;&gt;"",WEEKDAY(F$1,2)&lt;6),1,0),IF(AND(I87&lt;&gt;"",WEEKDAY(H$1,2)&lt;6),1,0),IF(AND(K87&lt;&gt;"",WEEKDAY(J$1,2)&lt;6),1,0),IF(AND(M87&lt;&gt;"",WEEKDAY(L$1,2)&lt;6),1,0),IF(AND(O87&lt;&gt;"",WEEKDAY(N$1,2)&lt;6),1,0),IF(AND(Q87&lt;&gt;"",WEEKDAY(P$1,2)&lt;6),1,0),IF(AND(S87&lt;&gt;"",WEEKDAY(R$1,2)&lt;6),1,0),IF(AND(U87&lt;&gt;"",WEEKDAY(T$1,2)&lt;6),1,0),IF(AND(W87&lt;&gt;"",WEEKDAY(V$1,2)&lt;6),1,0),IF(AND(Y87&lt;&gt;"",WEEKDAY(X$1,2)&lt;6),1,0),IF(AND(AA87&lt;&gt;"",WEEKDAY(Z$1,2)&lt;6),1,0),IF(AND(AC87&lt;&gt;"",WEEKDAY(AB$1,2)&lt;6),1,0),IF(AND(AE87&lt;&gt;"",WEEKDAY(AD$1,2)&lt;6),1,0),IF(AND(AG87&lt;&gt;"",WEEKDAY(AF$1,2)&lt;6),1,0),IF(AND(AI87&lt;&gt;"",WEEKDAY(AH$1,2)&lt;6),1,0),IF(AND(AK87&lt;&gt;"",WEEKDAY(AJ$1,2)&lt;6),1,0),IF(AND(AM87&lt;&gt;"",WEEKDAY(AL$1,2)&lt;6),1,0),IF(AND(AO87&lt;&gt;"",WEEKDAY(AN$1,2)&lt;6),1,0),IF(AND(AQ87&lt;&gt;"",WEEKDAY(AP$1,2)&lt;6),1,0),IF(AND(AS87&lt;&gt;"",WEEKDAY(AR$1,2)&lt;6),1,0),IF(AND(AU87&lt;&gt;"",WEEKDAY(AT$1,2)&lt;6),1,0),IF(AND(AW87&lt;&gt;"",WEEKDAY(AV$1,2)&lt;6),1,0),IF(AND(AY87&lt;&gt;"",WEEKDAY(AX$1,2)&lt;6),1,0),IF(AND(BA87&lt;&gt;"",WEEKDAY(AZ$1,2)&lt;6),1,0),IF(AND(BC87&lt;&gt;"",WEEKDAY(BB$1,2)&lt;6),1,0),IF(AND(BE87&lt;&gt;"",WEEKDAY(BD$1,2)&lt;6),1,0),IF(AND(BG87&lt;&gt;"",WEEKDAY(BF$1,2)&lt;6),1,0),IF(AND(BI87&lt;&gt;"",WEEKDAY(BH$1,2)&lt;6),1,0),IF(AND(BK87&lt;&gt;"",WEEKDAY(BJ$1,2)&lt;6),1,0),IF(AND(BM87&lt;&gt;"",WEEKDAY(BL$1,2)&lt;6),1,0))</f>
        <v>12</v>
      </c>
      <c r="BP87" s="85">
        <f>SUM(IF(AND((D87&lt;&gt;"")+(E87&lt;&gt;""),WEEKDAY(D$1,2)=6),1,0),IF(AND((F87&lt;&gt;"")+(G87&lt;&gt;""),WEEKDAY(F$1,2)=6),1,0),IF(AND((H87&lt;&gt;"")+(I87&lt;&gt;""),WEEKDAY(H$1,2)=6),1,0),IF(AND((J87&lt;&gt;"")+(K87&lt;&gt;""),WEEKDAY(J$1,2)=6),1,0),IF(AND((L87&lt;&gt;"")+(M87&lt;&gt;""),WEEKDAY(L$1,2)=6),1,0),IF(AND((N87&lt;&gt;"")+(O87&lt;&gt;""),WEEKDAY(N$1,2)=6),1,0),IF(AND((P87&lt;&gt;"")+(Q87&lt;&gt;""),WEEKDAY(P$1,2)=6),1,0),IF(AND((R87&lt;&gt;"")+(S87&lt;&gt;""),WEEKDAY(R$1,2)=6),1,0),IF(AND((T87&lt;&gt;"")+(U87&lt;&gt;""),WEEKDAY(T$1,2)=6),1,0),IF(AND((V87&lt;&gt;"")+(W87&lt;&gt;""),WEEKDAY(V$1,2)=6),1,0),IF(AND((X87&lt;&gt;"")+(Y87&lt;&gt;""),WEEKDAY(X$1,2)=6),1,0),IF(AND((Z87&lt;&gt;"")+(AA87&lt;&gt;""),WEEKDAY(Z$1,2)=6),1,0),IF(AND((AB87&lt;&gt;"")+(AC87&lt;&gt;""),WEEKDAY(AB$1,2)=6),1,0),IF(AND((AD87&lt;&gt;"")+(AE87&lt;&gt;""),WEEKDAY(AD$1,2)=6),1,0),IF(AND((AF87&lt;&gt;"")+(AG87&lt;&gt;""),WEEKDAY(AF$1,2)=6),1,0),IF(AND((AH87&lt;&gt;"")+(AI87&lt;&gt;""),WEEKDAY(AH$1,2)=6),1,0),IF(AND((AJ87&lt;&gt;"")+(AK87&lt;&gt;""),WEEKDAY(AJ$1,2)=6),1,0),IF(AND((AL87&lt;&gt;"")+(AM87&lt;&gt;""),WEEKDAY(AL$1,2)=6),1,0),IF(AND((AN87&lt;&gt;"")+(AO87&lt;&gt;""),WEEKDAY(AN$1,2)=6),1,0),IF(AND((AP87&lt;&gt;"")+(AQ87&lt;&gt;""),WEEKDAY(AP$1,2)=6),1,0),IF(AND((AR87&lt;&gt;"")+(AS87&lt;&gt;""),WEEKDAY(AR$1,2)=6),1,0),IF(AND((AT87&lt;&gt;"")+(AU87&lt;&gt;""),WEEKDAY(AT$1,2)=6),1,0),IF(AND((AV87&lt;&gt;"")+(AW87&lt;&gt;""),WEEKDAY(AV$1,2)=6),1,0),IF(AND((AX87&lt;&gt;"")+(AY87&lt;&gt;""),WEEKDAY(AX$1,2)=6),1,0),IF(AND((AZ87&lt;&gt;"")+(BA87&lt;&gt;""),WEEKDAY(AZ$1,2)=6),1,0),IF(AND((BB87&lt;&gt;"")+(BC87&lt;&gt;""),WEEKDAY(BB$1,2)=6),1,0),IF(AND((BD87&lt;&gt;"")+(BE87&lt;&gt;""),WEEKDAY(BD$1,2)=6),1,0),IF(AND((BF87&lt;&gt;"")+(BG87&lt;&gt;""),WEEKDAY(BF$1,2)=6),1,0),IF(AND((BH87&lt;&gt;"")+(BI87&lt;&gt;""),WEEKDAY(BH$1,2)=6),1,0),IF(AND((BJ87&lt;&gt;"")+(BK87&lt;&gt;""),WEEKDAY(BJ$1,2)=6),1,0),IF(AND((BL87&lt;&gt;"")+(BM87&lt;&gt;""),WEEKDAY(BL$1,2)=6),1,0))</f>
        <v>0</v>
      </c>
    </row>
    <row r="88" spans="1:68" ht="16.5">
      <c r="A88" s="86" t="s">
        <v>134</v>
      </c>
      <c r="B88" s="86" t="s">
        <v>141</v>
      </c>
      <c r="C88" s="92" t="s">
        <v>143</v>
      </c>
      <c r="D88" s="91"/>
      <c r="E88" s="91"/>
      <c r="F88" s="85"/>
      <c r="G88" s="85"/>
      <c r="H88" s="85"/>
      <c r="I88" s="85"/>
      <c r="J88" s="98"/>
      <c r="K88" s="98"/>
      <c r="L88" s="98"/>
      <c r="M88" s="98"/>
      <c r="N88" s="85"/>
      <c r="O88" s="85"/>
      <c r="P88" s="95"/>
      <c r="Q88" s="95"/>
      <c r="R88" s="91"/>
      <c r="S88" s="91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95"/>
      <c r="AE88" s="95"/>
      <c r="AF88" s="91"/>
      <c r="AG88" s="91"/>
      <c r="AH88" s="96"/>
      <c r="AI88" s="96"/>
      <c r="AJ88" s="85"/>
      <c r="AK88" s="85"/>
      <c r="AL88" s="85"/>
      <c r="AM88" s="85"/>
      <c r="AN88" s="85"/>
      <c r="AO88" s="85"/>
      <c r="AP88" s="85"/>
      <c r="AQ88" s="85"/>
      <c r="AR88" s="95"/>
      <c r="AS88" s="95"/>
      <c r="AT88" s="91"/>
      <c r="AU88" s="91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95"/>
      <c r="BG88" s="95"/>
      <c r="BH88" s="91"/>
      <c r="BI88" s="91"/>
      <c r="BJ88" s="85"/>
      <c r="BK88" s="85"/>
      <c r="BL88" s="98"/>
      <c r="BM88" s="98"/>
      <c r="BN88" s="85">
        <f>SUM(IF(AND(D88&lt;&gt;"",WEEKDAY(D$1,2)&lt;6),1,0),IF(AND(F88&lt;&gt;"",WEEKDAY(F$1,2)&lt;6),1,0),IF(AND(H88&lt;&gt;"",WEEKDAY(H$1,2)&lt;6),1,0),IF(AND(J88&lt;&gt;"",WEEKDAY(J$1,2)&lt;6),1,0),IF(AND(L88&lt;&gt;"",WEEKDAY(L$1,2)&lt;6),1,0),IF(AND(N88&lt;&gt;"",WEEKDAY(N$1,2)&lt;6),1,0),IF(AND(P88&lt;&gt;"",WEEKDAY(P$1,2)&lt;6),1,0),IF(AND(R88&lt;&gt;"",WEEKDAY(R$1,2)&lt;6),1,0),IF(AND(T88&lt;&gt;"",WEEKDAY(T$1,2)&lt;6),1,0),IF(AND(V88&lt;&gt;"",WEEKDAY(V$1,2)&lt;6),1,0),IF(AND(X88&lt;&gt;"",WEEKDAY(X$1,2)&lt;6),1,0),IF(AND(Z88&lt;&gt;"",WEEKDAY(Z$1,2)&lt;6),1,0),IF(AND(AB88&lt;&gt;"",WEEKDAY(AB$1,2)&lt;6),1,0),IF(AND(AD88&lt;&gt;"",WEEKDAY(AD$1,2)&lt;6),1,0),IF(AND(AF88&lt;&gt;"",WEEKDAY(AF$1,2)&lt;6),1,0),IF(AND(AH88&lt;&gt;"",WEEKDAY(AH$1,2)&lt;6),1,0),IF(AND(AJ88&lt;&gt;"",WEEKDAY(AJ$1,2)&lt;6),1,0),IF(AND(AL88&lt;&gt;"",WEEKDAY(AL$1,2)&lt;6),1,0),IF(AND(AN88&lt;&gt;"",WEEKDAY(AN$1,2)&lt;6),1,0),IF(AND(AP88&lt;&gt;"",WEEKDAY(AP$1,2)&lt;6),1,0),IF(AND(AR88&lt;&gt;"",WEEKDAY(AR$1,2)&lt;6),1,0),IF(AND(AT88&lt;&gt;"",WEEKDAY(AT$1,2)&lt;6),1,0),IF(AND(AV88&lt;&gt;"",WEEKDAY(AV$1,2)&lt;6),1,0),IF(AND(AX88&lt;&gt;"",WEEKDAY(AX$1,2)&lt;6),1,0),IF(AND(AZ88&lt;&gt;"",WEEKDAY(AZ$1,2)&lt;6),1,0),IF(AND(BB88&lt;&gt;"",WEEKDAY(BB$1,2)&lt;6),1,0),IF(AND(BD88&lt;&gt;"",WEEKDAY(BD$1,2)&lt;6),1,0),IF(AND(BF88&lt;&gt;"",WEEKDAY(BF$1,2)&lt;6),1,0),IF(AND(BH88&lt;&gt;"",WEEKDAY(BH$1,2)&lt;6),1,0),IF(AND(BJ88&lt;&gt;"",WEEKDAY(BJ$1,2)&lt;6),1,0),IF(AND(BL88&lt;&gt;"",WEEKDAY(BL$1,2)&lt;6),1,0))</f>
        <v>0</v>
      </c>
      <c r="BO88" s="85">
        <f>SUM(IF(AND(E88&lt;&gt;"",WEEKDAY(D$1,2)&lt;6),1,0),IF(AND(G88&lt;&gt;"",WEEKDAY(F$1,2)&lt;6),1,0),IF(AND(I88&lt;&gt;"",WEEKDAY(H$1,2)&lt;6),1,0),IF(AND(K88&lt;&gt;"",WEEKDAY(J$1,2)&lt;6),1,0),IF(AND(M88&lt;&gt;"",WEEKDAY(L$1,2)&lt;6),1,0),IF(AND(O88&lt;&gt;"",WEEKDAY(N$1,2)&lt;6),1,0),IF(AND(Q88&lt;&gt;"",WEEKDAY(P$1,2)&lt;6),1,0),IF(AND(S88&lt;&gt;"",WEEKDAY(R$1,2)&lt;6),1,0),IF(AND(U88&lt;&gt;"",WEEKDAY(T$1,2)&lt;6),1,0),IF(AND(W88&lt;&gt;"",WEEKDAY(V$1,2)&lt;6),1,0),IF(AND(Y88&lt;&gt;"",WEEKDAY(X$1,2)&lt;6),1,0),IF(AND(AA88&lt;&gt;"",WEEKDAY(Z$1,2)&lt;6),1,0),IF(AND(AC88&lt;&gt;"",WEEKDAY(AB$1,2)&lt;6),1,0),IF(AND(AE88&lt;&gt;"",WEEKDAY(AD$1,2)&lt;6),1,0),IF(AND(AG88&lt;&gt;"",WEEKDAY(AF$1,2)&lt;6),1,0),IF(AND(AI88&lt;&gt;"",WEEKDAY(AH$1,2)&lt;6),1,0),IF(AND(AK88&lt;&gt;"",WEEKDAY(AJ$1,2)&lt;6),1,0),IF(AND(AM88&lt;&gt;"",WEEKDAY(AL$1,2)&lt;6),1,0),IF(AND(AO88&lt;&gt;"",WEEKDAY(AN$1,2)&lt;6),1,0),IF(AND(AQ88&lt;&gt;"",WEEKDAY(AP$1,2)&lt;6),1,0),IF(AND(AS88&lt;&gt;"",WEEKDAY(AR$1,2)&lt;6),1,0),IF(AND(AU88&lt;&gt;"",WEEKDAY(AT$1,2)&lt;6),1,0),IF(AND(AW88&lt;&gt;"",WEEKDAY(AV$1,2)&lt;6),1,0),IF(AND(AY88&lt;&gt;"",WEEKDAY(AX$1,2)&lt;6),1,0),IF(AND(BA88&lt;&gt;"",WEEKDAY(AZ$1,2)&lt;6),1,0),IF(AND(BC88&lt;&gt;"",WEEKDAY(BB$1,2)&lt;6),1,0),IF(AND(BE88&lt;&gt;"",WEEKDAY(BD$1,2)&lt;6),1,0),IF(AND(BG88&lt;&gt;"",WEEKDAY(BF$1,2)&lt;6),1,0),IF(AND(BI88&lt;&gt;"",WEEKDAY(BH$1,2)&lt;6),1,0),IF(AND(BK88&lt;&gt;"",WEEKDAY(BJ$1,2)&lt;6),1,0),IF(AND(BM88&lt;&gt;"",WEEKDAY(BL$1,2)&lt;6),1,0))</f>
        <v>0</v>
      </c>
      <c r="BP88" s="85">
        <f>SUM(IF(AND((D88&lt;&gt;"")+(E88&lt;&gt;""),WEEKDAY(D$1,2)=6),1,0),IF(AND((F88&lt;&gt;"")+(G88&lt;&gt;""),WEEKDAY(F$1,2)=6),1,0),IF(AND((H88&lt;&gt;"")+(I88&lt;&gt;""),WEEKDAY(H$1,2)=6),1,0),IF(AND((J88&lt;&gt;"")+(K88&lt;&gt;""),WEEKDAY(J$1,2)=6),1,0),IF(AND((L88&lt;&gt;"")+(M88&lt;&gt;""),WEEKDAY(L$1,2)=6),1,0),IF(AND((N88&lt;&gt;"")+(O88&lt;&gt;""),WEEKDAY(N$1,2)=6),1,0),IF(AND((P88&lt;&gt;"")+(Q88&lt;&gt;""),WEEKDAY(P$1,2)=6),1,0),IF(AND((R88&lt;&gt;"")+(S88&lt;&gt;""),WEEKDAY(R$1,2)=6),1,0),IF(AND((T88&lt;&gt;"")+(U88&lt;&gt;""),WEEKDAY(T$1,2)=6),1,0),IF(AND((V88&lt;&gt;"")+(W88&lt;&gt;""),WEEKDAY(V$1,2)=6),1,0),IF(AND((X88&lt;&gt;"")+(Y88&lt;&gt;""),WEEKDAY(X$1,2)=6),1,0),IF(AND((Z88&lt;&gt;"")+(AA88&lt;&gt;""),WEEKDAY(Z$1,2)=6),1,0),IF(AND((AB88&lt;&gt;"")+(AC88&lt;&gt;""),WEEKDAY(AB$1,2)=6),1,0),IF(AND((AD88&lt;&gt;"")+(AE88&lt;&gt;""),WEEKDAY(AD$1,2)=6),1,0),IF(AND((AF88&lt;&gt;"")+(AG88&lt;&gt;""),WEEKDAY(AF$1,2)=6),1,0),IF(AND((AH88&lt;&gt;"")+(AI88&lt;&gt;""),WEEKDAY(AH$1,2)=6),1,0),IF(AND((AJ88&lt;&gt;"")+(AK88&lt;&gt;""),WEEKDAY(AJ$1,2)=6),1,0),IF(AND((AL88&lt;&gt;"")+(AM88&lt;&gt;""),WEEKDAY(AL$1,2)=6),1,0),IF(AND((AN88&lt;&gt;"")+(AO88&lt;&gt;""),WEEKDAY(AN$1,2)=6),1,0),IF(AND((AP88&lt;&gt;"")+(AQ88&lt;&gt;""),WEEKDAY(AP$1,2)=6),1,0),IF(AND((AR88&lt;&gt;"")+(AS88&lt;&gt;""),WEEKDAY(AR$1,2)=6),1,0),IF(AND((AT88&lt;&gt;"")+(AU88&lt;&gt;""),WEEKDAY(AT$1,2)=6),1,0),IF(AND((AV88&lt;&gt;"")+(AW88&lt;&gt;""),WEEKDAY(AV$1,2)=6),1,0),IF(AND((AX88&lt;&gt;"")+(AY88&lt;&gt;""),WEEKDAY(AX$1,2)=6),1,0),IF(AND((AZ88&lt;&gt;"")+(BA88&lt;&gt;""),WEEKDAY(AZ$1,2)=6),1,0),IF(AND((BB88&lt;&gt;"")+(BC88&lt;&gt;""),WEEKDAY(BB$1,2)=6),1,0),IF(AND((BD88&lt;&gt;"")+(BE88&lt;&gt;""),WEEKDAY(BD$1,2)=6),1,0),IF(AND((BF88&lt;&gt;"")+(BG88&lt;&gt;""),WEEKDAY(BF$1,2)=6),1,0),IF(AND((BH88&lt;&gt;"")+(BI88&lt;&gt;""),WEEKDAY(BH$1,2)=6),1,0),IF(AND((BJ88&lt;&gt;"")+(BK88&lt;&gt;""),WEEKDAY(BJ$1,2)=6),1,0),IF(AND((BL88&lt;&gt;"")+(BM88&lt;&gt;""),WEEKDAY(BL$1,2)=6),1,0))</f>
        <v>0</v>
      </c>
    </row>
    <row r="89" spans="1:68" ht="16.5">
      <c r="A89" s="86" t="s">
        <v>134</v>
      </c>
      <c r="B89" s="86" t="s">
        <v>141</v>
      </c>
      <c r="C89" s="92" t="s">
        <v>144</v>
      </c>
      <c r="D89" s="91"/>
      <c r="E89" s="91"/>
      <c r="F89" s="85"/>
      <c r="G89" s="85"/>
      <c r="H89" s="85"/>
      <c r="I89" s="85"/>
      <c r="J89" s="98"/>
      <c r="K89" s="98"/>
      <c r="L89" s="98"/>
      <c r="M89" s="98"/>
      <c r="N89" s="85"/>
      <c r="O89" s="85"/>
      <c r="P89" s="95"/>
      <c r="Q89" s="95"/>
      <c r="R89" s="91"/>
      <c r="S89" s="91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95"/>
      <c r="AE89" s="95"/>
      <c r="AF89" s="91"/>
      <c r="AG89" s="91"/>
      <c r="AH89" s="96"/>
      <c r="AI89" s="96"/>
      <c r="AJ89" s="85"/>
      <c r="AK89" s="85"/>
      <c r="AL89" s="85"/>
      <c r="AM89" s="85"/>
      <c r="AN89" s="85"/>
      <c r="AO89" s="85"/>
      <c r="AP89" s="85"/>
      <c r="AQ89" s="85"/>
      <c r="AR89" s="95"/>
      <c r="AS89" s="95"/>
      <c r="AT89" s="91"/>
      <c r="AU89" s="91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95"/>
      <c r="BG89" s="95"/>
      <c r="BH89" s="91"/>
      <c r="BI89" s="91"/>
      <c r="BJ89" s="85"/>
      <c r="BK89" s="85"/>
      <c r="BL89" s="98"/>
      <c r="BM89" s="98"/>
      <c r="BN89" s="85">
        <f>SUM(IF(AND(D89&lt;&gt;"",WEEKDAY(D$1,2)&lt;6),1,0),IF(AND(F89&lt;&gt;"",WEEKDAY(F$1,2)&lt;6),1,0),IF(AND(H89&lt;&gt;"",WEEKDAY(H$1,2)&lt;6),1,0),IF(AND(J89&lt;&gt;"",WEEKDAY(J$1,2)&lt;6),1,0),IF(AND(L89&lt;&gt;"",WEEKDAY(L$1,2)&lt;6),1,0),IF(AND(N89&lt;&gt;"",WEEKDAY(N$1,2)&lt;6),1,0),IF(AND(P89&lt;&gt;"",WEEKDAY(P$1,2)&lt;6),1,0),IF(AND(R89&lt;&gt;"",WEEKDAY(R$1,2)&lt;6),1,0),IF(AND(T89&lt;&gt;"",WEEKDAY(T$1,2)&lt;6),1,0),IF(AND(V89&lt;&gt;"",WEEKDAY(V$1,2)&lt;6),1,0),IF(AND(X89&lt;&gt;"",WEEKDAY(X$1,2)&lt;6),1,0),IF(AND(Z89&lt;&gt;"",WEEKDAY(Z$1,2)&lt;6),1,0),IF(AND(AB89&lt;&gt;"",WEEKDAY(AB$1,2)&lt;6),1,0),IF(AND(AD89&lt;&gt;"",WEEKDAY(AD$1,2)&lt;6),1,0),IF(AND(AF89&lt;&gt;"",WEEKDAY(AF$1,2)&lt;6),1,0),IF(AND(AH89&lt;&gt;"",WEEKDAY(AH$1,2)&lt;6),1,0),IF(AND(AJ89&lt;&gt;"",WEEKDAY(AJ$1,2)&lt;6),1,0),IF(AND(AL89&lt;&gt;"",WEEKDAY(AL$1,2)&lt;6),1,0),IF(AND(AN89&lt;&gt;"",WEEKDAY(AN$1,2)&lt;6),1,0),IF(AND(AP89&lt;&gt;"",WEEKDAY(AP$1,2)&lt;6),1,0),IF(AND(AR89&lt;&gt;"",WEEKDAY(AR$1,2)&lt;6),1,0),IF(AND(AT89&lt;&gt;"",WEEKDAY(AT$1,2)&lt;6),1,0),IF(AND(AV89&lt;&gt;"",WEEKDAY(AV$1,2)&lt;6),1,0),IF(AND(AX89&lt;&gt;"",WEEKDAY(AX$1,2)&lt;6),1,0),IF(AND(AZ89&lt;&gt;"",WEEKDAY(AZ$1,2)&lt;6),1,0),IF(AND(BB89&lt;&gt;"",WEEKDAY(BB$1,2)&lt;6),1,0),IF(AND(BD89&lt;&gt;"",WEEKDAY(BD$1,2)&lt;6),1,0),IF(AND(BF89&lt;&gt;"",WEEKDAY(BF$1,2)&lt;6),1,0),IF(AND(BH89&lt;&gt;"",WEEKDAY(BH$1,2)&lt;6),1,0),IF(AND(BJ89&lt;&gt;"",WEEKDAY(BJ$1,2)&lt;6),1,0),IF(AND(BL89&lt;&gt;"",WEEKDAY(BL$1,2)&lt;6),1,0))</f>
        <v>0</v>
      </c>
      <c r="BO89" s="85">
        <f>SUM(IF(AND(E89&lt;&gt;"",WEEKDAY(D$1,2)&lt;6),1,0),IF(AND(G89&lt;&gt;"",WEEKDAY(F$1,2)&lt;6),1,0),IF(AND(I89&lt;&gt;"",WEEKDAY(H$1,2)&lt;6),1,0),IF(AND(K89&lt;&gt;"",WEEKDAY(J$1,2)&lt;6),1,0),IF(AND(M89&lt;&gt;"",WEEKDAY(L$1,2)&lt;6),1,0),IF(AND(O89&lt;&gt;"",WEEKDAY(N$1,2)&lt;6),1,0),IF(AND(Q89&lt;&gt;"",WEEKDAY(P$1,2)&lt;6),1,0),IF(AND(S89&lt;&gt;"",WEEKDAY(R$1,2)&lt;6),1,0),IF(AND(U89&lt;&gt;"",WEEKDAY(T$1,2)&lt;6),1,0),IF(AND(W89&lt;&gt;"",WEEKDAY(V$1,2)&lt;6),1,0),IF(AND(Y89&lt;&gt;"",WEEKDAY(X$1,2)&lt;6),1,0),IF(AND(AA89&lt;&gt;"",WEEKDAY(Z$1,2)&lt;6),1,0),IF(AND(AC89&lt;&gt;"",WEEKDAY(AB$1,2)&lt;6),1,0),IF(AND(AE89&lt;&gt;"",WEEKDAY(AD$1,2)&lt;6),1,0),IF(AND(AG89&lt;&gt;"",WEEKDAY(AF$1,2)&lt;6),1,0),IF(AND(AI89&lt;&gt;"",WEEKDAY(AH$1,2)&lt;6),1,0),IF(AND(AK89&lt;&gt;"",WEEKDAY(AJ$1,2)&lt;6),1,0),IF(AND(AM89&lt;&gt;"",WEEKDAY(AL$1,2)&lt;6),1,0),IF(AND(AO89&lt;&gt;"",WEEKDAY(AN$1,2)&lt;6),1,0),IF(AND(AQ89&lt;&gt;"",WEEKDAY(AP$1,2)&lt;6),1,0),IF(AND(AS89&lt;&gt;"",WEEKDAY(AR$1,2)&lt;6),1,0),IF(AND(AU89&lt;&gt;"",WEEKDAY(AT$1,2)&lt;6),1,0),IF(AND(AW89&lt;&gt;"",WEEKDAY(AV$1,2)&lt;6),1,0),IF(AND(AY89&lt;&gt;"",WEEKDAY(AX$1,2)&lt;6),1,0),IF(AND(BA89&lt;&gt;"",WEEKDAY(AZ$1,2)&lt;6),1,0),IF(AND(BC89&lt;&gt;"",WEEKDAY(BB$1,2)&lt;6),1,0),IF(AND(BE89&lt;&gt;"",WEEKDAY(BD$1,2)&lt;6),1,0),IF(AND(BG89&lt;&gt;"",WEEKDAY(BF$1,2)&lt;6),1,0),IF(AND(BI89&lt;&gt;"",WEEKDAY(BH$1,2)&lt;6),1,0),IF(AND(BK89&lt;&gt;"",WEEKDAY(BJ$1,2)&lt;6),1,0),IF(AND(BM89&lt;&gt;"",WEEKDAY(BL$1,2)&lt;6),1,0))</f>
        <v>0</v>
      </c>
      <c r="BP89" s="85">
        <f>SUM(IF(AND((D89&lt;&gt;"")+(E89&lt;&gt;""),WEEKDAY(D$1,2)=6),1,0),IF(AND((F89&lt;&gt;"")+(G89&lt;&gt;""),WEEKDAY(F$1,2)=6),1,0),IF(AND((H89&lt;&gt;"")+(I89&lt;&gt;""),WEEKDAY(H$1,2)=6),1,0),IF(AND((J89&lt;&gt;"")+(K89&lt;&gt;""),WEEKDAY(J$1,2)=6),1,0),IF(AND((L89&lt;&gt;"")+(M89&lt;&gt;""),WEEKDAY(L$1,2)=6),1,0),IF(AND((N89&lt;&gt;"")+(O89&lt;&gt;""),WEEKDAY(N$1,2)=6),1,0),IF(AND((P89&lt;&gt;"")+(Q89&lt;&gt;""),WEEKDAY(P$1,2)=6),1,0),IF(AND((R89&lt;&gt;"")+(S89&lt;&gt;""),WEEKDAY(R$1,2)=6),1,0),IF(AND((T89&lt;&gt;"")+(U89&lt;&gt;""),WEEKDAY(T$1,2)=6),1,0),IF(AND((V89&lt;&gt;"")+(W89&lt;&gt;""),WEEKDAY(V$1,2)=6),1,0),IF(AND((X89&lt;&gt;"")+(Y89&lt;&gt;""),WEEKDAY(X$1,2)=6),1,0),IF(AND((Z89&lt;&gt;"")+(AA89&lt;&gt;""),WEEKDAY(Z$1,2)=6),1,0),IF(AND((AB89&lt;&gt;"")+(AC89&lt;&gt;""),WEEKDAY(AB$1,2)=6),1,0),IF(AND((AD89&lt;&gt;"")+(AE89&lt;&gt;""),WEEKDAY(AD$1,2)=6),1,0),IF(AND((AF89&lt;&gt;"")+(AG89&lt;&gt;""),WEEKDAY(AF$1,2)=6),1,0),IF(AND((AH89&lt;&gt;"")+(AI89&lt;&gt;""),WEEKDAY(AH$1,2)=6),1,0),IF(AND((AJ89&lt;&gt;"")+(AK89&lt;&gt;""),WEEKDAY(AJ$1,2)=6),1,0),IF(AND((AL89&lt;&gt;"")+(AM89&lt;&gt;""),WEEKDAY(AL$1,2)=6),1,0),IF(AND((AN89&lt;&gt;"")+(AO89&lt;&gt;""),WEEKDAY(AN$1,2)=6),1,0),IF(AND((AP89&lt;&gt;"")+(AQ89&lt;&gt;""),WEEKDAY(AP$1,2)=6),1,0),IF(AND((AR89&lt;&gt;"")+(AS89&lt;&gt;""),WEEKDAY(AR$1,2)=6),1,0),IF(AND((AT89&lt;&gt;"")+(AU89&lt;&gt;""),WEEKDAY(AT$1,2)=6),1,0),IF(AND((AV89&lt;&gt;"")+(AW89&lt;&gt;""),WEEKDAY(AV$1,2)=6),1,0),IF(AND((AX89&lt;&gt;"")+(AY89&lt;&gt;""),WEEKDAY(AX$1,2)=6),1,0),IF(AND((AZ89&lt;&gt;"")+(BA89&lt;&gt;""),WEEKDAY(AZ$1,2)=6),1,0),IF(AND((BB89&lt;&gt;"")+(BC89&lt;&gt;""),WEEKDAY(BB$1,2)=6),1,0),IF(AND((BD89&lt;&gt;"")+(BE89&lt;&gt;""),WEEKDAY(BD$1,2)=6),1,0),IF(AND((BF89&lt;&gt;"")+(BG89&lt;&gt;""),WEEKDAY(BF$1,2)=6),1,0),IF(AND((BH89&lt;&gt;"")+(BI89&lt;&gt;""),WEEKDAY(BH$1,2)=6),1,0),IF(AND((BJ89&lt;&gt;"")+(BK89&lt;&gt;""),WEEKDAY(BJ$1,2)=6),1,0),IF(AND((BL89&lt;&gt;"")+(BM89&lt;&gt;""),WEEKDAY(BL$1,2)=6),1,0))</f>
        <v>0</v>
      </c>
    </row>
    <row r="90" spans="1:68" ht="16.5">
      <c r="A90" s="86" t="s">
        <v>134</v>
      </c>
      <c r="B90" s="86" t="s">
        <v>145</v>
      </c>
      <c r="C90" s="92" t="s">
        <v>146</v>
      </c>
      <c r="D90" s="91"/>
      <c r="E90" s="91"/>
      <c r="F90" s="85"/>
      <c r="G90" s="85"/>
      <c r="H90" s="85"/>
      <c r="I90" s="85"/>
      <c r="J90" s="99">
        <v>0.39930555555555558</v>
      </c>
      <c r="K90" s="98"/>
      <c r="L90" s="98"/>
      <c r="M90" s="98"/>
      <c r="N90" s="88">
        <v>0.39305555555555555</v>
      </c>
      <c r="O90" s="88">
        <v>0.18402777777777779</v>
      </c>
      <c r="P90" s="95"/>
      <c r="Q90" s="95"/>
      <c r="R90" s="91"/>
      <c r="S90" s="91"/>
      <c r="T90" s="88">
        <v>0.36666666666666664</v>
      </c>
      <c r="U90" s="88">
        <v>0.13194444444444445</v>
      </c>
      <c r="V90" s="85"/>
      <c r="W90" s="85"/>
      <c r="X90" s="88">
        <v>0.38055555555555554</v>
      </c>
      <c r="Y90" s="88">
        <v>0.15416666666666667</v>
      </c>
      <c r="Z90" s="85"/>
      <c r="AA90" s="85"/>
      <c r="AB90" s="85"/>
      <c r="AC90" s="85"/>
      <c r="AD90" s="95"/>
      <c r="AE90" s="95"/>
      <c r="AF90" s="91"/>
      <c r="AG90" s="91"/>
      <c r="AH90" s="96"/>
      <c r="AI90" s="96"/>
      <c r="AJ90" s="85"/>
      <c r="AK90" s="85"/>
      <c r="AL90" s="88">
        <v>0.34722222222222221</v>
      </c>
      <c r="AM90" s="85"/>
      <c r="AN90" s="85"/>
      <c r="AO90" s="85"/>
      <c r="AP90" s="88">
        <v>0.3659722222222222</v>
      </c>
      <c r="AQ90" s="85"/>
      <c r="AR90" s="95"/>
      <c r="AS90" s="95"/>
      <c r="AT90" s="91"/>
      <c r="AU90" s="91"/>
      <c r="AV90" s="85"/>
      <c r="AW90" s="85"/>
      <c r="AX90" s="85"/>
      <c r="AY90" s="85"/>
      <c r="AZ90" s="88">
        <v>0.36180555555555555</v>
      </c>
      <c r="BA90" s="88">
        <v>0.15416666666666667</v>
      </c>
      <c r="BB90" s="85"/>
      <c r="BC90" s="85"/>
      <c r="BD90" s="88">
        <v>0.41805555555555557</v>
      </c>
      <c r="BE90" s="85"/>
      <c r="BF90" s="95"/>
      <c r="BG90" s="95"/>
      <c r="BH90" s="91"/>
      <c r="BI90" s="91"/>
      <c r="BJ90" s="85"/>
      <c r="BK90" s="85"/>
      <c r="BL90" s="98"/>
      <c r="BM90" s="98"/>
      <c r="BN90" s="85">
        <f>SUM(IF(AND(D90&lt;&gt;"",WEEKDAY(D$1,2)&lt;6),1,0),IF(AND(F90&lt;&gt;"",WEEKDAY(F$1,2)&lt;6),1,0),IF(AND(H90&lt;&gt;"",WEEKDAY(H$1,2)&lt;6),1,0),IF(AND(J90&lt;&gt;"",WEEKDAY(J$1,2)&lt;6),1,0),IF(AND(L90&lt;&gt;"",WEEKDAY(L$1,2)&lt;6),1,0),IF(AND(N90&lt;&gt;"",WEEKDAY(N$1,2)&lt;6),1,0),IF(AND(P90&lt;&gt;"",WEEKDAY(P$1,2)&lt;6),1,0),IF(AND(R90&lt;&gt;"",WEEKDAY(R$1,2)&lt;6),1,0),IF(AND(T90&lt;&gt;"",WEEKDAY(T$1,2)&lt;6),1,0),IF(AND(V90&lt;&gt;"",WEEKDAY(V$1,2)&lt;6),1,0),IF(AND(X90&lt;&gt;"",WEEKDAY(X$1,2)&lt;6),1,0),IF(AND(Z90&lt;&gt;"",WEEKDAY(Z$1,2)&lt;6),1,0),IF(AND(AB90&lt;&gt;"",WEEKDAY(AB$1,2)&lt;6),1,0),IF(AND(AD90&lt;&gt;"",WEEKDAY(AD$1,2)&lt;6),1,0),IF(AND(AF90&lt;&gt;"",WEEKDAY(AF$1,2)&lt;6),1,0),IF(AND(AH90&lt;&gt;"",WEEKDAY(AH$1,2)&lt;6),1,0),IF(AND(AJ90&lt;&gt;"",WEEKDAY(AJ$1,2)&lt;6),1,0),IF(AND(AL90&lt;&gt;"",WEEKDAY(AL$1,2)&lt;6),1,0),IF(AND(AN90&lt;&gt;"",WEEKDAY(AN$1,2)&lt;6),1,0),IF(AND(AP90&lt;&gt;"",WEEKDAY(AP$1,2)&lt;6),1,0),IF(AND(AR90&lt;&gt;"",WEEKDAY(AR$1,2)&lt;6),1,0),IF(AND(AT90&lt;&gt;"",WEEKDAY(AT$1,2)&lt;6),1,0),IF(AND(AV90&lt;&gt;"",WEEKDAY(AV$1,2)&lt;6),1,0),IF(AND(AX90&lt;&gt;"",WEEKDAY(AX$1,2)&lt;6),1,0),IF(AND(AZ90&lt;&gt;"",WEEKDAY(AZ$1,2)&lt;6),1,0),IF(AND(BB90&lt;&gt;"",WEEKDAY(BB$1,2)&lt;6),1,0),IF(AND(BD90&lt;&gt;"",WEEKDAY(BD$1,2)&lt;6),1,0),IF(AND(BF90&lt;&gt;"",WEEKDAY(BF$1,2)&lt;6),1,0),IF(AND(BH90&lt;&gt;"",WEEKDAY(BH$1,2)&lt;6),1,0),IF(AND(BJ90&lt;&gt;"",WEEKDAY(BJ$1,2)&lt;6),1,0),IF(AND(BL90&lt;&gt;"",WEEKDAY(BL$1,2)&lt;6),1,0))</f>
        <v>8</v>
      </c>
      <c r="BO90" s="85">
        <f>SUM(IF(AND(E90&lt;&gt;"",WEEKDAY(D$1,2)&lt;6),1,0),IF(AND(G90&lt;&gt;"",WEEKDAY(F$1,2)&lt;6),1,0),IF(AND(I90&lt;&gt;"",WEEKDAY(H$1,2)&lt;6),1,0),IF(AND(K90&lt;&gt;"",WEEKDAY(J$1,2)&lt;6),1,0),IF(AND(M90&lt;&gt;"",WEEKDAY(L$1,2)&lt;6),1,0),IF(AND(O90&lt;&gt;"",WEEKDAY(N$1,2)&lt;6),1,0),IF(AND(Q90&lt;&gt;"",WEEKDAY(P$1,2)&lt;6),1,0),IF(AND(S90&lt;&gt;"",WEEKDAY(R$1,2)&lt;6),1,0),IF(AND(U90&lt;&gt;"",WEEKDAY(T$1,2)&lt;6),1,0),IF(AND(W90&lt;&gt;"",WEEKDAY(V$1,2)&lt;6),1,0),IF(AND(Y90&lt;&gt;"",WEEKDAY(X$1,2)&lt;6),1,0),IF(AND(AA90&lt;&gt;"",WEEKDAY(Z$1,2)&lt;6),1,0),IF(AND(AC90&lt;&gt;"",WEEKDAY(AB$1,2)&lt;6),1,0),IF(AND(AE90&lt;&gt;"",WEEKDAY(AD$1,2)&lt;6),1,0),IF(AND(AG90&lt;&gt;"",WEEKDAY(AF$1,2)&lt;6),1,0),IF(AND(AI90&lt;&gt;"",WEEKDAY(AH$1,2)&lt;6),1,0),IF(AND(AK90&lt;&gt;"",WEEKDAY(AJ$1,2)&lt;6),1,0),IF(AND(AM90&lt;&gt;"",WEEKDAY(AL$1,2)&lt;6),1,0),IF(AND(AO90&lt;&gt;"",WEEKDAY(AN$1,2)&lt;6),1,0),IF(AND(AQ90&lt;&gt;"",WEEKDAY(AP$1,2)&lt;6),1,0),IF(AND(AS90&lt;&gt;"",WEEKDAY(AR$1,2)&lt;6),1,0),IF(AND(AU90&lt;&gt;"",WEEKDAY(AT$1,2)&lt;6),1,0),IF(AND(AW90&lt;&gt;"",WEEKDAY(AV$1,2)&lt;6),1,0),IF(AND(AY90&lt;&gt;"",WEEKDAY(AX$1,2)&lt;6),1,0),IF(AND(BA90&lt;&gt;"",WEEKDAY(AZ$1,2)&lt;6),1,0),IF(AND(BC90&lt;&gt;"",WEEKDAY(BB$1,2)&lt;6),1,0),IF(AND(BE90&lt;&gt;"",WEEKDAY(BD$1,2)&lt;6),1,0),IF(AND(BG90&lt;&gt;"",WEEKDAY(BF$1,2)&lt;6),1,0),IF(AND(BI90&lt;&gt;"",WEEKDAY(BH$1,2)&lt;6),1,0),IF(AND(BK90&lt;&gt;"",WEEKDAY(BJ$1,2)&lt;6),1,0),IF(AND(BM90&lt;&gt;"",WEEKDAY(BL$1,2)&lt;6),1,0))</f>
        <v>4</v>
      </c>
      <c r="BP90" s="85">
        <f>SUM(IF(AND((D90&lt;&gt;"")+(E90&lt;&gt;""),WEEKDAY(D$1,2)=6),1,0),IF(AND((F90&lt;&gt;"")+(G90&lt;&gt;""),WEEKDAY(F$1,2)=6),1,0),IF(AND((H90&lt;&gt;"")+(I90&lt;&gt;""),WEEKDAY(H$1,2)=6),1,0),IF(AND((J90&lt;&gt;"")+(K90&lt;&gt;""),WEEKDAY(J$1,2)=6),1,0),IF(AND((L90&lt;&gt;"")+(M90&lt;&gt;""),WEEKDAY(L$1,2)=6),1,0),IF(AND((N90&lt;&gt;"")+(O90&lt;&gt;""),WEEKDAY(N$1,2)=6),1,0),IF(AND((P90&lt;&gt;"")+(Q90&lt;&gt;""),WEEKDAY(P$1,2)=6),1,0),IF(AND((R90&lt;&gt;"")+(S90&lt;&gt;""),WEEKDAY(R$1,2)=6),1,0),IF(AND((T90&lt;&gt;"")+(U90&lt;&gt;""),WEEKDAY(T$1,2)=6),1,0),IF(AND((V90&lt;&gt;"")+(W90&lt;&gt;""),WEEKDAY(V$1,2)=6),1,0),IF(AND((X90&lt;&gt;"")+(Y90&lt;&gt;""),WEEKDAY(X$1,2)=6),1,0),IF(AND((Z90&lt;&gt;"")+(AA90&lt;&gt;""),WEEKDAY(Z$1,2)=6),1,0),IF(AND((AB90&lt;&gt;"")+(AC90&lt;&gt;""),WEEKDAY(AB$1,2)=6),1,0),IF(AND((AD90&lt;&gt;"")+(AE90&lt;&gt;""),WEEKDAY(AD$1,2)=6),1,0),IF(AND((AF90&lt;&gt;"")+(AG90&lt;&gt;""),WEEKDAY(AF$1,2)=6),1,0),IF(AND((AH90&lt;&gt;"")+(AI90&lt;&gt;""),WEEKDAY(AH$1,2)=6),1,0),IF(AND((AJ90&lt;&gt;"")+(AK90&lt;&gt;""),WEEKDAY(AJ$1,2)=6),1,0),IF(AND((AL90&lt;&gt;"")+(AM90&lt;&gt;""),WEEKDAY(AL$1,2)=6),1,0),IF(AND((AN90&lt;&gt;"")+(AO90&lt;&gt;""),WEEKDAY(AN$1,2)=6),1,0),IF(AND((AP90&lt;&gt;"")+(AQ90&lt;&gt;""),WEEKDAY(AP$1,2)=6),1,0),IF(AND((AR90&lt;&gt;"")+(AS90&lt;&gt;""),WEEKDAY(AR$1,2)=6),1,0),IF(AND((AT90&lt;&gt;"")+(AU90&lt;&gt;""),WEEKDAY(AT$1,2)=6),1,0),IF(AND((AV90&lt;&gt;"")+(AW90&lt;&gt;""),WEEKDAY(AV$1,2)=6),1,0),IF(AND((AX90&lt;&gt;"")+(AY90&lt;&gt;""),WEEKDAY(AX$1,2)=6),1,0),IF(AND((AZ90&lt;&gt;"")+(BA90&lt;&gt;""),WEEKDAY(AZ$1,2)=6),1,0),IF(AND((BB90&lt;&gt;"")+(BC90&lt;&gt;""),WEEKDAY(BB$1,2)=6),1,0),IF(AND((BD90&lt;&gt;"")+(BE90&lt;&gt;""),WEEKDAY(BD$1,2)=6),1,0),IF(AND((BF90&lt;&gt;"")+(BG90&lt;&gt;""),WEEKDAY(BF$1,2)=6),1,0),IF(AND((BH90&lt;&gt;"")+(BI90&lt;&gt;""),WEEKDAY(BH$1,2)=6),1,0),IF(AND((BJ90&lt;&gt;"")+(BK90&lt;&gt;""),WEEKDAY(BJ$1,2)=6),1,0),IF(AND((BL90&lt;&gt;"")+(BM90&lt;&gt;""),WEEKDAY(BL$1,2)=6),1,0))</f>
        <v>0</v>
      </c>
    </row>
    <row r="91" spans="1:68" ht="16.5">
      <c r="A91" s="86" t="s">
        <v>147</v>
      </c>
      <c r="B91" s="86" t="s">
        <v>148</v>
      </c>
      <c r="C91" s="92" t="s">
        <v>149</v>
      </c>
      <c r="D91" s="91"/>
      <c r="E91" s="91"/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102">
        <v>0</v>
      </c>
      <c r="Q91" s="95"/>
      <c r="R91" s="91"/>
      <c r="S91" s="91"/>
      <c r="T91" s="88">
        <v>0.39791666666666664</v>
      </c>
      <c r="U91" s="88">
        <v>0.18333333333333332</v>
      </c>
      <c r="V91" s="88">
        <v>0.39513888888888887</v>
      </c>
      <c r="W91" s="88">
        <v>0.22847222222222222</v>
      </c>
      <c r="X91" s="88">
        <v>0.38194444444444442</v>
      </c>
      <c r="Y91" s="88">
        <v>0.16250000000000001</v>
      </c>
      <c r="Z91" s="88">
        <v>0.41111111111111109</v>
      </c>
      <c r="AA91" s="88">
        <v>0.18055555555555555</v>
      </c>
      <c r="AB91" s="88">
        <v>0.4</v>
      </c>
      <c r="AC91" s="88">
        <v>0.15347222222222223</v>
      </c>
      <c r="AD91" s="95"/>
      <c r="AE91" s="95"/>
      <c r="AF91" s="91"/>
      <c r="AG91" s="91"/>
      <c r="AH91" s="96"/>
      <c r="AI91" s="96"/>
      <c r="AJ91" s="88">
        <v>0.41180555555555554</v>
      </c>
      <c r="AK91" s="88">
        <v>0.15833333333333333</v>
      </c>
      <c r="AL91" s="88">
        <v>0.40694444444444444</v>
      </c>
      <c r="AM91" s="88">
        <v>0.17291666666666666</v>
      </c>
      <c r="AN91" s="88">
        <v>0.38680555555555557</v>
      </c>
      <c r="AO91" s="88">
        <v>0.20555555555555555</v>
      </c>
      <c r="AP91" s="88">
        <v>0.37152777777777779</v>
      </c>
      <c r="AQ91" s="88">
        <v>0.19375000000000001</v>
      </c>
      <c r="AR91" s="95"/>
      <c r="AS91" s="95"/>
      <c r="AT91" s="91"/>
      <c r="AU91" s="91"/>
      <c r="AV91" s="88">
        <v>0.40347222222222223</v>
      </c>
      <c r="AW91" s="88">
        <v>0.1986111111111111</v>
      </c>
      <c r="AX91" s="88">
        <v>0.37986111111111109</v>
      </c>
      <c r="AY91" s="88">
        <v>0.15416666666666667</v>
      </c>
      <c r="AZ91" s="88">
        <v>0.38472222222222224</v>
      </c>
      <c r="BA91" s="88">
        <v>0.16597222222222222</v>
      </c>
      <c r="BB91" s="88">
        <v>0.40555555555555556</v>
      </c>
      <c r="BC91" s="88">
        <v>0.16666666666666666</v>
      </c>
      <c r="BD91" s="88">
        <v>0.44097222222222221</v>
      </c>
      <c r="BE91" s="85"/>
      <c r="BF91" s="95"/>
      <c r="BG91" s="95"/>
      <c r="BH91" s="91"/>
      <c r="BI91" s="91"/>
      <c r="BJ91" s="88">
        <v>0.39513888888888887</v>
      </c>
      <c r="BK91" s="88">
        <v>0.13750000000000001</v>
      </c>
      <c r="BL91" s="99">
        <v>0.39652777777777776</v>
      </c>
      <c r="BM91" s="99">
        <v>0.12708333333333333</v>
      </c>
      <c r="BN91" s="85">
        <f>SUM(IF(AND(D91&lt;&gt;"",WEEKDAY(D$1,2)&lt;6),1,0),IF(AND(F91&lt;&gt;"",WEEKDAY(F$1,2)&lt;6),1,0),IF(AND(H91&lt;&gt;"",WEEKDAY(H$1,2)&lt;6),1,0),IF(AND(J91&lt;&gt;"",WEEKDAY(J$1,2)&lt;6),1,0),IF(AND(L91&lt;&gt;"",WEEKDAY(L$1,2)&lt;6),1,0),IF(AND(N91&lt;&gt;"",WEEKDAY(N$1,2)&lt;6),1,0),IF(AND(P91&lt;&gt;"",WEEKDAY(P$1,2)&lt;6),1,0),IF(AND(R91&lt;&gt;"",WEEKDAY(R$1,2)&lt;6),1,0),IF(AND(T91&lt;&gt;"",WEEKDAY(T$1,2)&lt;6),1,0),IF(AND(V91&lt;&gt;"",WEEKDAY(V$1,2)&lt;6),1,0),IF(AND(X91&lt;&gt;"",WEEKDAY(X$1,2)&lt;6),1,0),IF(AND(Z91&lt;&gt;"",WEEKDAY(Z$1,2)&lt;6),1,0),IF(AND(AB91&lt;&gt;"",WEEKDAY(AB$1,2)&lt;6),1,0),IF(AND(AD91&lt;&gt;"",WEEKDAY(AD$1,2)&lt;6),1,0),IF(AND(AF91&lt;&gt;"",WEEKDAY(AF$1,2)&lt;6),1,0),IF(AND(AH91&lt;&gt;"",WEEKDAY(AH$1,2)&lt;6),1,0),IF(AND(AJ91&lt;&gt;"",WEEKDAY(AJ$1,2)&lt;6),1,0),IF(AND(AL91&lt;&gt;"",WEEKDAY(AL$1,2)&lt;6),1,0),IF(AND(AN91&lt;&gt;"",WEEKDAY(AN$1,2)&lt;6),1,0),IF(AND(AP91&lt;&gt;"",WEEKDAY(AP$1,2)&lt;6),1,0),IF(AND(AR91&lt;&gt;"",WEEKDAY(AR$1,2)&lt;6),1,0),IF(AND(AT91&lt;&gt;"",WEEKDAY(AT$1,2)&lt;6),1,0),IF(AND(AV91&lt;&gt;"",WEEKDAY(AV$1,2)&lt;6),1,0),IF(AND(AX91&lt;&gt;"",WEEKDAY(AX$1,2)&lt;6),1,0),IF(AND(AZ91&lt;&gt;"",WEEKDAY(AZ$1,2)&lt;6),1,0),IF(AND(BB91&lt;&gt;"",WEEKDAY(BB$1,2)&lt;6),1,0),IF(AND(BD91&lt;&gt;"",WEEKDAY(BD$1,2)&lt;6),1,0),IF(AND(BF91&lt;&gt;"",WEEKDAY(BF$1,2)&lt;6),1,0),IF(AND(BH91&lt;&gt;"",WEEKDAY(BH$1,2)&lt;6),1,0),IF(AND(BJ91&lt;&gt;"",WEEKDAY(BJ$1,2)&lt;6),1,0),IF(AND(BL91&lt;&gt;"",WEEKDAY(BL$1,2)&lt;6),1,0))</f>
        <v>21</v>
      </c>
      <c r="BO91" s="85">
        <f>SUM(IF(AND(E91&lt;&gt;"",WEEKDAY(D$1,2)&lt;6),1,0),IF(AND(G91&lt;&gt;"",WEEKDAY(F$1,2)&lt;6),1,0),IF(AND(I91&lt;&gt;"",WEEKDAY(H$1,2)&lt;6),1,0),IF(AND(K91&lt;&gt;"",WEEKDAY(J$1,2)&lt;6),1,0),IF(AND(M91&lt;&gt;"",WEEKDAY(L$1,2)&lt;6),1,0),IF(AND(O91&lt;&gt;"",WEEKDAY(N$1,2)&lt;6),1,0),IF(AND(Q91&lt;&gt;"",WEEKDAY(P$1,2)&lt;6),1,0),IF(AND(S91&lt;&gt;"",WEEKDAY(R$1,2)&lt;6),1,0),IF(AND(U91&lt;&gt;"",WEEKDAY(T$1,2)&lt;6),1,0),IF(AND(W91&lt;&gt;"",WEEKDAY(V$1,2)&lt;6),1,0),IF(AND(Y91&lt;&gt;"",WEEKDAY(X$1,2)&lt;6),1,0),IF(AND(AA91&lt;&gt;"",WEEKDAY(Z$1,2)&lt;6),1,0),IF(AND(AC91&lt;&gt;"",WEEKDAY(AB$1,2)&lt;6),1,0),IF(AND(AE91&lt;&gt;"",WEEKDAY(AD$1,2)&lt;6),1,0),IF(AND(AG91&lt;&gt;"",WEEKDAY(AF$1,2)&lt;6),1,0),IF(AND(AI91&lt;&gt;"",WEEKDAY(AH$1,2)&lt;6),1,0),IF(AND(AK91&lt;&gt;"",WEEKDAY(AJ$1,2)&lt;6),1,0),IF(AND(AM91&lt;&gt;"",WEEKDAY(AL$1,2)&lt;6),1,0),IF(AND(AO91&lt;&gt;"",WEEKDAY(AN$1,2)&lt;6),1,0),IF(AND(AQ91&lt;&gt;"",WEEKDAY(AP$1,2)&lt;6),1,0),IF(AND(AS91&lt;&gt;"",WEEKDAY(AR$1,2)&lt;6),1,0),IF(AND(AU91&lt;&gt;"",WEEKDAY(AT$1,2)&lt;6),1,0),IF(AND(AW91&lt;&gt;"",WEEKDAY(AV$1,2)&lt;6),1,0),IF(AND(AY91&lt;&gt;"",WEEKDAY(AX$1,2)&lt;6),1,0),IF(AND(BA91&lt;&gt;"",WEEKDAY(AZ$1,2)&lt;6),1,0),IF(AND(BC91&lt;&gt;"",WEEKDAY(BB$1,2)&lt;6),1,0),IF(AND(BE91&lt;&gt;"",WEEKDAY(BD$1,2)&lt;6),1,0),IF(AND(BG91&lt;&gt;"",WEEKDAY(BF$1,2)&lt;6),1,0),IF(AND(BI91&lt;&gt;"",WEEKDAY(BH$1,2)&lt;6),1,0),IF(AND(BK91&lt;&gt;"",WEEKDAY(BJ$1,2)&lt;6),1,0),IF(AND(BM91&lt;&gt;"",WEEKDAY(BL$1,2)&lt;6),1,0))</f>
        <v>20</v>
      </c>
      <c r="BP91" s="85">
        <f>SUM(IF(AND((D91&lt;&gt;"")+(E91&lt;&gt;""),WEEKDAY(D$1,2)=6),1,0),IF(AND((F91&lt;&gt;"")+(G91&lt;&gt;""),WEEKDAY(F$1,2)=6),1,0),IF(AND((H91&lt;&gt;"")+(I91&lt;&gt;""),WEEKDAY(H$1,2)=6),1,0),IF(AND((J91&lt;&gt;"")+(K91&lt;&gt;""),WEEKDAY(J$1,2)=6),1,0),IF(AND((L91&lt;&gt;"")+(M91&lt;&gt;""),WEEKDAY(L$1,2)=6),1,0),IF(AND((N91&lt;&gt;"")+(O91&lt;&gt;""),WEEKDAY(N$1,2)=6),1,0),IF(AND((P91&lt;&gt;"")+(Q91&lt;&gt;""),WEEKDAY(P$1,2)=6),1,0),IF(AND((R91&lt;&gt;"")+(S91&lt;&gt;""),WEEKDAY(R$1,2)=6),1,0),IF(AND((T91&lt;&gt;"")+(U91&lt;&gt;""),WEEKDAY(T$1,2)=6),1,0),IF(AND((V91&lt;&gt;"")+(W91&lt;&gt;""),WEEKDAY(V$1,2)=6),1,0),IF(AND((X91&lt;&gt;"")+(Y91&lt;&gt;""),WEEKDAY(X$1,2)=6),1,0),IF(AND((Z91&lt;&gt;"")+(AA91&lt;&gt;""),WEEKDAY(Z$1,2)=6),1,0),IF(AND((AB91&lt;&gt;"")+(AC91&lt;&gt;""),WEEKDAY(AB$1,2)=6),1,0),IF(AND((AD91&lt;&gt;"")+(AE91&lt;&gt;""),WEEKDAY(AD$1,2)=6),1,0),IF(AND((AF91&lt;&gt;"")+(AG91&lt;&gt;""),WEEKDAY(AF$1,2)=6),1,0),IF(AND((AH91&lt;&gt;"")+(AI91&lt;&gt;""),WEEKDAY(AH$1,2)=6),1,0),IF(AND((AJ91&lt;&gt;"")+(AK91&lt;&gt;""),WEEKDAY(AJ$1,2)=6),1,0),IF(AND((AL91&lt;&gt;"")+(AM91&lt;&gt;""),WEEKDAY(AL$1,2)=6),1,0),IF(AND((AN91&lt;&gt;"")+(AO91&lt;&gt;""),WEEKDAY(AN$1,2)=6),1,0),IF(AND((AP91&lt;&gt;"")+(AQ91&lt;&gt;""),WEEKDAY(AP$1,2)=6),1,0),IF(AND((AR91&lt;&gt;"")+(AS91&lt;&gt;""),WEEKDAY(AR$1,2)=6),1,0),IF(AND((AT91&lt;&gt;"")+(AU91&lt;&gt;""),WEEKDAY(AT$1,2)=6),1,0),IF(AND((AV91&lt;&gt;"")+(AW91&lt;&gt;""),WEEKDAY(AV$1,2)=6),1,0),IF(AND((AX91&lt;&gt;"")+(AY91&lt;&gt;""),WEEKDAY(AX$1,2)=6),1,0),IF(AND((AZ91&lt;&gt;"")+(BA91&lt;&gt;""),WEEKDAY(AZ$1,2)=6),1,0),IF(AND((BB91&lt;&gt;"")+(BC91&lt;&gt;""),WEEKDAY(BB$1,2)=6),1,0),IF(AND((BD91&lt;&gt;"")+(BE91&lt;&gt;""),WEEKDAY(BD$1,2)=6),1,0),IF(AND((BF91&lt;&gt;"")+(BG91&lt;&gt;""),WEEKDAY(BF$1,2)=6),1,0),IF(AND((BH91&lt;&gt;"")+(BI91&lt;&gt;""),WEEKDAY(BH$1,2)=6),1,0),IF(AND((BJ91&lt;&gt;"")+(BK91&lt;&gt;""),WEEKDAY(BJ$1,2)=6),1,0),IF(AND((BL91&lt;&gt;"")+(BM91&lt;&gt;""),WEEKDAY(BL$1,2)=6),1,0))</f>
        <v>1</v>
      </c>
    </row>
    <row r="92" spans="1:68" ht="16.5">
      <c r="A92" s="86" t="s">
        <v>147</v>
      </c>
      <c r="B92" s="86"/>
      <c r="C92" s="92" t="s">
        <v>195</v>
      </c>
      <c r="D92" s="91"/>
      <c r="E92" s="91"/>
      <c r="F92" s="88">
        <v>0.37986111111111109</v>
      </c>
      <c r="G92" s="88">
        <v>0.21527777777777779</v>
      </c>
      <c r="H92" s="88">
        <v>0.36458333333333331</v>
      </c>
      <c r="I92" s="88">
        <v>0.14305555555555555</v>
      </c>
      <c r="J92" s="99">
        <v>0.35972222222222222</v>
      </c>
      <c r="K92" s="99">
        <v>0.15763888888888888</v>
      </c>
      <c r="L92" s="99">
        <v>0.45</v>
      </c>
      <c r="M92" s="98"/>
      <c r="N92" s="88">
        <v>0.37569444444444444</v>
      </c>
      <c r="O92" s="88">
        <v>0.14861111111111111</v>
      </c>
      <c r="P92" s="95"/>
      <c r="Q92" s="95"/>
      <c r="R92" s="91"/>
      <c r="S92" s="91"/>
      <c r="T92" s="88">
        <v>0.38055555555555554</v>
      </c>
      <c r="U92" s="85"/>
      <c r="V92" s="88">
        <v>0.3527777777777778</v>
      </c>
      <c r="W92" s="85"/>
      <c r="X92" s="88">
        <v>0.3298611111111111</v>
      </c>
      <c r="Y92" s="88">
        <v>0.20972222222222223</v>
      </c>
      <c r="Z92" s="88">
        <v>0.37013888888888891</v>
      </c>
      <c r="AA92" s="88">
        <v>0.18819444444444444</v>
      </c>
      <c r="AB92" s="88">
        <v>0.40694444444444444</v>
      </c>
      <c r="AC92" s="88">
        <v>0.125</v>
      </c>
      <c r="AD92" s="95"/>
      <c r="AE92" s="95"/>
      <c r="AF92" s="91"/>
      <c r="AG92" s="91"/>
      <c r="AH92" s="96"/>
      <c r="AI92" s="96"/>
      <c r="AJ92" s="85"/>
      <c r="AK92" s="85"/>
      <c r="AL92" s="88">
        <v>0.31458333333333333</v>
      </c>
      <c r="AM92" s="88">
        <v>0.17222222222222222</v>
      </c>
      <c r="AN92" s="88">
        <v>0.36666666666666664</v>
      </c>
      <c r="AO92" s="88">
        <v>0.19166666666666668</v>
      </c>
      <c r="AP92" s="88">
        <v>0.40486111111111112</v>
      </c>
      <c r="AQ92" s="88">
        <v>0.14861111111111111</v>
      </c>
      <c r="AR92" s="102">
        <v>0.38541666666666669</v>
      </c>
      <c r="AS92" s="95"/>
      <c r="AT92" s="91"/>
      <c r="AU92" s="91"/>
      <c r="AV92" s="88">
        <v>0.35902777777777778</v>
      </c>
      <c r="AW92" s="88">
        <v>0.17430555555555555</v>
      </c>
      <c r="AX92" s="88">
        <v>0.34375</v>
      </c>
      <c r="AY92" s="88">
        <v>0.15902777777777777</v>
      </c>
      <c r="AZ92" s="88">
        <v>0.35069444444444442</v>
      </c>
      <c r="BA92" s="88">
        <v>0.17847222222222223</v>
      </c>
      <c r="BB92" s="85"/>
      <c r="BC92" s="85"/>
      <c r="BD92" s="88">
        <v>0.40347222222222223</v>
      </c>
      <c r="BE92" s="85"/>
      <c r="BF92" s="95"/>
      <c r="BG92" s="95"/>
      <c r="BH92" s="91"/>
      <c r="BI92" s="91"/>
      <c r="BJ92" s="88">
        <v>0.37430555555555556</v>
      </c>
      <c r="BK92" s="88">
        <v>0.12361111111111112</v>
      </c>
      <c r="BL92" s="99">
        <v>0.40347222222222223</v>
      </c>
      <c r="BM92" s="99">
        <v>0.16458333333333333</v>
      </c>
      <c r="BN92" s="85">
        <f>SUM(IF(AND(D92&lt;&gt;"",WEEKDAY(D$1,2)&lt;6),1,0),IF(AND(F92&lt;&gt;"",WEEKDAY(F$1,2)&lt;6),1,0),IF(AND(H92&lt;&gt;"",WEEKDAY(H$1,2)&lt;6),1,0),IF(AND(J92&lt;&gt;"",WEEKDAY(J$1,2)&lt;6),1,0),IF(AND(L92&lt;&gt;"",WEEKDAY(L$1,2)&lt;6),1,0),IF(AND(N92&lt;&gt;"",WEEKDAY(N$1,2)&lt;6),1,0),IF(AND(P92&lt;&gt;"",WEEKDAY(P$1,2)&lt;6),1,0),IF(AND(R92&lt;&gt;"",WEEKDAY(R$1,2)&lt;6),1,0),IF(AND(T92&lt;&gt;"",WEEKDAY(T$1,2)&lt;6),1,0),IF(AND(V92&lt;&gt;"",WEEKDAY(V$1,2)&lt;6),1,0),IF(AND(X92&lt;&gt;"",WEEKDAY(X$1,2)&lt;6),1,0),IF(AND(Z92&lt;&gt;"",WEEKDAY(Z$1,2)&lt;6),1,0),IF(AND(AB92&lt;&gt;"",WEEKDAY(AB$1,2)&lt;6),1,0),IF(AND(AD92&lt;&gt;"",WEEKDAY(AD$1,2)&lt;6),1,0),IF(AND(AF92&lt;&gt;"",WEEKDAY(AF$1,2)&lt;6),1,0),IF(AND(AH92&lt;&gt;"",WEEKDAY(AH$1,2)&lt;6),1,0),IF(AND(AJ92&lt;&gt;"",WEEKDAY(AJ$1,2)&lt;6),1,0),IF(AND(AL92&lt;&gt;"",WEEKDAY(AL$1,2)&lt;6),1,0),IF(AND(AN92&lt;&gt;"",WEEKDAY(AN$1,2)&lt;6),1,0),IF(AND(AP92&lt;&gt;"",WEEKDAY(AP$1,2)&lt;6),1,0),IF(AND(AR92&lt;&gt;"",WEEKDAY(AR$1,2)&lt;6),1,0),IF(AND(AT92&lt;&gt;"",WEEKDAY(AT$1,2)&lt;6),1,0),IF(AND(AV92&lt;&gt;"",WEEKDAY(AV$1,2)&lt;6),1,0),IF(AND(AX92&lt;&gt;"",WEEKDAY(AX$1,2)&lt;6),1,0),IF(AND(AZ92&lt;&gt;"",WEEKDAY(AZ$1,2)&lt;6),1,0),IF(AND(BB92&lt;&gt;"",WEEKDAY(BB$1,2)&lt;6),1,0),IF(AND(BD92&lt;&gt;"",WEEKDAY(BD$1,2)&lt;6),1,0),IF(AND(BF92&lt;&gt;"",WEEKDAY(BF$1,2)&lt;6),1,0),IF(AND(BH92&lt;&gt;"",WEEKDAY(BH$1,2)&lt;6),1,0),IF(AND(BJ92&lt;&gt;"",WEEKDAY(BJ$1,2)&lt;6),1,0),IF(AND(BL92&lt;&gt;"",WEEKDAY(BL$1,2)&lt;6),1,0))</f>
        <v>19</v>
      </c>
      <c r="BO92" s="85">
        <f>SUM(IF(AND(E92&lt;&gt;"",WEEKDAY(D$1,2)&lt;6),1,0),IF(AND(G92&lt;&gt;"",WEEKDAY(F$1,2)&lt;6),1,0),IF(AND(I92&lt;&gt;"",WEEKDAY(H$1,2)&lt;6),1,0),IF(AND(K92&lt;&gt;"",WEEKDAY(J$1,2)&lt;6),1,0),IF(AND(M92&lt;&gt;"",WEEKDAY(L$1,2)&lt;6),1,0),IF(AND(O92&lt;&gt;"",WEEKDAY(N$1,2)&lt;6),1,0),IF(AND(Q92&lt;&gt;"",WEEKDAY(P$1,2)&lt;6),1,0),IF(AND(S92&lt;&gt;"",WEEKDAY(R$1,2)&lt;6),1,0),IF(AND(U92&lt;&gt;"",WEEKDAY(T$1,2)&lt;6),1,0),IF(AND(W92&lt;&gt;"",WEEKDAY(V$1,2)&lt;6),1,0),IF(AND(Y92&lt;&gt;"",WEEKDAY(X$1,2)&lt;6),1,0),IF(AND(AA92&lt;&gt;"",WEEKDAY(Z$1,2)&lt;6),1,0),IF(AND(AC92&lt;&gt;"",WEEKDAY(AB$1,2)&lt;6),1,0),IF(AND(AE92&lt;&gt;"",WEEKDAY(AD$1,2)&lt;6),1,0),IF(AND(AG92&lt;&gt;"",WEEKDAY(AF$1,2)&lt;6),1,0),IF(AND(AI92&lt;&gt;"",WEEKDAY(AH$1,2)&lt;6),1,0),IF(AND(AK92&lt;&gt;"",WEEKDAY(AJ$1,2)&lt;6),1,0),IF(AND(AM92&lt;&gt;"",WEEKDAY(AL$1,2)&lt;6),1,0),IF(AND(AO92&lt;&gt;"",WEEKDAY(AN$1,2)&lt;6),1,0),IF(AND(AQ92&lt;&gt;"",WEEKDAY(AP$1,2)&lt;6),1,0),IF(AND(AS92&lt;&gt;"",WEEKDAY(AR$1,2)&lt;6),1,0),IF(AND(AU92&lt;&gt;"",WEEKDAY(AT$1,2)&lt;6),1,0),IF(AND(AW92&lt;&gt;"",WEEKDAY(AV$1,2)&lt;6),1,0),IF(AND(AY92&lt;&gt;"",WEEKDAY(AX$1,2)&lt;6),1,0),IF(AND(BA92&lt;&gt;"",WEEKDAY(AZ$1,2)&lt;6),1,0),IF(AND(BC92&lt;&gt;"",WEEKDAY(BB$1,2)&lt;6),1,0),IF(AND(BE92&lt;&gt;"",WEEKDAY(BD$1,2)&lt;6),1,0),IF(AND(BG92&lt;&gt;"",WEEKDAY(BF$1,2)&lt;6),1,0),IF(AND(BI92&lt;&gt;"",WEEKDAY(BH$1,2)&lt;6),1,0),IF(AND(BK92&lt;&gt;"",WEEKDAY(BJ$1,2)&lt;6),1,0),IF(AND(BM92&lt;&gt;"",WEEKDAY(BL$1,2)&lt;6),1,0))</f>
        <v>15</v>
      </c>
      <c r="BP92" s="85">
        <f>SUM(IF(AND((D92&lt;&gt;"")+(E92&lt;&gt;""),WEEKDAY(D$1,2)=6),1,0),IF(AND((F92&lt;&gt;"")+(G92&lt;&gt;""),WEEKDAY(F$1,2)=6),1,0),IF(AND((H92&lt;&gt;"")+(I92&lt;&gt;""),WEEKDAY(H$1,2)=6),1,0),IF(AND((J92&lt;&gt;"")+(K92&lt;&gt;""),WEEKDAY(J$1,2)=6),1,0),IF(AND((L92&lt;&gt;"")+(M92&lt;&gt;""),WEEKDAY(L$1,2)=6),1,0),IF(AND((N92&lt;&gt;"")+(O92&lt;&gt;""),WEEKDAY(N$1,2)=6),1,0),IF(AND((P92&lt;&gt;"")+(Q92&lt;&gt;""),WEEKDAY(P$1,2)=6),1,0),IF(AND((R92&lt;&gt;"")+(S92&lt;&gt;""),WEEKDAY(R$1,2)=6),1,0),IF(AND((T92&lt;&gt;"")+(U92&lt;&gt;""),WEEKDAY(T$1,2)=6),1,0),IF(AND((V92&lt;&gt;"")+(W92&lt;&gt;""),WEEKDAY(V$1,2)=6),1,0),IF(AND((X92&lt;&gt;"")+(Y92&lt;&gt;""),WEEKDAY(X$1,2)=6),1,0),IF(AND((Z92&lt;&gt;"")+(AA92&lt;&gt;""),WEEKDAY(Z$1,2)=6),1,0),IF(AND((AB92&lt;&gt;"")+(AC92&lt;&gt;""),WEEKDAY(AB$1,2)=6),1,0),IF(AND((AD92&lt;&gt;"")+(AE92&lt;&gt;""),WEEKDAY(AD$1,2)=6),1,0),IF(AND((AF92&lt;&gt;"")+(AG92&lt;&gt;""),WEEKDAY(AF$1,2)=6),1,0),IF(AND((AH92&lt;&gt;"")+(AI92&lt;&gt;""),WEEKDAY(AH$1,2)=6),1,0),IF(AND((AJ92&lt;&gt;"")+(AK92&lt;&gt;""),WEEKDAY(AJ$1,2)=6),1,0),IF(AND((AL92&lt;&gt;"")+(AM92&lt;&gt;""),WEEKDAY(AL$1,2)=6),1,0),IF(AND((AN92&lt;&gt;"")+(AO92&lt;&gt;""),WEEKDAY(AN$1,2)=6),1,0),IF(AND((AP92&lt;&gt;"")+(AQ92&lt;&gt;""),WEEKDAY(AP$1,2)=6),1,0),IF(AND((AR92&lt;&gt;"")+(AS92&lt;&gt;""),WEEKDAY(AR$1,2)=6),1,0),IF(AND((AT92&lt;&gt;"")+(AU92&lt;&gt;""),WEEKDAY(AT$1,2)=6),1,0),IF(AND((AV92&lt;&gt;"")+(AW92&lt;&gt;""),WEEKDAY(AV$1,2)=6),1,0),IF(AND((AX92&lt;&gt;"")+(AY92&lt;&gt;""),WEEKDAY(AX$1,2)=6),1,0),IF(AND((AZ92&lt;&gt;"")+(BA92&lt;&gt;""),WEEKDAY(AZ$1,2)=6),1,0),IF(AND((BB92&lt;&gt;"")+(BC92&lt;&gt;""),WEEKDAY(BB$1,2)=6),1,0),IF(AND((BD92&lt;&gt;"")+(BE92&lt;&gt;""),WEEKDAY(BD$1,2)=6),1,0),IF(AND((BF92&lt;&gt;"")+(BG92&lt;&gt;""),WEEKDAY(BF$1,2)=6),1,0),IF(AND((BH92&lt;&gt;"")+(BI92&lt;&gt;""),WEEKDAY(BH$1,2)=6),1,0),IF(AND((BJ92&lt;&gt;"")+(BK92&lt;&gt;""),WEEKDAY(BJ$1,2)=6),1,0),IF(AND((BL92&lt;&gt;"")+(BM92&lt;&gt;""),WEEKDAY(BL$1,2)=6),1,0))</f>
        <v>1</v>
      </c>
    </row>
    <row r="93" spans="1:68" ht="16.5">
      <c r="A93" s="87" t="s">
        <v>147</v>
      </c>
      <c r="B93" s="86" t="s">
        <v>196</v>
      </c>
      <c r="C93" s="92" t="s">
        <v>643</v>
      </c>
      <c r="D93" s="91"/>
      <c r="E93" s="91"/>
      <c r="F93" s="85"/>
      <c r="G93" s="85"/>
      <c r="H93" s="85"/>
      <c r="I93" s="85"/>
      <c r="J93" s="98"/>
      <c r="K93" s="98"/>
      <c r="L93" s="98"/>
      <c r="M93" s="98"/>
      <c r="N93" s="85"/>
      <c r="O93" s="85"/>
      <c r="P93" s="95"/>
      <c r="Q93" s="95"/>
      <c r="R93" s="91"/>
      <c r="S93" s="91"/>
      <c r="T93" s="85"/>
      <c r="U93" s="85"/>
      <c r="V93" s="88">
        <v>0.34375</v>
      </c>
      <c r="W93" s="88">
        <v>0.17499999999999999</v>
      </c>
      <c r="X93" s="88">
        <v>0.35625000000000001</v>
      </c>
      <c r="Y93" s="88">
        <v>0.15763888888888888</v>
      </c>
      <c r="Z93" s="85"/>
      <c r="AA93" s="85"/>
      <c r="AB93" s="85"/>
      <c r="AC93" s="85"/>
      <c r="AD93" s="95"/>
      <c r="AE93" s="95"/>
      <c r="AF93" s="91"/>
      <c r="AG93" s="91"/>
      <c r="AH93" s="96"/>
      <c r="AI93" s="96"/>
      <c r="AJ93" s="85"/>
      <c r="AK93" s="85"/>
      <c r="AL93" s="85"/>
      <c r="AM93" s="85"/>
      <c r="AN93" s="85"/>
      <c r="AO93" s="85"/>
      <c r="AP93" s="85"/>
      <c r="AQ93" s="85"/>
      <c r="AR93" s="95"/>
      <c r="AS93" s="95"/>
      <c r="AT93" s="91"/>
      <c r="AU93" s="91"/>
      <c r="AV93" s="88">
        <v>0.41180555555555554</v>
      </c>
      <c r="AW93" s="88">
        <v>0.14305555555555555</v>
      </c>
      <c r="AX93" s="88">
        <v>0.37569444444444444</v>
      </c>
      <c r="AY93" s="88">
        <v>0.13333333333333333</v>
      </c>
      <c r="AZ93" s="88">
        <v>0.3840277777777778</v>
      </c>
      <c r="BA93" s="88">
        <v>0.13680555555555557</v>
      </c>
      <c r="BB93" s="88">
        <v>0.37569444444444444</v>
      </c>
      <c r="BC93" s="85"/>
      <c r="BD93" s="88">
        <v>0.37569444444444444</v>
      </c>
      <c r="BE93" s="85"/>
      <c r="BF93" s="95"/>
      <c r="BG93" s="95"/>
      <c r="BH93" s="91"/>
      <c r="BI93" s="91"/>
      <c r="BJ93" s="88">
        <v>0.44444444444444442</v>
      </c>
      <c r="BK93" s="85"/>
      <c r="BL93" s="99">
        <v>0.37638888888888888</v>
      </c>
      <c r="BM93" s="99">
        <v>0</v>
      </c>
      <c r="BN93" s="85">
        <f>SUM(IF(AND(D93&lt;&gt;"",WEEKDAY(D$1,2)&lt;6),1,0),IF(AND(F93&lt;&gt;"",WEEKDAY(F$1,2)&lt;6),1,0),IF(AND(H93&lt;&gt;"",WEEKDAY(H$1,2)&lt;6),1,0),IF(AND(J93&lt;&gt;"",WEEKDAY(J$1,2)&lt;6),1,0),IF(AND(L93&lt;&gt;"",WEEKDAY(L$1,2)&lt;6),1,0),IF(AND(N93&lt;&gt;"",WEEKDAY(N$1,2)&lt;6),1,0),IF(AND(P93&lt;&gt;"",WEEKDAY(P$1,2)&lt;6),1,0),IF(AND(R93&lt;&gt;"",WEEKDAY(R$1,2)&lt;6),1,0),IF(AND(T93&lt;&gt;"",WEEKDAY(T$1,2)&lt;6),1,0),IF(AND(V93&lt;&gt;"",WEEKDAY(V$1,2)&lt;6),1,0),IF(AND(X93&lt;&gt;"",WEEKDAY(X$1,2)&lt;6),1,0),IF(AND(Z93&lt;&gt;"",WEEKDAY(Z$1,2)&lt;6),1,0),IF(AND(AB93&lt;&gt;"",WEEKDAY(AB$1,2)&lt;6),1,0),IF(AND(AD93&lt;&gt;"",WEEKDAY(AD$1,2)&lt;6),1,0),IF(AND(AF93&lt;&gt;"",WEEKDAY(AF$1,2)&lt;6),1,0),IF(AND(AH93&lt;&gt;"",WEEKDAY(AH$1,2)&lt;6),1,0),IF(AND(AJ93&lt;&gt;"",WEEKDAY(AJ$1,2)&lt;6),1,0),IF(AND(AL93&lt;&gt;"",WEEKDAY(AL$1,2)&lt;6),1,0),IF(AND(AN93&lt;&gt;"",WEEKDAY(AN$1,2)&lt;6),1,0),IF(AND(AP93&lt;&gt;"",WEEKDAY(AP$1,2)&lt;6),1,0),IF(AND(AR93&lt;&gt;"",WEEKDAY(AR$1,2)&lt;6),1,0),IF(AND(AT93&lt;&gt;"",WEEKDAY(AT$1,2)&lt;6),1,0),IF(AND(AV93&lt;&gt;"",WEEKDAY(AV$1,2)&lt;6),1,0),IF(AND(AX93&lt;&gt;"",WEEKDAY(AX$1,2)&lt;6),1,0),IF(AND(AZ93&lt;&gt;"",WEEKDAY(AZ$1,2)&lt;6),1,0),IF(AND(BB93&lt;&gt;"",WEEKDAY(BB$1,2)&lt;6),1,0),IF(AND(BD93&lt;&gt;"",WEEKDAY(BD$1,2)&lt;6),1,0),IF(AND(BF93&lt;&gt;"",WEEKDAY(BF$1,2)&lt;6),1,0),IF(AND(BH93&lt;&gt;"",WEEKDAY(BH$1,2)&lt;6),1,0),IF(AND(BJ93&lt;&gt;"",WEEKDAY(BJ$1,2)&lt;6),1,0),IF(AND(BL93&lt;&gt;"",WEEKDAY(BL$1,2)&lt;6),1,0))</f>
        <v>9</v>
      </c>
      <c r="BO93" s="85">
        <f>SUM(IF(AND(E93&lt;&gt;"",WEEKDAY(D$1,2)&lt;6),1,0),IF(AND(G93&lt;&gt;"",WEEKDAY(F$1,2)&lt;6),1,0),IF(AND(I93&lt;&gt;"",WEEKDAY(H$1,2)&lt;6),1,0),IF(AND(K93&lt;&gt;"",WEEKDAY(J$1,2)&lt;6),1,0),IF(AND(M93&lt;&gt;"",WEEKDAY(L$1,2)&lt;6),1,0),IF(AND(O93&lt;&gt;"",WEEKDAY(N$1,2)&lt;6),1,0),IF(AND(Q93&lt;&gt;"",WEEKDAY(P$1,2)&lt;6),1,0),IF(AND(S93&lt;&gt;"",WEEKDAY(R$1,2)&lt;6),1,0),IF(AND(U93&lt;&gt;"",WEEKDAY(T$1,2)&lt;6),1,0),IF(AND(W93&lt;&gt;"",WEEKDAY(V$1,2)&lt;6),1,0),IF(AND(Y93&lt;&gt;"",WEEKDAY(X$1,2)&lt;6),1,0),IF(AND(AA93&lt;&gt;"",WEEKDAY(Z$1,2)&lt;6),1,0),IF(AND(AC93&lt;&gt;"",WEEKDAY(AB$1,2)&lt;6),1,0),IF(AND(AE93&lt;&gt;"",WEEKDAY(AD$1,2)&lt;6),1,0),IF(AND(AG93&lt;&gt;"",WEEKDAY(AF$1,2)&lt;6),1,0),IF(AND(AI93&lt;&gt;"",WEEKDAY(AH$1,2)&lt;6),1,0),IF(AND(AK93&lt;&gt;"",WEEKDAY(AJ$1,2)&lt;6),1,0),IF(AND(AM93&lt;&gt;"",WEEKDAY(AL$1,2)&lt;6),1,0),IF(AND(AO93&lt;&gt;"",WEEKDAY(AN$1,2)&lt;6),1,0),IF(AND(AQ93&lt;&gt;"",WEEKDAY(AP$1,2)&lt;6),1,0),IF(AND(AS93&lt;&gt;"",WEEKDAY(AR$1,2)&lt;6),1,0),IF(AND(AU93&lt;&gt;"",WEEKDAY(AT$1,2)&lt;6),1,0),IF(AND(AW93&lt;&gt;"",WEEKDAY(AV$1,2)&lt;6),1,0),IF(AND(AY93&lt;&gt;"",WEEKDAY(AX$1,2)&lt;6),1,0),IF(AND(BA93&lt;&gt;"",WEEKDAY(AZ$1,2)&lt;6),1,0),IF(AND(BC93&lt;&gt;"",WEEKDAY(BB$1,2)&lt;6),1,0),IF(AND(BE93&lt;&gt;"",WEEKDAY(BD$1,2)&lt;6),1,0),IF(AND(BG93&lt;&gt;"",WEEKDAY(BF$1,2)&lt;6),1,0),IF(AND(BI93&lt;&gt;"",WEEKDAY(BH$1,2)&lt;6),1,0),IF(AND(BK93&lt;&gt;"",WEEKDAY(BJ$1,2)&lt;6),1,0),IF(AND(BM93&lt;&gt;"",WEEKDAY(BL$1,2)&lt;6),1,0))</f>
        <v>6</v>
      </c>
      <c r="BP93" s="85">
        <f>SUM(IF(AND((D93&lt;&gt;"")+(E93&lt;&gt;""),WEEKDAY(D$1,2)=6),1,0),IF(AND((F93&lt;&gt;"")+(G93&lt;&gt;""),WEEKDAY(F$1,2)=6),1,0),IF(AND((H93&lt;&gt;"")+(I93&lt;&gt;""),WEEKDAY(H$1,2)=6),1,0),IF(AND((J93&lt;&gt;"")+(K93&lt;&gt;""),WEEKDAY(J$1,2)=6),1,0),IF(AND((L93&lt;&gt;"")+(M93&lt;&gt;""),WEEKDAY(L$1,2)=6),1,0),IF(AND((N93&lt;&gt;"")+(O93&lt;&gt;""),WEEKDAY(N$1,2)=6),1,0),IF(AND((P93&lt;&gt;"")+(Q93&lt;&gt;""),WEEKDAY(P$1,2)=6),1,0),IF(AND((R93&lt;&gt;"")+(S93&lt;&gt;""),WEEKDAY(R$1,2)=6),1,0),IF(AND((T93&lt;&gt;"")+(U93&lt;&gt;""),WEEKDAY(T$1,2)=6),1,0),IF(AND((V93&lt;&gt;"")+(W93&lt;&gt;""),WEEKDAY(V$1,2)=6),1,0),IF(AND((X93&lt;&gt;"")+(Y93&lt;&gt;""),WEEKDAY(X$1,2)=6),1,0),IF(AND((Z93&lt;&gt;"")+(AA93&lt;&gt;""),WEEKDAY(Z$1,2)=6),1,0),IF(AND((AB93&lt;&gt;"")+(AC93&lt;&gt;""),WEEKDAY(AB$1,2)=6),1,0),IF(AND((AD93&lt;&gt;"")+(AE93&lt;&gt;""),WEEKDAY(AD$1,2)=6),1,0),IF(AND((AF93&lt;&gt;"")+(AG93&lt;&gt;""),WEEKDAY(AF$1,2)=6),1,0),IF(AND((AH93&lt;&gt;"")+(AI93&lt;&gt;""),WEEKDAY(AH$1,2)=6),1,0),IF(AND((AJ93&lt;&gt;"")+(AK93&lt;&gt;""),WEEKDAY(AJ$1,2)=6),1,0),IF(AND((AL93&lt;&gt;"")+(AM93&lt;&gt;""),WEEKDAY(AL$1,2)=6),1,0),IF(AND((AN93&lt;&gt;"")+(AO93&lt;&gt;""),WEEKDAY(AN$1,2)=6),1,0),IF(AND((AP93&lt;&gt;"")+(AQ93&lt;&gt;""),WEEKDAY(AP$1,2)=6),1,0),IF(AND((AR93&lt;&gt;"")+(AS93&lt;&gt;""),WEEKDAY(AR$1,2)=6),1,0),IF(AND((AT93&lt;&gt;"")+(AU93&lt;&gt;""),WEEKDAY(AT$1,2)=6),1,0),IF(AND((AV93&lt;&gt;"")+(AW93&lt;&gt;""),WEEKDAY(AV$1,2)=6),1,0),IF(AND((AX93&lt;&gt;"")+(AY93&lt;&gt;""),WEEKDAY(AX$1,2)=6),1,0),IF(AND((AZ93&lt;&gt;"")+(BA93&lt;&gt;""),WEEKDAY(AZ$1,2)=6),1,0),IF(AND((BB93&lt;&gt;"")+(BC93&lt;&gt;""),WEEKDAY(BB$1,2)=6),1,0),IF(AND((BD93&lt;&gt;"")+(BE93&lt;&gt;""),WEEKDAY(BD$1,2)=6),1,0),IF(AND((BF93&lt;&gt;"")+(BG93&lt;&gt;""),WEEKDAY(BF$1,2)=6),1,0),IF(AND((BH93&lt;&gt;"")+(BI93&lt;&gt;""),WEEKDAY(BH$1,2)=6),1,0),IF(AND((BJ93&lt;&gt;"")+(BK93&lt;&gt;""),WEEKDAY(BJ$1,2)=6),1,0),IF(AND((BL93&lt;&gt;"")+(BM93&lt;&gt;""),WEEKDAY(BL$1,2)=6),1,0))</f>
        <v>0</v>
      </c>
    </row>
    <row r="94" spans="1:68" ht="16.5">
      <c r="A94" s="89" t="s">
        <v>150</v>
      </c>
      <c r="B94" s="83" t="s">
        <v>151</v>
      </c>
      <c r="C94" s="93" t="s">
        <v>152</v>
      </c>
      <c r="D94" s="91"/>
      <c r="E94" s="91"/>
      <c r="F94" s="85"/>
      <c r="G94" s="85"/>
      <c r="H94" s="85"/>
      <c r="I94" s="85"/>
      <c r="J94" s="98"/>
      <c r="K94" s="98"/>
      <c r="L94" s="98"/>
      <c r="M94" s="98"/>
      <c r="N94" s="88">
        <v>0.40763888888888888</v>
      </c>
      <c r="O94" s="88">
        <v>0.20277777777777778</v>
      </c>
      <c r="P94" s="95"/>
      <c r="Q94" s="95"/>
      <c r="R94" s="91"/>
      <c r="S94" s="91"/>
      <c r="T94" s="85"/>
      <c r="U94" s="85"/>
      <c r="V94" s="88">
        <v>0.37777777777777777</v>
      </c>
      <c r="W94" s="85"/>
      <c r="X94" s="85"/>
      <c r="Y94" s="88">
        <v>0.12569444444444444</v>
      </c>
      <c r="Z94" s="85"/>
      <c r="AA94" s="88">
        <v>0.16041666666666668</v>
      </c>
      <c r="AB94" s="85"/>
      <c r="AC94" s="85"/>
      <c r="AD94" s="95"/>
      <c r="AE94" s="95"/>
      <c r="AF94" s="91"/>
      <c r="AG94" s="91"/>
      <c r="AH94" s="96"/>
      <c r="AI94" s="96"/>
      <c r="AJ94" s="85"/>
      <c r="AK94" s="85"/>
      <c r="AL94" s="85"/>
      <c r="AM94" s="85"/>
      <c r="AN94" s="85"/>
      <c r="AO94" s="85"/>
      <c r="AP94" s="85"/>
      <c r="AQ94" s="85"/>
      <c r="AR94" s="95"/>
      <c r="AS94" s="95"/>
      <c r="AT94" s="91"/>
      <c r="AU94" s="91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95"/>
      <c r="BG94" s="95"/>
      <c r="BH94" s="91"/>
      <c r="BI94" s="91"/>
      <c r="BJ94" s="85"/>
      <c r="BK94" s="88">
        <v>0.21388888888888888</v>
      </c>
      <c r="BL94" s="98"/>
      <c r="BM94" s="98"/>
      <c r="BN94" s="85">
        <f>SUM(IF(AND(D94&lt;&gt;"",WEEKDAY(D$1,2)&lt;6),1,0),IF(AND(F94&lt;&gt;"",WEEKDAY(F$1,2)&lt;6),1,0),IF(AND(H94&lt;&gt;"",WEEKDAY(H$1,2)&lt;6),1,0),IF(AND(J94&lt;&gt;"",WEEKDAY(J$1,2)&lt;6),1,0),IF(AND(L94&lt;&gt;"",WEEKDAY(L$1,2)&lt;6),1,0),IF(AND(N94&lt;&gt;"",WEEKDAY(N$1,2)&lt;6),1,0),IF(AND(P94&lt;&gt;"",WEEKDAY(P$1,2)&lt;6),1,0),IF(AND(R94&lt;&gt;"",WEEKDAY(R$1,2)&lt;6),1,0),IF(AND(T94&lt;&gt;"",WEEKDAY(T$1,2)&lt;6),1,0),IF(AND(V94&lt;&gt;"",WEEKDAY(V$1,2)&lt;6),1,0),IF(AND(X94&lt;&gt;"",WEEKDAY(X$1,2)&lt;6),1,0),IF(AND(Z94&lt;&gt;"",WEEKDAY(Z$1,2)&lt;6),1,0),IF(AND(AB94&lt;&gt;"",WEEKDAY(AB$1,2)&lt;6),1,0),IF(AND(AD94&lt;&gt;"",WEEKDAY(AD$1,2)&lt;6),1,0),IF(AND(AF94&lt;&gt;"",WEEKDAY(AF$1,2)&lt;6),1,0),IF(AND(AH94&lt;&gt;"",WEEKDAY(AH$1,2)&lt;6),1,0),IF(AND(AJ94&lt;&gt;"",WEEKDAY(AJ$1,2)&lt;6),1,0),IF(AND(AL94&lt;&gt;"",WEEKDAY(AL$1,2)&lt;6),1,0),IF(AND(AN94&lt;&gt;"",WEEKDAY(AN$1,2)&lt;6),1,0),IF(AND(AP94&lt;&gt;"",WEEKDAY(AP$1,2)&lt;6),1,0),IF(AND(AR94&lt;&gt;"",WEEKDAY(AR$1,2)&lt;6),1,0),IF(AND(AT94&lt;&gt;"",WEEKDAY(AT$1,2)&lt;6),1,0),IF(AND(AV94&lt;&gt;"",WEEKDAY(AV$1,2)&lt;6),1,0),IF(AND(AX94&lt;&gt;"",WEEKDAY(AX$1,2)&lt;6),1,0),IF(AND(AZ94&lt;&gt;"",WEEKDAY(AZ$1,2)&lt;6),1,0),IF(AND(BB94&lt;&gt;"",WEEKDAY(BB$1,2)&lt;6),1,0),IF(AND(BD94&lt;&gt;"",WEEKDAY(BD$1,2)&lt;6),1,0),IF(AND(BF94&lt;&gt;"",WEEKDAY(BF$1,2)&lt;6),1,0),IF(AND(BH94&lt;&gt;"",WEEKDAY(BH$1,2)&lt;6),1,0),IF(AND(BJ94&lt;&gt;"",WEEKDAY(BJ$1,2)&lt;6),1,0),IF(AND(BL94&lt;&gt;"",WEEKDAY(BL$1,2)&lt;6),1,0))</f>
        <v>2</v>
      </c>
      <c r="BO94" s="85">
        <f>SUM(IF(AND(E94&lt;&gt;"",WEEKDAY(D$1,2)&lt;6),1,0),IF(AND(G94&lt;&gt;"",WEEKDAY(F$1,2)&lt;6),1,0),IF(AND(I94&lt;&gt;"",WEEKDAY(H$1,2)&lt;6),1,0),IF(AND(K94&lt;&gt;"",WEEKDAY(J$1,2)&lt;6),1,0),IF(AND(M94&lt;&gt;"",WEEKDAY(L$1,2)&lt;6),1,0),IF(AND(O94&lt;&gt;"",WEEKDAY(N$1,2)&lt;6),1,0),IF(AND(Q94&lt;&gt;"",WEEKDAY(P$1,2)&lt;6),1,0),IF(AND(S94&lt;&gt;"",WEEKDAY(R$1,2)&lt;6),1,0),IF(AND(U94&lt;&gt;"",WEEKDAY(T$1,2)&lt;6),1,0),IF(AND(W94&lt;&gt;"",WEEKDAY(V$1,2)&lt;6),1,0),IF(AND(Y94&lt;&gt;"",WEEKDAY(X$1,2)&lt;6),1,0),IF(AND(AA94&lt;&gt;"",WEEKDAY(Z$1,2)&lt;6),1,0),IF(AND(AC94&lt;&gt;"",WEEKDAY(AB$1,2)&lt;6),1,0),IF(AND(AE94&lt;&gt;"",WEEKDAY(AD$1,2)&lt;6),1,0),IF(AND(AG94&lt;&gt;"",WEEKDAY(AF$1,2)&lt;6),1,0),IF(AND(AI94&lt;&gt;"",WEEKDAY(AH$1,2)&lt;6),1,0),IF(AND(AK94&lt;&gt;"",WEEKDAY(AJ$1,2)&lt;6),1,0),IF(AND(AM94&lt;&gt;"",WEEKDAY(AL$1,2)&lt;6),1,0),IF(AND(AO94&lt;&gt;"",WEEKDAY(AN$1,2)&lt;6),1,0),IF(AND(AQ94&lt;&gt;"",WEEKDAY(AP$1,2)&lt;6),1,0),IF(AND(AS94&lt;&gt;"",WEEKDAY(AR$1,2)&lt;6),1,0),IF(AND(AU94&lt;&gt;"",WEEKDAY(AT$1,2)&lt;6),1,0),IF(AND(AW94&lt;&gt;"",WEEKDAY(AV$1,2)&lt;6),1,0),IF(AND(AY94&lt;&gt;"",WEEKDAY(AX$1,2)&lt;6),1,0),IF(AND(BA94&lt;&gt;"",WEEKDAY(AZ$1,2)&lt;6),1,0),IF(AND(BC94&lt;&gt;"",WEEKDAY(BB$1,2)&lt;6),1,0),IF(AND(BE94&lt;&gt;"",WEEKDAY(BD$1,2)&lt;6),1,0),IF(AND(BG94&lt;&gt;"",WEEKDAY(BF$1,2)&lt;6),1,0),IF(AND(BI94&lt;&gt;"",WEEKDAY(BH$1,2)&lt;6),1,0),IF(AND(BK94&lt;&gt;"",WEEKDAY(BJ$1,2)&lt;6),1,0),IF(AND(BM94&lt;&gt;"",WEEKDAY(BL$1,2)&lt;6),1,0))</f>
        <v>4</v>
      </c>
      <c r="BP94" s="85">
        <f>SUM(IF(AND((D94&lt;&gt;"")+(E94&lt;&gt;""),WEEKDAY(D$1,2)=6),1,0),IF(AND((F94&lt;&gt;"")+(G94&lt;&gt;""),WEEKDAY(F$1,2)=6),1,0),IF(AND((H94&lt;&gt;"")+(I94&lt;&gt;""),WEEKDAY(H$1,2)=6),1,0),IF(AND((J94&lt;&gt;"")+(K94&lt;&gt;""),WEEKDAY(J$1,2)=6),1,0),IF(AND((L94&lt;&gt;"")+(M94&lt;&gt;""),WEEKDAY(L$1,2)=6),1,0),IF(AND((N94&lt;&gt;"")+(O94&lt;&gt;""),WEEKDAY(N$1,2)=6),1,0),IF(AND((P94&lt;&gt;"")+(Q94&lt;&gt;""),WEEKDAY(P$1,2)=6),1,0),IF(AND((R94&lt;&gt;"")+(S94&lt;&gt;""),WEEKDAY(R$1,2)=6),1,0),IF(AND((T94&lt;&gt;"")+(U94&lt;&gt;""),WEEKDAY(T$1,2)=6),1,0),IF(AND((V94&lt;&gt;"")+(W94&lt;&gt;""),WEEKDAY(V$1,2)=6),1,0),IF(AND((X94&lt;&gt;"")+(Y94&lt;&gt;""),WEEKDAY(X$1,2)=6),1,0),IF(AND((Z94&lt;&gt;"")+(AA94&lt;&gt;""),WEEKDAY(Z$1,2)=6),1,0),IF(AND((AB94&lt;&gt;"")+(AC94&lt;&gt;""),WEEKDAY(AB$1,2)=6),1,0),IF(AND((AD94&lt;&gt;"")+(AE94&lt;&gt;""),WEEKDAY(AD$1,2)=6),1,0),IF(AND((AF94&lt;&gt;"")+(AG94&lt;&gt;""),WEEKDAY(AF$1,2)=6),1,0),IF(AND((AH94&lt;&gt;"")+(AI94&lt;&gt;""),WEEKDAY(AH$1,2)=6),1,0),IF(AND((AJ94&lt;&gt;"")+(AK94&lt;&gt;""),WEEKDAY(AJ$1,2)=6),1,0),IF(AND((AL94&lt;&gt;"")+(AM94&lt;&gt;""),WEEKDAY(AL$1,2)=6),1,0),IF(AND((AN94&lt;&gt;"")+(AO94&lt;&gt;""),WEEKDAY(AN$1,2)=6),1,0),IF(AND((AP94&lt;&gt;"")+(AQ94&lt;&gt;""),WEEKDAY(AP$1,2)=6),1,0),IF(AND((AR94&lt;&gt;"")+(AS94&lt;&gt;""),WEEKDAY(AR$1,2)=6),1,0),IF(AND((AT94&lt;&gt;"")+(AU94&lt;&gt;""),WEEKDAY(AT$1,2)=6),1,0),IF(AND((AV94&lt;&gt;"")+(AW94&lt;&gt;""),WEEKDAY(AV$1,2)=6),1,0),IF(AND((AX94&lt;&gt;"")+(AY94&lt;&gt;""),WEEKDAY(AX$1,2)=6),1,0),IF(AND((AZ94&lt;&gt;"")+(BA94&lt;&gt;""),WEEKDAY(AZ$1,2)=6),1,0),IF(AND((BB94&lt;&gt;"")+(BC94&lt;&gt;""),WEEKDAY(BB$1,2)=6),1,0),IF(AND((BD94&lt;&gt;"")+(BE94&lt;&gt;""),WEEKDAY(BD$1,2)=6),1,0),IF(AND((BF94&lt;&gt;"")+(BG94&lt;&gt;""),WEEKDAY(BF$1,2)=6),1,0),IF(AND((BH94&lt;&gt;"")+(BI94&lt;&gt;""),WEEKDAY(BH$1,2)=6),1,0),IF(AND((BJ94&lt;&gt;"")+(BK94&lt;&gt;""),WEEKDAY(BJ$1,2)=6),1,0),IF(AND((BL94&lt;&gt;"")+(BM94&lt;&gt;""),WEEKDAY(BL$1,2)=6),1,0))</f>
        <v>0</v>
      </c>
    </row>
    <row r="95" spans="1:68" ht="16.5">
      <c r="A95" s="90" t="s">
        <v>150</v>
      </c>
      <c r="B95" s="31" t="s">
        <v>198</v>
      </c>
      <c r="C95" s="94" t="s">
        <v>153</v>
      </c>
      <c r="D95" s="91"/>
      <c r="E95" s="91"/>
      <c r="F95" s="85"/>
      <c r="G95" s="85"/>
      <c r="H95" s="85"/>
      <c r="I95" s="85"/>
      <c r="J95" s="98"/>
      <c r="K95" s="98"/>
      <c r="L95" s="99">
        <v>0.45347222222222222</v>
      </c>
      <c r="M95" s="98"/>
      <c r="N95" s="85"/>
      <c r="O95" s="85"/>
      <c r="P95" s="95"/>
      <c r="Q95" s="95"/>
      <c r="R95" s="91"/>
      <c r="S95" s="91"/>
      <c r="T95" s="88">
        <v>0.41388888888888886</v>
      </c>
      <c r="U95" s="85"/>
      <c r="V95" s="85"/>
      <c r="W95" s="88">
        <v>0.17152777777777778</v>
      </c>
      <c r="X95" s="85"/>
      <c r="Y95" s="88">
        <v>0.16388888888888889</v>
      </c>
      <c r="Z95" s="85"/>
      <c r="AA95" s="88">
        <v>0.16111111111111112</v>
      </c>
      <c r="AB95" s="88">
        <v>0.36319444444444443</v>
      </c>
      <c r="AC95" s="85"/>
      <c r="AD95" s="95"/>
      <c r="AE95" s="95"/>
      <c r="AF95" s="91"/>
      <c r="AG95" s="91"/>
      <c r="AH95" s="96"/>
      <c r="AI95" s="96"/>
      <c r="AJ95" s="85"/>
      <c r="AK95" s="88">
        <v>0.16388888888888889</v>
      </c>
      <c r="AL95" s="85"/>
      <c r="AM95" s="85"/>
      <c r="AN95" s="85"/>
      <c r="AO95" s="85"/>
      <c r="AP95" s="88">
        <v>0.40416666666666667</v>
      </c>
      <c r="AQ95" s="85"/>
      <c r="AR95" s="95"/>
      <c r="AS95" s="95"/>
      <c r="AT95" s="91"/>
      <c r="AU95" s="91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95"/>
      <c r="BG95" s="95"/>
      <c r="BH95" s="91"/>
      <c r="BI95" s="91"/>
      <c r="BJ95" s="85"/>
      <c r="BK95" s="85"/>
      <c r="BL95" s="98"/>
      <c r="BM95" s="98"/>
      <c r="BN95" s="85">
        <f>SUM(IF(AND(D95&lt;&gt;"",WEEKDAY(D$1,2)&lt;6),1,0),IF(AND(F95&lt;&gt;"",WEEKDAY(F$1,2)&lt;6),1,0),IF(AND(H95&lt;&gt;"",WEEKDAY(H$1,2)&lt;6),1,0),IF(AND(J95&lt;&gt;"",WEEKDAY(J$1,2)&lt;6),1,0),IF(AND(L95&lt;&gt;"",WEEKDAY(L$1,2)&lt;6),1,0),IF(AND(N95&lt;&gt;"",WEEKDAY(N$1,2)&lt;6),1,0),IF(AND(P95&lt;&gt;"",WEEKDAY(P$1,2)&lt;6),1,0),IF(AND(R95&lt;&gt;"",WEEKDAY(R$1,2)&lt;6),1,0),IF(AND(T95&lt;&gt;"",WEEKDAY(T$1,2)&lt;6),1,0),IF(AND(V95&lt;&gt;"",WEEKDAY(V$1,2)&lt;6),1,0),IF(AND(X95&lt;&gt;"",WEEKDAY(X$1,2)&lt;6),1,0),IF(AND(Z95&lt;&gt;"",WEEKDAY(Z$1,2)&lt;6),1,0),IF(AND(AB95&lt;&gt;"",WEEKDAY(AB$1,2)&lt;6),1,0),IF(AND(AD95&lt;&gt;"",WEEKDAY(AD$1,2)&lt;6),1,0),IF(AND(AF95&lt;&gt;"",WEEKDAY(AF$1,2)&lt;6),1,0),IF(AND(AH95&lt;&gt;"",WEEKDAY(AH$1,2)&lt;6),1,0),IF(AND(AJ95&lt;&gt;"",WEEKDAY(AJ$1,2)&lt;6),1,0),IF(AND(AL95&lt;&gt;"",WEEKDAY(AL$1,2)&lt;6),1,0),IF(AND(AN95&lt;&gt;"",WEEKDAY(AN$1,2)&lt;6),1,0),IF(AND(AP95&lt;&gt;"",WEEKDAY(AP$1,2)&lt;6),1,0),IF(AND(AR95&lt;&gt;"",WEEKDAY(AR$1,2)&lt;6),1,0),IF(AND(AT95&lt;&gt;"",WEEKDAY(AT$1,2)&lt;6),1,0),IF(AND(AV95&lt;&gt;"",WEEKDAY(AV$1,2)&lt;6),1,0),IF(AND(AX95&lt;&gt;"",WEEKDAY(AX$1,2)&lt;6),1,0),IF(AND(AZ95&lt;&gt;"",WEEKDAY(AZ$1,2)&lt;6),1,0),IF(AND(BB95&lt;&gt;"",WEEKDAY(BB$1,2)&lt;6),1,0),IF(AND(BD95&lt;&gt;"",WEEKDAY(BD$1,2)&lt;6),1,0),IF(AND(BF95&lt;&gt;"",WEEKDAY(BF$1,2)&lt;6),1,0),IF(AND(BH95&lt;&gt;"",WEEKDAY(BH$1,2)&lt;6),1,0),IF(AND(BJ95&lt;&gt;"",WEEKDAY(BJ$1,2)&lt;6),1,0),IF(AND(BL95&lt;&gt;"",WEEKDAY(BL$1,2)&lt;6),1,0))</f>
        <v>4</v>
      </c>
      <c r="BO95" s="85">
        <f>SUM(IF(AND(E95&lt;&gt;"",WEEKDAY(D$1,2)&lt;6),1,0),IF(AND(G95&lt;&gt;"",WEEKDAY(F$1,2)&lt;6),1,0),IF(AND(I95&lt;&gt;"",WEEKDAY(H$1,2)&lt;6),1,0),IF(AND(K95&lt;&gt;"",WEEKDAY(J$1,2)&lt;6),1,0),IF(AND(M95&lt;&gt;"",WEEKDAY(L$1,2)&lt;6),1,0),IF(AND(O95&lt;&gt;"",WEEKDAY(N$1,2)&lt;6),1,0),IF(AND(Q95&lt;&gt;"",WEEKDAY(P$1,2)&lt;6),1,0),IF(AND(S95&lt;&gt;"",WEEKDAY(R$1,2)&lt;6),1,0),IF(AND(U95&lt;&gt;"",WEEKDAY(T$1,2)&lt;6),1,0),IF(AND(W95&lt;&gt;"",WEEKDAY(V$1,2)&lt;6),1,0),IF(AND(Y95&lt;&gt;"",WEEKDAY(X$1,2)&lt;6),1,0),IF(AND(AA95&lt;&gt;"",WEEKDAY(Z$1,2)&lt;6),1,0),IF(AND(AC95&lt;&gt;"",WEEKDAY(AB$1,2)&lt;6),1,0),IF(AND(AE95&lt;&gt;"",WEEKDAY(AD$1,2)&lt;6),1,0),IF(AND(AG95&lt;&gt;"",WEEKDAY(AF$1,2)&lt;6),1,0),IF(AND(AI95&lt;&gt;"",WEEKDAY(AH$1,2)&lt;6),1,0),IF(AND(AK95&lt;&gt;"",WEEKDAY(AJ$1,2)&lt;6),1,0),IF(AND(AM95&lt;&gt;"",WEEKDAY(AL$1,2)&lt;6),1,0),IF(AND(AO95&lt;&gt;"",WEEKDAY(AN$1,2)&lt;6),1,0),IF(AND(AQ95&lt;&gt;"",WEEKDAY(AP$1,2)&lt;6),1,0),IF(AND(AS95&lt;&gt;"",WEEKDAY(AR$1,2)&lt;6),1,0),IF(AND(AU95&lt;&gt;"",WEEKDAY(AT$1,2)&lt;6),1,0),IF(AND(AW95&lt;&gt;"",WEEKDAY(AV$1,2)&lt;6),1,0),IF(AND(AY95&lt;&gt;"",WEEKDAY(AX$1,2)&lt;6),1,0),IF(AND(BA95&lt;&gt;"",WEEKDAY(AZ$1,2)&lt;6),1,0),IF(AND(BC95&lt;&gt;"",WEEKDAY(BB$1,2)&lt;6),1,0),IF(AND(BE95&lt;&gt;"",WEEKDAY(BD$1,2)&lt;6),1,0),IF(AND(BG95&lt;&gt;"",WEEKDAY(BF$1,2)&lt;6),1,0),IF(AND(BI95&lt;&gt;"",WEEKDAY(BH$1,2)&lt;6),1,0),IF(AND(BK95&lt;&gt;"",WEEKDAY(BJ$1,2)&lt;6),1,0),IF(AND(BM95&lt;&gt;"",WEEKDAY(BL$1,2)&lt;6),1,0))</f>
        <v>4</v>
      </c>
      <c r="BP95" s="85">
        <f>SUM(IF(AND((D95&lt;&gt;"")+(E95&lt;&gt;""),WEEKDAY(D$1,2)=6),1,0),IF(AND((F95&lt;&gt;"")+(G95&lt;&gt;""),WEEKDAY(F$1,2)=6),1,0),IF(AND((H95&lt;&gt;"")+(I95&lt;&gt;""),WEEKDAY(H$1,2)=6),1,0),IF(AND((J95&lt;&gt;"")+(K95&lt;&gt;""),WEEKDAY(J$1,2)=6),1,0),IF(AND((L95&lt;&gt;"")+(M95&lt;&gt;""),WEEKDAY(L$1,2)=6),1,0),IF(AND((N95&lt;&gt;"")+(O95&lt;&gt;""),WEEKDAY(N$1,2)=6),1,0),IF(AND((P95&lt;&gt;"")+(Q95&lt;&gt;""),WEEKDAY(P$1,2)=6),1,0),IF(AND((R95&lt;&gt;"")+(S95&lt;&gt;""),WEEKDAY(R$1,2)=6),1,0),IF(AND((T95&lt;&gt;"")+(U95&lt;&gt;""),WEEKDAY(T$1,2)=6),1,0),IF(AND((V95&lt;&gt;"")+(W95&lt;&gt;""),WEEKDAY(V$1,2)=6),1,0),IF(AND((X95&lt;&gt;"")+(Y95&lt;&gt;""),WEEKDAY(X$1,2)=6),1,0),IF(AND((Z95&lt;&gt;"")+(AA95&lt;&gt;""),WEEKDAY(Z$1,2)=6),1,0),IF(AND((AB95&lt;&gt;"")+(AC95&lt;&gt;""),WEEKDAY(AB$1,2)=6),1,0),IF(AND((AD95&lt;&gt;"")+(AE95&lt;&gt;""),WEEKDAY(AD$1,2)=6),1,0),IF(AND((AF95&lt;&gt;"")+(AG95&lt;&gt;""),WEEKDAY(AF$1,2)=6),1,0),IF(AND((AH95&lt;&gt;"")+(AI95&lt;&gt;""),WEEKDAY(AH$1,2)=6),1,0),IF(AND((AJ95&lt;&gt;"")+(AK95&lt;&gt;""),WEEKDAY(AJ$1,2)=6),1,0),IF(AND((AL95&lt;&gt;"")+(AM95&lt;&gt;""),WEEKDAY(AL$1,2)=6),1,0),IF(AND((AN95&lt;&gt;"")+(AO95&lt;&gt;""),WEEKDAY(AN$1,2)=6),1,0),IF(AND((AP95&lt;&gt;"")+(AQ95&lt;&gt;""),WEEKDAY(AP$1,2)=6),1,0),IF(AND((AR95&lt;&gt;"")+(AS95&lt;&gt;""),WEEKDAY(AR$1,2)=6),1,0),IF(AND((AT95&lt;&gt;"")+(AU95&lt;&gt;""),WEEKDAY(AT$1,2)=6),1,0),IF(AND((AV95&lt;&gt;"")+(AW95&lt;&gt;""),WEEKDAY(AV$1,2)=6),1,0),IF(AND((AX95&lt;&gt;"")+(AY95&lt;&gt;""),WEEKDAY(AX$1,2)=6),1,0),IF(AND((AZ95&lt;&gt;"")+(BA95&lt;&gt;""),WEEKDAY(AZ$1,2)=6),1,0),IF(AND((BB95&lt;&gt;"")+(BC95&lt;&gt;""),WEEKDAY(BB$1,2)=6),1,0),IF(AND((BD95&lt;&gt;"")+(BE95&lt;&gt;""),WEEKDAY(BD$1,2)=6),1,0),IF(AND((BF95&lt;&gt;"")+(BG95&lt;&gt;""),WEEKDAY(BF$1,2)=6),1,0),IF(AND((BH95&lt;&gt;"")+(BI95&lt;&gt;""),WEEKDAY(BH$1,2)=6),1,0),IF(AND((BJ95&lt;&gt;"")+(BK95&lt;&gt;""),WEEKDAY(BJ$1,2)=6),1,0),IF(AND((BL95&lt;&gt;"")+(BM95&lt;&gt;""),WEEKDAY(BL$1,2)=6),1,0))</f>
        <v>0</v>
      </c>
    </row>
    <row r="96" spans="1:68" ht="16.5">
      <c r="A96" s="90" t="s">
        <v>150</v>
      </c>
      <c r="B96" s="31" t="s">
        <v>198</v>
      </c>
      <c r="C96" s="94" t="s">
        <v>154</v>
      </c>
      <c r="D96" s="91"/>
      <c r="E96" s="91"/>
      <c r="F96" s="88">
        <v>0.45624999999999999</v>
      </c>
      <c r="G96" s="88">
        <v>0.2013888888888889</v>
      </c>
      <c r="H96" s="85"/>
      <c r="I96" s="85"/>
      <c r="J96" s="99">
        <v>0.41597222222222224</v>
      </c>
      <c r="K96" s="99">
        <v>0.22083333333333333</v>
      </c>
      <c r="L96" s="98"/>
      <c r="M96" s="99">
        <v>0.16250000000000001</v>
      </c>
      <c r="N96" s="88">
        <v>0.40972222222222221</v>
      </c>
      <c r="O96" s="88">
        <v>0.14444444444444443</v>
      </c>
      <c r="P96" s="95"/>
      <c r="Q96" s="95"/>
      <c r="R96" s="91"/>
      <c r="S96" s="91"/>
      <c r="T96" s="85"/>
      <c r="U96" s="88">
        <v>0.14652777777777778</v>
      </c>
      <c r="V96" s="88">
        <v>0.40208333333333335</v>
      </c>
      <c r="W96" s="85"/>
      <c r="X96" s="88">
        <v>0.45277777777777778</v>
      </c>
      <c r="Y96" s="85"/>
      <c r="Z96" s="88">
        <v>0.41458333333333336</v>
      </c>
      <c r="AA96" s="85"/>
      <c r="AB96" s="85"/>
      <c r="AC96" s="85"/>
      <c r="AD96" s="95"/>
      <c r="AE96" s="95"/>
      <c r="AF96" s="91"/>
      <c r="AG96" s="91"/>
      <c r="AH96" s="96"/>
      <c r="AI96" s="96"/>
      <c r="AJ96" s="88">
        <v>0.41249999999999998</v>
      </c>
      <c r="AK96" s="85"/>
      <c r="AL96" s="88">
        <v>0.43541666666666667</v>
      </c>
      <c r="AM96" s="88">
        <v>0.12569444444444444</v>
      </c>
      <c r="AN96" s="88">
        <v>0.41458333333333336</v>
      </c>
      <c r="AO96" s="88">
        <v>0.15902777777777777</v>
      </c>
      <c r="AP96" s="85"/>
      <c r="AQ96" s="88">
        <v>0.21180555555555555</v>
      </c>
      <c r="AR96" s="95"/>
      <c r="AS96" s="95"/>
      <c r="AT96" s="91"/>
      <c r="AU96" s="91"/>
      <c r="AV96" s="88">
        <v>0.42638888888888887</v>
      </c>
      <c r="AW96" s="88">
        <v>0.16944444444444445</v>
      </c>
      <c r="AX96" s="88">
        <v>0.41319444444444442</v>
      </c>
      <c r="AY96" s="88">
        <v>0.15208333333333332</v>
      </c>
      <c r="AZ96" s="85"/>
      <c r="BA96" s="85"/>
      <c r="BB96" s="88">
        <v>0.40486111111111112</v>
      </c>
      <c r="BC96" s="85"/>
      <c r="BD96" s="88">
        <v>0.4152777777777778</v>
      </c>
      <c r="BE96" s="85"/>
      <c r="BF96" s="95"/>
      <c r="BG96" s="95"/>
      <c r="BH96" s="91"/>
      <c r="BI96" s="91"/>
      <c r="BJ96" s="88">
        <v>0.42638888888888887</v>
      </c>
      <c r="BK96" s="85"/>
      <c r="BL96" s="99">
        <v>0.40763888888888888</v>
      </c>
      <c r="BM96" s="99">
        <v>0.14166666666666666</v>
      </c>
      <c r="BN96" s="85">
        <f>SUM(IF(AND(D96&lt;&gt;"",WEEKDAY(D$1,2)&lt;6),1,0),IF(AND(F96&lt;&gt;"",WEEKDAY(F$1,2)&lt;6),1,0),IF(AND(H96&lt;&gt;"",WEEKDAY(H$1,2)&lt;6),1,0),IF(AND(J96&lt;&gt;"",WEEKDAY(J$1,2)&lt;6),1,0),IF(AND(L96&lt;&gt;"",WEEKDAY(L$1,2)&lt;6),1,0),IF(AND(N96&lt;&gt;"",WEEKDAY(N$1,2)&lt;6),1,0),IF(AND(P96&lt;&gt;"",WEEKDAY(P$1,2)&lt;6),1,0),IF(AND(R96&lt;&gt;"",WEEKDAY(R$1,2)&lt;6),1,0),IF(AND(T96&lt;&gt;"",WEEKDAY(T$1,2)&lt;6),1,0),IF(AND(V96&lt;&gt;"",WEEKDAY(V$1,2)&lt;6),1,0),IF(AND(X96&lt;&gt;"",WEEKDAY(X$1,2)&lt;6),1,0),IF(AND(Z96&lt;&gt;"",WEEKDAY(Z$1,2)&lt;6),1,0),IF(AND(AB96&lt;&gt;"",WEEKDAY(AB$1,2)&lt;6),1,0),IF(AND(AD96&lt;&gt;"",WEEKDAY(AD$1,2)&lt;6),1,0),IF(AND(AF96&lt;&gt;"",WEEKDAY(AF$1,2)&lt;6),1,0),IF(AND(AH96&lt;&gt;"",WEEKDAY(AH$1,2)&lt;6),1,0),IF(AND(AJ96&lt;&gt;"",WEEKDAY(AJ$1,2)&lt;6),1,0),IF(AND(AL96&lt;&gt;"",WEEKDAY(AL$1,2)&lt;6),1,0),IF(AND(AN96&lt;&gt;"",WEEKDAY(AN$1,2)&lt;6),1,0),IF(AND(AP96&lt;&gt;"",WEEKDAY(AP$1,2)&lt;6),1,0),IF(AND(AR96&lt;&gt;"",WEEKDAY(AR$1,2)&lt;6),1,0),IF(AND(AT96&lt;&gt;"",WEEKDAY(AT$1,2)&lt;6),1,0),IF(AND(AV96&lt;&gt;"",WEEKDAY(AV$1,2)&lt;6),1,0),IF(AND(AX96&lt;&gt;"",WEEKDAY(AX$1,2)&lt;6),1,0),IF(AND(AZ96&lt;&gt;"",WEEKDAY(AZ$1,2)&lt;6),1,0),IF(AND(BB96&lt;&gt;"",WEEKDAY(BB$1,2)&lt;6),1,0),IF(AND(BD96&lt;&gt;"",WEEKDAY(BD$1,2)&lt;6),1,0),IF(AND(BF96&lt;&gt;"",WEEKDAY(BF$1,2)&lt;6),1,0),IF(AND(BH96&lt;&gt;"",WEEKDAY(BH$1,2)&lt;6),1,0),IF(AND(BJ96&lt;&gt;"",WEEKDAY(BJ$1,2)&lt;6),1,0),IF(AND(BL96&lt;&gt;"",WEEKDAY(BL$1,2)&lt;6),1,0))</f>
        <v>15</v>
      </c>
      <c r="BO96" s="85">
        <f>SUM(IF(AND(E96&lt;&gt;"",WEEKDAY(D$1,2)&lt;6),1,0),IF(AND(G96&lt;&gt;"",WEEKDAY(F$1,2)&lt;6),1,0),IF(AND(I96&lt;&gt;"",WEEKDAY(H$1,2)&lt;6),1,0),IF(AND(K96&lt;&gt;"",WEEKDAY(J$1,2)&lt;6),1,0),IF(AND(M96&lt;&gt;"",WEEKDAY(L$1,2)&lt;6),1,0),IF(AND(O96&lt;&gt;"",WEEKDAY(N$1,2)&lt;6),1,0),IF(AND(Q96&lt;&gt;"",WEEKDAY(P$1,2)&lt;6),1,0),IF(AND(S96&lt;&gt;"",WEEKDAY(R$1,2)&lt;6),1,0),IF(AND(U96&lt;&gt;"",WEEKDAY(T$1,2)&lt;6),1,0),IF(AND(W96&lt;&gt;"",WEEKDAY(V$1,2)&lt;6),1,0),IF(AND(Y96&lt;&gt;"",WEEKDAY(X$1,2)&lt;6),1,0),IF(AND(AA96&lt;&gt;"",WEEKDAY(Z$1,2)&lt;6),1,0),IF(AND(AC96&lt;&gt;"",WEEKDAY(AB$1,2)&lt;6),1,0),IF(AND(AE96&lt;&gt;"",WEEKDAY(AD$1,2)&lt;6),1,0),IF(AND(AG96&lt;&gt;"",WEEKDAY(AF$1,2)&lt;6),1,0),IF(AND(AI96&lt;&gt;"",WEEKDAY(AH$1,2)&lt;6),1,0),IF(AND(AK96&lt;&gt;"",WEEKDAY(AJ$1,2)&lt;6),1,0),IF(AND(AM96&lt;&gt;"",WEEKDAY(AL$1,2)&lt;6),1,0),IF(AND(AO96&lt;&gt;"",WEEKDAY(AN$1,2)&lt;6),1,0),IF(AND(AQ96&lt;&gt;"",WEEKDAY(AP$1,2)&lt;6),1,0),IF(AND(AS96&lt;&gt;"",WEEKDAY(AR$1,2)&lt;6),1,0),IF(AND(AU96&lt;&gt;"",WEEKDAY(AT$1,2)&lt;6),1,0),IF(AND(AW96&lt;&gt;"",WEEKDAY(AV$1,2)&lt;6),1,0),IF(AND(AY96&lt;&gt;"",WEEKDAY(AX$1,2)&lt;6),1,0),IF(AND(BA96&lt;&gt;"",WEEKDAY(AZ$1,2)&lt;6),1,0),IF(AND(BC96&lt;&gt;"",WEEKDAY(BB$1,2)&lt;6),1,0),IF(AND(BE96&lt;&gt;"",WEEKDAY(BD$1,2)&lt;6),1,0),IF(AND(BG96&lt;&gt;"",WEEKDAY(BF$1,2)&lt;6),1,0),IF(AND(BI96&lt;&gt;"",WEEKDAY(BH$1,2)&lt;6),1,0),IF(AND(BK96&lt;&gt;"",WEEKDAY(BJ$1,2)&lt;6),1,0),IF(AND(BM96&lt;&gt;"",WEEKDAY(BL$1,2)&lt;6),1,0))</f>
        <v>11</v>
      </c>
      <c r="BP96" s="85">
        <f>SUM(IF(AND((D96&lt;&gt;"")+(E96&lt;&gt;""),WEEKDAY(D$1,2)=6),1,0),IF(AND((F96&lt;&gt;"")+(G96&lt;&gt;""),WEEKDAY(F$1,2)=6),1,0),IF(AND((H96&lt;&gt;"")+(I96&lt;&gt;""),WEEKDAY(H$1,2)=6),1,0),IF(AND((J96&lt;&gt;"")+(K96&lt;&gt;""),WEEKDAY(J$1,2)=6),1,0),IF(AND((L96&lt;&gt;"")+(M96&lt;&gt;""),WEEKDAY(L$1,2)=6),1,0),IF(AND((N96&lt;&gt;"")+(O96&lt;&gt;""),WEEKDAY(N$1,2)=6),1,0),IF(AND((P96&lt;&gt;"")+(Q96&lt;&gt;""),WEEKDAY(P$1,2)=6),1,0),IF(AND((R96&lt;&gt;"")+(S96&lt;&gt;""),WEEKDAY(R$1,2)=6),1,0),IF(AND((T96&lt;&gt;"")+(U96&lt;&gt;""),WEEKDAY(T$1,2)=6),1,0),IF(AND((V96&lt;&gt;"")+(W96&lt;&gt;""),WEEKDAY(V$1,2)=6),1,0),IF(AND((X96&lt;&gt;"")+(Y96&lt;&gt;""),WEEKDAY(X$1,2)=6),1,0),IF(AND((Z96&lt;&gt;"")+(AA96&lt;&gt;""),WEEKDAY(Z$1,2)=6),1,0),IF(AND((AB96&lt;&gt;"")+(AC96&lt;&gt;""),WEEKDAY(AB$1,2)=6),1,0),IF(AND((AD96&lt;&gt;"")+(AE96&lt;&gt;""),WEEKDAY(AD$1,2)=6),1,0),IF(AND((AF96&lt;&gt;"")+(AG96&lt;&gt;""),WEEKDAY(AF$1,2)=6),1,0),IF(AND((AH96&lt;&gt;"")+(AI96&lt;&gt;""),WEEKDAY(AH$1,2)=6),1,0),IF(AND((AJ96&lt;&gt;"")+(AK96&lt;&gt;""),WEEKDAY(AJ$1,2)=6),1,0),IF(AND((AL96&lt;&gt;"")+(AM96&lt;&gt;""),WEEKDAY(AL$1,2)=6),1,0),IF(AND((AN96&lt;&gt;"")+(AO96&lt;&gt;""),WEEKDAY(AN$1,2)=6),1,0),IF(AND((AP96&lt;&gt;"")+(AQ96&lt;&gt;""),WEEKDAY(AP$1,2)=6),1,0),IF(AND((AR96&lt;&gt;"")+(AS96&lt;&gt;""),WEEKDAY(AR$1,2)=6),1,0),IF(AND((AT96&lt;&gt;"")+(AU96&lt;&gt;""),WEEKDAY(AT$1,2)=6),1,0),IF(AND((AV96&lt;&gt;"")+(AW96&lt;&gt;""),WEEKDAY(AV$1,2)=6),1,0),IF(AND((AX96&lt;&gt;"")+(AY96&lt;&gt;""),WEEKDAY(AX$1,2)=6),1,0),IF(AND((AZ96&lt;&gt;"")+(BA96&lt;&gt;""),WEEKDAY(AZ$1,2)=6),1,0),IF(AND((BB96&lt;&gt;"")+(BC96&lt;&gt;""),WEEKDAY(BB$1,2)=6),1,0),IF(AND((BD96&lt;&gt;"")+(BE96&lt;&gt;""),WEEKDAY(BD$1,2)=6),1,0),IF(AND((BF96&lt;&gt;"")+(BG96&lt;&gt;""),WEEKDAY(BF$1,2)=6),1,0),IF(AND((BH96&lt;&gt;"")+(BI96&lt;&gt;""),WEEKDAY(BH$1,2)=6),1,0),IF(AND((BJ96&lt;&gt;"")+(BK96&lt;&gt;""),WEEKDAY(BJ$1,2)=6),1,0),IF(AND((BL96&lt;&gt;"")+(BM96&lt;&gt;""),WEEKDAY(BL$1,2)=6),1,0))</f>
        <v>0</v>
      </c>
    </row>
    <row r="97" spans="1:68" ht="16.5">
      <c r="A97" s="90" t="s">
        <v>150</v>
      </c>
      <c r="B97" s="84" t="s">
        <v>155</v>
      </c>
      <c r="C97" s="94" t="s">
        <v>156</v>
      </c>
      <c r="D97" s="91"/>
      <c r="E97" s="91"/>
      <c r="F97" s="88">
        <v>0.40555555555555556</v>
      </c>
      <c r="G97" s="88">
        <v>0.1388888888888889</v>
      </c>
      <c r="H97" s="88">
        <v>0.39583333333333331</v>
      </c>
      <c r="I97" s="85"/>
      <c r="J97" s="99">
        <v>0.3923611111111111</v>
      </c>
      <c r="K97" s="99">
        <v>0.13541666666666666</v>
      </c>
      <c r="L97" s="99">
        <v>0.39652777777777776</v>
      </c>
      <c r="M97" s="99">
        <v>0.14444444444444443</v>
      </c>
      <c r="N97" s="88">
        <v>0.4</v>
      </c>
      <c r="O97" s="88">
        <v>0.1451388888888889</v>
      </c>
      <c r="P97" s="95"/>
      <c r="Q97" s="95"/>
      <c r="R97" s="91"/>
      <c r="S97" s="91"/>
      <c r="T97" s="88">
        <v>0.3923611111111111</v>
      </c>
      <c r="U97" s="88">
        <v>0.13958333333333334</v>
      </c>
      <c r="V97" s="88">
        <v>0.39513888888888887</v>
      </c>
      <c r="W97" s="88">
        <v>0.1423611111111111</v>
      </c>
      <c r="X97" s="88">
        <v>0.39166666666666666</v>
      </c>
      <c r="Y97" s="88">
        <v>0.14097222222222222</v>
      </c>
      <c r="Z97" s="88">
        <v>0.39583333333333331</v>
      </c>
      <c r="AA97" s="88">
        <v>0.13958333333333334</v>
      </c>
      <c r="AB97" s="88">
        <v>0.39513888888888887</v>
      </c>
      <c r="AC97" s="88">
        <v>0.14027777777777778</v>
      </c>
      <c r="AD97" s="95"/>
      <c r="AE97" s="95"/>
      <c r="AF97" s="91"/>
      <c r="AG97" s="91"/>
      <c r="AH97" s="96"/>
      <c r="AI97" s="96"/>
      <c r="AJ97" s="88">
        <v>0.39861111111111114</v>
      </c>
      <c r="AK97" s="88">
        <v>0.1388888888888889</v>
      </c>
      <c r="AL97" s="88">
        <v>0.39444444444444443</v>
      </c>
      <c r="AM97" s="88">
        <v>0.14722222222222223</v>
      </c>
      <c r="AN97" s="88">
        <v>0.40902777777777777</v>
      </c>
      <c r="AO97" s="88">
        <v>0.14374999999999999</v>
      </c>
      <c r="AP97" s="88">
        <v>0.4</v>
      </c>
      <c r="AQ97" s="88">
        <v>0.14027777777777778</v>
      </c>
      <c r="AR97" s="95"/>
      <c r="AS97" s="95"/>
      <c r="AT97" s="91"/>
      <c r="AU97" s="91"/>
      <c r="AV97" s="88">
        <v>0.3888888888888889</v>
      </c>
      <c r="AW97" s="88">
        <v>0.14444444444444443</v>
      </c>
      <c r="AX97" s="88">
        <v>0.40277777777777779</v>
      </c>
      <c r="AY97" s="88">
        <v>0.14861111111111111</v>
      </c>
      <c r="AZ97" s="88">
        <v>0.39305555555555555</v>
      </c>
      <c r="BA97" s="88">
        <v>0.14722222222222223</v>
      </c>
      <c r="BB97" s="88">
        <v>0.40555555555555556</v>
      </c>
      <c r="BC97" s="88">
        <v>0.13472222222222222</v>
      </c>
      <c r="BD97" s="88">
        <v>0.41041666666666665</v>
      </c>
      <c r="BE97" s="85"/>
      <c r="BF97" s="95"/>
      <c r="BG97" s="95"/>
      <c r="BH97" s="91"/>
      <c r="BI97" s="91"/>
      <c r="BJ97" s="88">
        <v>0.39791666666666664</v>
      </c>
      <c r="BK97" s="88">
        <v>0.14097222222222222</v>
      </c>
      <c r="BL97" s="99">
        <v>0.40069444444444446</v>
      </c>
      <c r="BM97" s="99">
        <v>0.15138888888888888</v>
      </c>
      <c r="BN97" s="85">
        <f>SUM(IF(AND(D97&lt;&gt;"",WEEKDAY(D$1,2)&lt;6),1,0),IF(AND(F97&lt;&gt;"",WEEKDAY(F$1,2)&lt;6),1,0),IF(AND(H97&lt;&gt;"",WEEKDAY(H$1,2)&lt;6),1,0),IF(AND(J97&lt;&gt;"",WEEKDAY(J$1,2)&lt;6),1,0),IF(AND(L97&lt;&gt;"",WEEKDAY(L$1,2)&lt;6),1,0),IF(AND(N97&lt;&gt;"",WEEKDAY(N$1,2)&lt;6),1,0),IF(AND(P97&lt;&gt;"",WEEKDAY(P$1,2)&lt;6),1,0),IF(AND(R97&lt;&gt;"",WEEKDAY(R$1,2)&lt;6),1,0),IF(AND(T97&lt;&gt;"",WEEKDAY(T$1,2)&lt;6),1,0),IF(AND(V97&lt;&gt;"",WEEKDAY(V$1,2)&lt;6),1,0),IF(AND(X97&lt;&gt;"",WEEKDAY(X$1,2)&lt;6),1,0),IF(AND(Z97&lt;&gt;"",WEEKDAY(Z$1,2)&lt;6),1,0),IF(AND(AB97&lt;&gt;"",WEEKDAY(AB$1,2)&lt;6),1,0),IF(AND(AD97&lt;&gt;"",WEEKDAY(AD$1,2)&lt;6),1,0),IF(AND(AF97&lt;&gt;"",WEEKDAY(AF$1,2)&lt;6),1,0),IF(AND(AH97&lt;&gt;"",WEEKDAY(AH$1,2)&lt;6),1,0),IF(AND(AJ97&lt;&gt;"",WEEKDAY(AJ$1,2)&lt;6),1,0),IF(AND(AL97&lt;&gt;"",WEEKDAY(AL$1,2)&lt;6),1,0),IF(AND(AN97&lt;&gt;"",WEEKDAY(AN$1,2)&lt;6),1,0),IF(AND(AP97&lt;&gt;"",WEEKDAY(AP$1,2)&lt;6),1,0),IF(AND(AR97&lt;&gt;"",WEEKDAY(AR$1,2)&lt;6),1,0),IF(AND(AT97&lt;&gt;"",WEEKDAY(AT$1,2)&lt;6),1,0),IF(AND(AV97&lt;&gt;"",WEEKDAY(AV$1,2)&lt;6),1,0),IF(AND(AX97&lt;&gt;"",WEEKDAY(AX$1,2)&lt;6),1,0),IF(AND(AZ97&lt;&gt;"",WEEKDAY(AZ$1,2)&lt;6),1,0),IF(AND(BB97&lt;&gt;"",WEEKDAY(BB$1,2)&lt;6),1,0),IF(AND(BD97&lt;&gt;"",WEEKDAY(BD$1,2)&lt;6),1,0),IF(AND(BF97&lt;&gt;"",WEEKDAY(BF$1,2)&lt;6),1,0),IF(AND(BH97&lt;&gt;"",WEEKDAY(BH$1,2)&lt;6),1,0),IF(AND(BJ97&lt;&gt;"",WEEKDAY(BJ$1,2)&lt;6),1,0),IF(AND(BL97&lt;&gt;"",WEEKDAY(BL$1,2)&lt;6),1,0))</f>
        <v>21</v>
      </c>
      <c r="BO97" s="85">
        <f>SUM(IF(AND(E97&lt;&gt;"",WEEKDAY(D$1,2)&lt;6),1,0),IF(AND(G97&lt;&gt;"",WEEKDAY(F$1,2)&lt;6),1,0),IF(AND(I97&lt;&gt;"",WEEKDAY(H$1,2)&lt;6),1,0),IF(AND(K97&lt;&gt;"",WEEKDAY(J$1,2)&lt;6),1,0),IF(AND(M97&lt;&gt;"",WEEKDAY(L$1,2)&lt;6),1,0),IF(AND(O97&lt;&gt;"",WEEKDAY(N$1,2)&lt;6),1,0),IF(AND(Q97&lt;&gt;"",WEEKDAY(P$1,2)&lt;6),1,0),IF(AND(S97&lt;&gt;"",WEEKDAY(R$1,2)&lt;6),1,0),IF(AND(U97&lt;&gt;"",WEEKDAY(T$1,2)&lt;6),1,0),IF(AND(W97&lt;&gt;"",WEEKDAY(V$1,2)&lt;6),1,0),IF(AND(Y97&lt;&gt;"",WEEKDAY(X$1,2)&lt;6),1,0),IF(AND(AA97&lt;&gt;"",WEEKDAY(Z$1,2)&lt;6),1,0),IF(AND(AC97&lt;&gt;"",WEEKDAY(AB$1,2)&lt;6),1,0),IF(AND(AE97&lt;&gt;"",WEEKDAY(AD$1,2)&lt;6),1,0),IF(AND(AG97&lt;&gt;"",WEEKDAY(AF$1,2)&lt;6),1,0),IF(AND(AI97&lt;&gt;"",WEEKDAY(AH$1,2)&lt;6),1,0),IF(AND(AK97&lt;&gt;"",WEEKDAY(AJ$1,2)&lt;6),1,0),IF(AND(AM97&lt;&gt;"",WEEKDAY(AL$1,2)&lt;6),1,0),IF(AND(AO97&lt;&gt;"",WEEKDAY(AN$1,2)&lt;6),1,0),IF(AND(AQ97&lt;&gt;"",WEEKDAY(AP$1,2)&lt;6),1,0),IF(AND(AS97&lt;&gt;"",WEEKDAY(AR$1,2)&lt;6),1,0),IF(AND(AU97&lt;&gt;"",WEEKDAY(AT$1,2)&lt;6),1,0),IF(AND(AW97&lt;&gt;"",WEEKDAY(AV$1,2)&lt;6),1,0),IF(AND(AY97&lt;&gt;"",WEEKDAY(AX$1,2)&lt;6),1,0),IF(AND(BA97&lt;&gt;"",WEEKDAY(AZ$1,2)&lt;6),1,0),IF(AND(BC97&lt;&gt;"",WEEKDAY(BB$1,2)&lt;6),1,0),IF(AND(BE97&lt;&gt;"",WEEKDAY(BD$1,2)&lt;6),1,0),IF(AND(BG97&lt;&gt;"",WEEKDAY(BF$1,2)&lt;6),1,0),IF(AND(BI97&lt;&gt;"",WEEKDAY(BH$1,2)&lt;6),1,0),IF(AND(BK97&lt;&gt;"",WEEKDAY(BJ$1,2)&lt;6),1,0),IF(AND(BM97&lt;&gt;"",WEEKDAY(BL$1,2)&lt;6),1,0))</f>
        <v>19</v>
      </c>
      <c r="BP97" s="85">
        <f>SUM(IF(AND((D97&lt;&gt;"")+(E97&lt;&gt;""),WEEKDAY(D$1,2)=6),1,0),IF(AND((F97&lt;&gt;"")+(G97&lt;&gt;""),WEEKDAY(F$1,2)=6),1,0),IF(AND((H97&lt;&gt;"")+(I97&lt;&gt;""),WEEKDAY(H$1,2)=6),1,0),IF(AND((J97&lt;&gt;"")+(K97&lt;&gt;""),WEEKDAY(J$1,2)=6),1,0),IF(AND((L97&lt;&gt;"")+(M97&lt;&gt;""),WEEKDAY(L$1,2)=6),1,0),IF(AND((N97&lt;&gt;"")+(O97&lt;&gt;""),WEEKDAY(N$1,2)=6),1,0),IF(AND((P97&lt;&gt;"")+(Q97&lt;&gt;""),WEEKDAY(P$1,2)=6),1,0),IF(AND((R97&lt;&gt;"")+(S97&lt;&gt;""),WEEKDAY(R$1,2)=6),1,0),IF(AND((T97&lt;&gt;"")+(U97&lt;&gt;""),WEEKDAY(T$1,2)=6),1,0),IF(AND((V97&lt;&gt;"")+(W97&lt;&gt;""),WEEKDAY(V$1,2)=6),1,0),IF(AND((X97&lt;&gt;"")+(Y97&lt;&gt;""),WEEKDAY(X$1,2)=6),1,0),IF(AND((Z97&lt;&gt;"")+(AA97&lt;&gt;""),WEEKDAY(Z$1,2)=6),1,0),IF(AND((AB97&lt;&gt;"")+(AC97&lt;&gt;""),WEEKDAY(AB$1,2)=6),1,0),IF(AND((AD97&lt;&gt;"")+(AE97&lt;&gt;""),WEEKDAY(AD$1,2)=6),1,0),IF(AND((AF97&lt;&gt;"")+(AG97&lt;&gt;""),WEEKDAY(AF$1,2)=6),1,0),IF(AND((AH97&lt;&gt;"")+(AI97&lt;&gt;""),WEEKDAY(AH$1,2)=6),1,0),IF(AND((AJ97&lt;&gt;"")+(AK97&lt;&gt;""),WEEKDAY(AJ$1,2)=6),1,0),IF(AND((AL97&lt;&gt;"")+(AM97&lt;&gt;""),WEEKDAY(AL$1,2)=6),1,0),IF(AND((AN97&lt;&gt;"")+(AO97&lt;&gt;""),WEEKDAY(AN$1,2)=6),1,0),IF(AND((AP97&lt;&gt;"")+(AQ97&lt;&gt;""),WEEKDAY(AP$1,2)=6),1,0),IF(AND((AR97&lt;&gt;"")+(AS97&lt;&gt;""),WEEKDAY(AR$1,2)=6),1,0),IF(AND((AT97&lt;&gt;"")+(AU97&lt;&gt;""),WEEKDAY(AT$1,2)=6),1,0),IF(AND((AV97&lt;&gt;"")+(AW97&lt;&gt;""),WEEKDAY(AV$1,2)=6),1,0),IF(AND((AX97&lt;&gt;"")+(AY97&lt;&gt;""),WEEKDAY(AX$1,2)=6),1,0),IF(AND((AZ97&lt;&gt;"")+(BA97&lt;&gt;""),WEEKDAY(AZ$1,2)=6),1,0),IF(AND((BB97&lt;&gt;"")+(BC97&lt;&gt;""),WEEKDAY(BB$1,2)=6),1,0),IF(AND((BD97&lt;&gt;"")+(BE97&lt;&gt;""),WEEKDAY(BD$1,2)=6),1,0),IF(AND((BF97&lt;&gt;"")+(BG97&lt;&gt;""),WEEKDAY(BF$1,2)=6),1,0),IF(AND((BH97&lt;&gt;"")+(BI97&lt;&gt;""),WEEKDAY(BH$1,2)=6),1,0),IF(AND((BJ97&lt;&gt;"")+(BK97&lt;&gt;""),WEEKDAY(BJ$1,2)=6),1,0),IF(AND((BL97&lt;&gt;"")+(BM97&lt;&gt;""),WEEKDAY(BL$1,2)=6),1,0))</f>
        <v>0</v>
      </c>
    </row>
    <row r="98" spans="1:68" ht="16.5">
      <c r="A98" s="90" t="s">
        <v>150</v>
      </c>
      <c r="B98" s="84" t="s">
        <v>157</v>
      </c>
      <c r="C98" s="94" t="s">
        <v>158</v>
      </c>
      <c r="D98" s="91"/>
      <c r="E98" s="91"/>
      <c r="F98" s="85"/>
      <c r="G98" s="88">
        <v>0.17777777777777778</v>
      </c>
      <c r="H98" s="85"/>
      <c r="I98" s="85"/>
      <c r="J98" s="98"/>
      <c r="K98" s="99">
        <v>0.19583333333333333</v>
      </c>
      <c r="L98" s="98"/>
      <c r="M98" s="98"/>
      <c r="N98" s="88">
        <v>0.40763888888888888</v>
      </c>
      <c r="O98" s="85"/>
      <c r="P98" s="95"/>
      <c r="Q98" s="95"/>
      <c r="R98" s="91"/>
      <c r="S98" s="91"/>
      <c r="T98" s="85"/>
      <c r="U98" s="85"/>
      <c r="V98" s="88">
        <v>0.40208333333333335</v>
      </c>
      <c r="W98" s="85"/>
      <c r="X98" s="88">
        <v>0.39583333333333331</v>
      </c>
      <c r="Y98" s="85"/>
      <c r="Z98" s="85"/>
      <c r="AA98" s="85"/>
      <c r="AB98" s="88">
        <v>0.41875000000000001</v>
      </c>
      <c r="AC98" s="85"/>
      <c r="AD98" s="95"/>
      <c r="AE98" s="95"/>
      <c r="AF98" s="91"/>
      <c r="AG98" s="91"/>
      <c r="AH98" s="96"/>
      <c r="AI98" s="96"/>
      <c r="AJ98" s="88">
        <v>0.43263888888888891</v>
      </c>
      <c r="AK98" s="88">
        <v>0.20694444444444443</v>
      </c>
      <c r="AL98" s="85"/>
      <c r="AM98" s="88">
        <v>0.14374999999999999</v>
      </c>
      <c r="AN98" s="88">
        <v>0.45</v>
      </c>
      <c r="AO98" s="85"/>
      <c r="AP98" s="88">
        <v>0.43680555555555556</v>
      </c>
      <c r="AQ98" s="88">
        <v>0.22152777777777777</v>
      </c>
      <c r="AR98" s="95"/>
      <c r="AS98" s="95"/>
      <c r="AT98" s="91"/>
      <c r="AU98" s="91"/>
      <c r="AV98" s="85"/>
      <c r="AW98" s="88">
        <v>0.23819444444444443</v>
      </c>
      <c r="AX98" s="88">
        <v>0.44861111111111113</v>
      </c>
      <c r="AY98" s="85"/>
      <c r="AZ98" s="85"/>
      <c r="BA98" s="88">
        <v>0.23472222222222222</v>
      </c>
      <c r="BB98" s="85"/>
      <c r="BC98" s="85"/>
      <c r="BD98" s="85"/>
      <c r="BE98" s="85"/>
      <c r="BF98" s="95"/>
      <c r="BG98" s="95"/>
      <c r="BH98" s="91"/>
      <c r="BI98" s="91"/>
      <c r="BJ98" s="88">
        <v>0.46597222222222223</v>
      </c>
      <c r="BK98" s="85"/>
      <c r="BL98" s="98"/>
      <c r="BM98" s="98"/>
      <c r="BN98" s="85">
        <f>SUM(IF(AND(D98&lt;&gt;"",WEEKDAY(D$1,2)&lt;6),1,0),IF(AND(F98&lt;&gt;"",WEEKDAY(F$1,2)&lt;6),1,0),IF(AND(H98&lt;&gt;"",WEEKDAY(H$1,2)&lt;6),1,0),IF(AND(J98&lt;&gt;"",WEEKDAY(J$1,2)&lt;6),1,0),IF(AND(L98&lt;&gt;"",WEEKDAY(L$1,2)&lt;6),1,0),IF(AND(N98&lt;&gt;"",WEEKDAY(N$1,2)&lt;6),1,0),IF(AND(P98&lt;&gt;"",WEEKDAY(P$1,2)&lt;6),1,0),IF(AND(R98&lt;&gt;"",WEEKDAY(R$1,2)&lt;6),1,0),IF(AND(T98&lt;&gt;"",WEEKDAY(T$1,2)&lt;6),1,0),IF(AND(V98&lt;&gt;"",WEEKDAY(V$1,2)&lt;6),1,0),IF(AND(X98&lt;&gt;"",WEEKDAY(X$1,2)&lt;6),1,0),IF(AND(Z98&lt;&gt;"",WEEKDAY(Z$1,2)&lt;6),1,0),IF(AND(AB98&lt;&gt;"",WEEKDAY(AB$1,2)&lt;6),1,0),IF(AND(AD98&lt;&gt;"",WEEKDAY(AD$1,2)&lt;6),1,0),IF(AND(AF98&lt;&gt;"",WEEKDAY(AF$1,2)&lt;6),1,0),IF(AND(AH98&lt;&gt;"",WEEKDAY(AH$1,2)&lt;6),1,0),IF(AND(AJ98&lt;&gt;"",WEEKDAY(AJ$1,2)&lt;6),1,0),IF(AND(AL98&lt;&gt;"",WEEKDAY(AL$1,2)&lt;6),1,0),IF(AND(AN98&lt;&gt;"",WEEKDAY(AN$1,2)&lt;6),1,0),IF(AND(AP98&lt;&gt;"",WEEKDAY(AP$1,2)&lt;6),1,0),IF(AND(AR98&lt;&gt;"",WEEKDAY(AR$1,2)&lt;6),1,0),IF(AND(AT98&lt;&gt;"",WEEKDAY(AT$1,2)&lt;6),1,0),IF(AND(AV98&lt;&gt;"",WEEKDAY(AV$1,2)&lt;6),1,0),IF(AND(AX98&lt;&gt;"",WEEKDAY(AX$1,2)&lt;6),1,0),IF(AND(AZ98&lt;&gt;"",WEEKDAY(AZ$1,2)&lt;6),1,0),IF(AND(BB98&lt;&gt;"",WEEKDAY(BB$1,2)&lt;6),1,0),IF(AND(BD98&lt;&gt;"",WEEKDAY(BD$1,2)&lt;6),1,0),IF(AND(BF98&lt;&gt;"",WEEKDAY(BF$1,2)&lt;6),1,0),IF(AND(BH98&lt;&gt;"",WEEKDAY(BH$1,2)&lt;6),1,0),IF(AND(BJ98&lt;&gt;"",WEEKDAY(BJ$1,2)&lt;6),1,0),IF(AND(BL98&lt;&gt;"",WEEKDAY(BL$1,2)&lt;6),1,0))</f>
        <v>9</v>
      </c>
      <c r="BO98" s="85">
        <f>SUM(IF(AND(E98&lt;&gt;"",WEEKDAY(D$1,2)&lt;6),1,0),IF(AND(G98&lt;&gt;"",WEEKDAY(F$1,2)&lt;6),1,0),IF(AND(I98&lt;&gt;"",WEEKDAY(H$1,2)&lt;6),1,0),IF(AND(K98&lt;&gt;"",WEEKDAY(J$1,2)&lt;6),1,0),IF(AND(M98&lt;&gt;"",WEEKDAY(L$1,2)&lt;6),1,0),IF(AND(O98&lt;&gt;"",WEEKDAY(N$1,2)&lt;6),1,0),IF(AND(Q98&lt;&gt;"",WEEKDAY(P$1,2)&lt;6),1,0),IF(AND(S98&lt;&gt;"",WEEKDAY(R$1,2)&lt;6),1,0),IF(AND(U98&lt;&gt;"",WEEKDAY(T$1,2)&lt;6),1,0),IF(AND(W98&lt;&gt;"",WEEKDAY(V$1,2)&lt;6),1,0),IF(AND(Y98&lt;&gt;"",WEEKDAY(X$1,2)&lt;6),1,0),IF(AND(AA98&lt;&gt;"",WEEKDAY(Z$1,2)&lt;6),1,0),IF(AND(AC98&lt;&gt;"",WEEKDAY(AB$1,2)&lt;6),1,0),IF(AND(AE98&lt;&gt;"",WEEKDAY(AD$1,2)&lt;6),1,0),IF(AND(AG98&lt;&gt;"",WEEKDAY(AF$1,2)&lt;6),1,0),IF(AND(AI98&lt;&gt;"",WEEKDAY(AH$1,2)&lt;6),1,0),IF(AND(AK98&lt;&gt;"",WEEKDAY(AJ$1,2)&lt;6),1,0),IF(AND(AM98&lt;&gt;"",WEEKDAY(AL$1,2)&lt;6),1,0),IF(AND(AO98&lt;&gt;"",WEEKDAY(AN$1,2)&lt;6),1,0),IF(AND(AQ98&lt;&gt;"",WEEKDAY(AP$1,2)&lt;6),1,0),IF(AND(AS98&lt;&gt;"",WEEKDAY(AR$1,2)&lt;6),1,0),IF(AND(AU98&lt;&gt;"",WEEKDAY(AT$1,2)&lt;6),1,0),IF(AND(AW98&lt;&gt;"",WEEKDAY(AV$1,2)&lt;6),1,0),IF(AND(AY98&lt;&gt;"",WEEKDAY(AX$1,2)&lt;6),1,0),IF(AND(BA98&lt;&gt;"",WEEKDAY(AZ$1,2)&lt;6),1,0),IF(AND(BC98&lt;&gt;"",WEEKDAY(BB$1,2)&lt;6),1,0),IF(AND(BE98&lt;&gt;"",WEEKDAY(BD$1,2)&lt;6),1,0),IF(AND(BG98&lt;&gt;"",WEEKDAY(BF$1,2)&lt;6),1,0),IF(AND(BI98&lt;&gt;"",WEEKDAY(BH$1,2)&lt;6),1,0),IF(AND(BK98&lt;&gt;"",WEEKDAY(BJ$1,2)&lt;6),1,0),IF(AND(BM98&lt;&gt;"",WEEKDAY(BL$1,2)&lt;6),1,0))</f>
        <v>7</v>
      </c>
      <c r="BP98" s="85">
        <f>SUM(IF(AND((D98&lt;&gt;"")+(E98&lt;&gt;""),WEEKDAY(D$1,2)=6),1,0),IF(AND((F98&lt;&gt;"")+(G98&lt;&gt;""),WEEKDAY(F$1,2)=6),1,0),IF(AND((H98&lt;&gt;"")+(I98&lt;&gt;""),WEEKDAY(H$1,2)=6),1,0),IF(AND((J98&lt;&gt;"")+(K98&lt;&gt;""),WEEKDAY(J$1,2)=6),1,0),IF(AND((L98&lt;&gt;"")+(M98&lt;&gt;""),WEEKDAY(L$1,2)=6),1,0),IF(AND((N98&lt;&gt;"")+(O98&lt;&gt;""),WEEKDAY(N$1,2)=6),1,0),IF(AND((P98&lt;&gt;"")+(Q98&lt;&gt;""),WEEKDAY(P$1,2)=6),1,0),IF(AND((R98&lt;&gt;"")+(S98&lt;&gt;""),WEEKDAY(R$1,2)=6),1,0),IF(AND((T98&lt;&gt;"")+(U98&lt;&gt;""),WEEKDAY(T$1,2)=6),1,0),IF(AND((V98&lt;&gt;"")+(W98&lt;&gt;""),WEEKDAY(V$1,2)=6),1,0),IF(AND((X98&lt;&gt;"")+(Y98&lt;&gt;""),WEEKDAY(X$1,2)=6),1,0),IF(AND((Z98&lt;&gt;"")+(AA98&lt;&gt;""),WEEKDAY(Z$1,2)=6),1,0),IF(AND((AB98&lt;&gt;"")+(AC98&lt;&gt;""),WEEKDAY(AB$1,2)=6),1,0),IF(AND((AD98&lt;&gt;"")+(AE98&lt;&gt;""),WEEKDAY(AD$1,2)=6),1,0),IF(AND((AF98&lt;&gt;"")+(AG98&lt;&gt;""),WEEKDAY(AF$1,2)=6),1,0),IF(AND((AH98&lt;&gt;"")+(AI98&lt;&gt;""),WEEKDAY(AH$1,2)=6),1,0),IF(AND((AJ98&lt;&gt;"")+(AK98&lt;&gt;""),WEEKDAY(AJ$1,2)=6),1,0),IF(AND((AL98&lt;&gt;"")+(AM98&lt;&gt;""),WEEKDAY(AL$1,2)=6),1,0),IF(AND((AN98&lt;&gt;"")+(AO98&lt;&gt;""),WEEKDAY(AN$1,2)=6),1,0),IF(AND((AP98&lt;&gt;"")+(AQ98&lt;&gt;""),WEEKDAY(AP$1,2)=6),1,0),IF(AND((AR98&lt;&gt;"")+(AS98&lt;&gt;""),WEEKDAY(AR$1,2)=6),1,0),IF(AND((AT98&lt;&gt;"")+(AU98&lt;&gt;""),WEEKDAY(AT$1,2)=6),1,0),IF(AND((AV98&lt;&gt;"")+(AW98&lt;&gt;""),WEEKDAY(AV$1,2)=6),1,0),IF(AND((AX98&lt;&gt;"")+(AY98&lt;&gt;""),WEEKDAY(AX$1,2)=6),1,0),IF(AND((AZ98&lt;&gt;"")+(BA98&lt;&gt;""),WEEKDAY(AZ$1,2)=6),1,0),IF(AND((BB98&lt;&gt;"")+(BC98&lt;&gt;""),WEEKDAY(BB$1,2)=6),1,0),IF(AND((BD98&lt;&gt;"")+(BE98&lt;&gt;""),WEEKDAY(BD$1,2)=6),1,0),IF(AND((BF98&lt;&gt;"")+(BG98&lt;&gt;""),WEEKDAY(BF$1,2)=6),1,0),IF(AND((BH98&lt;&gt;"")+(BI98&lt;&gt;""),WEEKDAY(BH$1,2)=6),1,0),IF(AND((BJ98&lt;&gt;"")+(BK98&lt;&gt;""),WEEKDAY(BJ$1,2)=6),1,0),IF(AND((BL98&lt;&gt;"")+(BM98&lt;&gt;""),WEEKDAY(BL$1,2)=6),1,0))</f>
        <v>0</v>
      </c>
    </row>
    <row r="99" spans="1:68" ht="16.5">
      <c r="A99" s="90" t="s">
        <v>150</v>
      </c>
      <c r="B99" s="84" t="s">
        <v>157</v>
      </c>
      <c r="C99" s="94" t="s">
        <v>159</v>
      </c>
      <c r="D99" s="91"/>
      <c r="E99" s="91"/>
      <c r="F99" s="85"/>
      <c r="G99" s="85"/>
      <c r="H99" s="85"/>
      <c r="I99" s="85"/>
      <c r="J99" s="99">
        <v>0.43819444444444444</v>
      </c>
      <c r="K99" s="98"/>
      <c r="L99" s="98"/>
      <c r="M99" s="98"/>
      <c r="N99" s="85"/>
      <c r="O99" s="85"/>
      <c r="P99" s="95"/>
      <c r="Q99" s="95"/>
      <c r="R99" s="91"/>
      <c r="S99" s="91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95"/>
      <c r="AE99" s="95"/>
      <c r="AF99" s="91"/>
      <c r="AG99" s="91"/>
      <c r="AH99" s="96"/>
      <c r="AI99" s="96"/>
      <c r="AJ99" s="85"/>
      <c r="AK99" s="85"/>
      <c r="AL99" s="85"/>
      <c r="AM99" s="85"/>
      <c r="AN99" s="85"/>
      <c r="AO99" s="85"/>
      <c r="AP99" s="85"/>
      <c r="AQ99" s="85"/>
      <c r="AR99" s="95"/>
      <c r="AS99" s="95"/>
      <c r="AT99" s="91"/>
      <c r="AU99" s="91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95"/>
      <c r="BG99" s="95"/>
      <c r="BH99" s="91"/>
      <c r="BI99" s="91"/>
      <c r="BJ99" s="85"/>
      <c r="BK99" s="85"/>
      <c r="BL99" s="98"/>
      <c r="BM99" s="98"/>
      <c r="BN99" s="85">
        <f>SUM(IF(AND(D99&lt;&gt;"",WEEKDAY(D$1,2)&lt;6),1,0),IF(AND(F99&lt;&gt;"",WEEKDAY(F$1,2)&lt;6),1,0),IF(AND(H99&lt;&gt;"",WEEKDAY(H$1,2)&lt;6),1,0),IF(AND(J99&lt;&gt;"",WEEKDAY(J$1,2)&lt;6),1,0),IF(AND(L99&lt;&gt;"",WEEKDAY(L$1,2)&lt;6),1,0),IF(AND(N99&lt;&gt;"",WEEKDAY(N$1,2)&lt;6),1,0),IF(AND(P99&lt;&gt;"",WEEKDAY(P$1,2)&lt;6),1,0),IF(AND(R99&lt;&gt;"",WEEKDAY(R$1,2)&lt;6),1,0),IF(AND(T99&lt;&gt;"",WEEKDAY(T$1,2)&lt;6),1,0),IF(AND(V99&lt;&gt;"",WEEKDAY(V$1,2)&lt;6),1,0),IF(AND(X99&lt;&gt;"",WEEKDAY(X$1,2)&lt;6),1,0),IF(AND(Z99&lt;&gt;"",WEEKDAY(Z$1,2)&lt;6),1,0),IF(AND(AB99&lt;&gt;"",WEEKDAY(AB$1,2)&lt;6),1,0),IF(AND(AD99&lt;&gt;"",WEEKDAY(AD$1,2)&lt;6),1,0),IF(AND(AF99&lt;&gt;"",WEEKDAY(AF$1,2)&lt;6),1,0),IF(AND(AH99&lt;&gt;"",WEEKDAY(AH$1,2)&lt;6),1,0),IF(AND(AJ99&lt;&gt;"",WEEKDAY(AJ$1,2)&lt;6),1,0),IF(AND(AL99&lt;&gt;"",WEEKDAY(AL$1,2)&lt;6),1,0),IF(AND(AN99&lt;&gt;"",WEEKDAY(AN$1,2)&lt;6),1,0),IF(AND(AP99&lt;&gt;"",WEEKDAY(AP$1,2)&lt;6),1,0),IF(AND(AR99&lt;&gt;"",WEEKDAY(AR$1,2)&lt;6),1,0),IF(AND(AT99&lt;&gt;"",WEEKDAY(AT$1,2)&lt;6),1,0),IF(AND(AV99&lt;&gt;"",WEEKDAY(AV$1,2)&lt;6),1,0),IF(AND(AX99&lt;&gt;"",WEEKDAY(AX$1,2)&lt;6),1,0),IF(AND(AZ99&lt;&gt;"",WEEKDAY(AZ$1,2)&lt;6),1,0),IF(AND(BB99&lt;&gt;"",WEEKDAY(BB$1,2)&lt;6),1,0),IF(AND(BD99&lt;&gt;"",WEEKDAY(BD$1,2)&lt;6),1,0),IF(AND(BF99&lt;&gt;"",WEEKDAY(BF$1,2)&lt;6),1,0),IF(AND(BH99&lt;&gt;"",WEEKDAY(BH$1,2)&lt;6),1,0),IF(AND(BJ99&lt;&gt;"",WEEKDAY(BJ$1,2)&lt;6),1,0),IF(AND(BL99&lt;&gt;"",WEEKDAY(BL$1,2)&lt;6),1,0))</f>
        <v>1</v>
      </c>
      <c r="BO99" s="85">
        <f>SUM(IF(AND(E99&lt;&gt;"",WEEKDAY(D$1,2)&lt;6),1,0),IF(AND(G99&lt;&gt;"",WEEKDAY(F$1,2)&lt;6),1,0),IF(AND(I99&lt;&gt;"",WEEKDAY(H$1,2)&lt;6),1,0),IF(AND(K99&lt;&gt;"",WEEKDAY(J$1,2)&lt;6),1,0),IF(AND(M99&lt;&gt;"",WEEKDAY(L$1,2)&lt;6),1,0),IF(AND(O99&lt;&gt;"",WEEKDAY(N$1,2)&lt;6),1,0),IF(AND(Q99&lt;&gt;"",WEEKDAY(P$1,2)&lt;6),1,0),IF(AND(S99&lt;&gt;"",WEEKDAY(R$1,2)&lt;6),1,0),IF(AND(U99&lt;&gt;"",WEEKDAY(T$1,2)&lt;6),1,0),IF(AND(W99&lt;&gt;"",WEEKDAY(V$1,2)&lt;6),1,0),IF(AND(Y99&lt;&gt;"",WEEKDAY(X$1,2)&lt;6),1,0),IF(AND(AA99&lt;&gt;"",WEEKDAY(Z$1,2)&lt;6),1,0),IF(AND(AC99&lt;&gt;"",WEEKDAY(AB$1,2)&lt;6),1,0),IF(AND(AE99&lt;&gt;"",WEEKDAY(AD$1,2)&lt;6),1,0),IF(AND(AG99&lt;&gt;"",WEEKDAY(AF$1,2)&lt;6),1,0),IF(AND(AI99&lt;&gt;"",WEEKDAY(AH$1,2)&lt;6),1,0),IF(AND(AK99&lt;&gt;"",WEEKDAY(AJ$1,2)&lt;6),1,0),IF(AND(AM99&lt;&gt;"",WEEKDAY(AL$1,2)&lt;6),1,0),IF(AND(AO99&lt;&gt;"",WEEKDAY(AN$1,2)&lt;6),1,0),IF(AND(AQ99&lt;&gt;"",WEEKDAY(AP$1,2)&lt;6),1,0),IF(AND(AS99&lt;&gt;"",WEEKDAY(AR$1,2)&lt;6),1,0),IF(AND(AU99&lt;&gt;"",WEEKDAY(AT$1,2)&lt;6),1,0),IF(AND(AW99&lt;&gt;"",WEEKDAY(AV$1,2)&lt;6),1,0),IF(AND(AY99&lt;&gt;"",WEEKDAY(AX$1,2)&lt;6),1,0),IF(AND(BA99&lt;&gt;"",WEEKDAY(AZ$1,2)&lt;6),1,0),IF(AND(BC99&lt;&gt;"",WEEKDAY(BB$1,2)&lt;6),1,0),IF(AND(BE99&lt;&gt;"",WEEKDAY(BD$1,2)&lt;6),1,0),IF(AND(BG99&lt;&gt;"",WEEKDAY(BF$1,2)&lt;6),1,0),IF(AND(BI99&lt;&gt;"",WEEKDAY(BH$1,2)&lt;6),1,0),IF(AND(BK99&lt;&gt;"",WEEKDAY(BJ$1,2)&lt;6),1,0),IF(AND(BM99&lt;&gt;"",WEEKDAY(BL$1,2)&lt;6),1,0))</f>
        <v>0</v>
      </c>
      <c r="BP99" s="85">
        <f>SUM(IF(AND((D99&lt;&gt;"")+(E99&lt;&gt;""),WEEKDAY(D$1,2)=6),1,0),IF(AND((F99&lt;&gt;"")+(G99&lt;&gt;""),WEEKDAY(F$1,2)=6),1,0),IF(AND((H99&lt;&gt;"")+(I99&lt;&gt;""),WEEKDAY(H$1,2)=6),1,0),IF(AND((J99&lt;&gt;"")+(K99&lt;&gt;""),WEEKDAY(J$1,2)=6),1,0),IF(AND((L99&lt;&gt;"")+(M99&lt;&gt;""),WEEKDAY(L$1,2)=6),1,0),IF(AND((N99&lt;&gt;"")+(O99&lt;&gt;""),WEEKDAY(N$1,2)=6),1,0),IF(AND((P99&lt;&gt;"")+(Q99&lt;&gt;""),WEEKDAY(P$1,2)=6),1,0),IF(AND((R99&lt;&gt;"")+(S99&lt;&gt;""),WEEKDAY(R$1,2)=6),1,0),IF(AND((T99&lt;&gt;"")+(U99&lt;&gt;""),WEEKDAY(T$1,2)=6),1,0),IF(AND((V99&lt;&gt;"")+(W99&lt;&gt;""),WEEKDAY(V$1,2)=6),1,0),IF(AND((X99&lt;&gt;"")+(Y99&lt;&gt;""),WEEKDAY(X$1,2)=6),1,0),IF(AND((Z99&lt;&gt;"")+(AA99&lt;&gt;""),WEEKDAY(Z$1,2)=6),1,0),IF(AND((AB99&lt;&gt;"")+(AC99&lt;&gt;""),WEEKDAY(AB$1,2)=6),1,0),IF(AND((AD99&lt;&gt;"")+(AE99&lt;&gt;""),WEEKDAY(AD$1,2)=6),1,0),IF(AND((AF99&lt;&gt;"")+(AG99&lt;&gt;""),WEEKDAY(AF$1,2)=6),1,0),IF(AND((AH99&lt;&gt;"")+(AI99&lt;&gt;""),WEEKDAY(AH$1,2)=6),1,0),IF(AND((AJ99&lt;&gt;"")+(AK99&lt;&gt;""),WEEKDAY(AJ$1,2)=6),1,0),IF(AND((AL99&lt;&gt;"")+(AM99&lt;&gt;""),WEEKDAY(AL$1,2)=6),1,0),IF(AND((AN99&lt;&gt;"")+(AO99&lt;&gt;""),WEEKDAY(AN$1,2)=6),1,0),IF(AND((AP99&lt;&gt;"")+(AQ99&lt;&gt;""),WEEKDAY(AP$1,2)=6),1,0),IF(AND((AR99&lt;&gt;"")+(AS99&lt;&gt;""),WEEKDAY(AR$1,2)=6),1,0),IF(AND((AT99&lt;&gt;"")+(AU99&lt;&gt;""),WEEKDAY(AT$1,2)=6),1,0),IF(AND((AV99&lt;&gt;"")+(AW99&lt;&gt;""),WEEKDAY(AV$1,2)=6),1,0),IF(AND((AX99&lt;&gt;"")+(AY99&lt;&gt;""),WEEKDAY(AX$1,2)=6),1,0),IF(AND((AZ99&lt;&gt;"")+(BA99&lt;&gt;""),WEEKDAY(AZ$1,2)=6),1,0),IF(AND((BB99&lt;&gt;"")+(BC99&lt;&gt;""),WEEKDAY(BB$1,2)=6),1,0),IF(AND((BD99&lt;&gt;"")+(BE99&lt;&gt;""),WEEKDAY(BD$1,2)=6),1,0),IF(AND((BF99&lt;&gt;"")+(BG99&lt;&gt;""),WEEKDAY(BF$1,2)=6),1,0),IF(AND((BH99&lt;&gt;"")+(BI99&lt;&gt;""),WEEKDAY(BH$1,2)=6),1,0),IF(AND((BJ99&lt;&gt;"")+(BK99&lt;&gt;""),WEEKDAY(BJ$1,2)=6),1,0),IF(AND((BL99&lt;&gt;"")+(BM99&lt;&gt;""),WEEKDAY(BL$1,2)=6),1,0))</f>
        <v>0</v>
      </c>
    </row>
    <row r="100" spans="1:68" ht="16.5">
      <c r="A100" s="90" t="s">
        <v>150</v>
      </c>
      <c r="B100" s="84" t="s">
        <v>160</v>
      </c>
      <c r="C100" s="94" t="s">
        <v>161</v>
      </c>
      <c r="D100" s="91"/>
      <c r="E100" s="91"/>
      <c r="F100" s="85"/>
      <c r="G100" s="88">
        <v>0.23749999999999999</v>
      </c>
      <c r="H100" s="88">
        <v>0.40208333333333335</v>
      </c>
      <c r="I100" s="85"/>
      <c r="J100" s="99">
        <v>0.41944444444444445</v>
      </c>
      <c r="K100" s="99">
        <v>0.20694444444444443</v>
      </c>
      <c r="L100" s="98"/>
      <c r="M100" s="98"/>
      <c r="N100" s="88">
        <v>0.41875000000000001</v>
      </c>
      <c r="O100" s="85"/>
      <c r="P100" s="95"/>
      <c r="Q100" s="95"/>
      <c r="R100" s="91"/>
      <c r="S100" s="91"/>
      <c r="T100" s="88">
        <v>0.43125000000000002</v>
      </c>
      <c r="U100" s="88">
        <v>0.25763888888888886</v>
      </c>
      <c r="V100" s="85"/>
      <c r="W100" s="88">
        <v>0.24374999999999999</v>
      </c>
      <c r="X100" s="85"/>
      <c r="Y100" s="85"/>
      <c r="Z100" s="85"/>
      <c r="AA100" s="85"/>
      <c r="AB100" s="88">
        <v>0.43333333333333335</v>
      </c>
      <c r="AC100" s="85"/>
      <c r="AD100" s="95"/>
      <c r="AE100" s="95"/>
      <c r="AF100" s="91"/>
      <c r="AG100" s="91"/>
      <c r="AH100" s="96"/>
      <c r="AI100" s="96"/>
      <c r="AJ100" s="85"/>
      <c r="AK100" s="88">
        <v>0.19236111111111112</v>
      </c>
      <c r="AL100" s="88">
        <v>0</v>
      </c>
      <c r="AM100" s="88">
        <v>0</v>
      </c>
      <c r="AN100" s="88">
        <v>0</v>
      </c>
      <c r="AO100" s="88">
        <v>0</v>
      </c>
      <c r="AP100" s="88">
        <v>0</v>
      </c>
      <c r="AQ100" s="88">
        <v>0</v>
      </c>
      <c r="AR100" s="95"/>
      <c r="AS100" s="95"/>
      <c r="AT100" s="91"/>
      <c r="AU100" s="91"/>
      <c r="AV100" s="88">
        <v>0</v>
      </c>
      <c r="AW100" s="88">
        <v>0</v>
      </c>
      <c r="AX100" s="88">
        <v>0</v>
      </c>
      <c r="AY100" s="88">
        <v>0</v>
      </c>
      <c r="AZ100" s="88">
        <v>0</v>
      </c>
      <c r="BA100" s="88">
        <v>0</v>
      </c>
      <c r="BB100" s="88">
        <v>0.40625</v>
      </c>
      <c r="BC100" s="88">
        <v>0.17708333333333334</v>
      </c>
      <c r="BD100" s="85"/>
      <c r="BE100" s="85"/>
      <c r="BF100" s="95"/>
      <c r="BG100" s="95"/>
      <c r="BH100" s="91"/>
      <c r="BI100" s="91"/>
      <c r="BJ100" s="85"/>
      <c r="BK100" s="88">
        <v>0.24166666666666667</v>
      </c>
      <c r="BL100" s="98"/>
      <c r="BM100" s="99">
        <v>0.28541666666666665</v>
      </c>
      <c r="BN100" s="85">
        <f>SUM(IF(AND(D100&lt;&gt;"",WEEKDAY(D$1,2)&lt;6),1,0),IF(AND(F100&lt;&gt;"",WEEKDAY(F$1,2)&lt;6),1,0),IF(AND(H100&lt;&gt;"",WEEKDAY(H$1,2)&lt;6),1,0),IF(AND(J100&lt;&gt;"",WEEKDAY(J$1,2)&lt;6),1,0),IF(AND(L100&lt;&gt;"",WEEKDAY(L$1,2)&lt;6),1,0),IF(AND(N100&lt;&gt;"",WEEKDAY(N$1,2)&lt;6),1,0),IF(AND(P100&lt;&gt;"",WEEKDAY(P$1,2)&lt;6),1,0),IF(AND(R100&lt;&gt;"",WEEKDAY(R$1,2)&lt;6),1,0),IF(AND(T100&lt;&gt;"",WEEKDAY(T$1,2)&lt;6),1,0),IF(AND(V100&lt;&gt;"",WEEKDAY(V$1,2)&lt;6),1,0),IF(AND(X100&lt;&gt;"",WEEKDAY(X$1,2)&lt;6),1,0),IF(AND(Z100&lt;&gt;"",WEEKDAY(Z$1,2)&lt;6),1,0),IF(AND(AB100&lt;&gt;"",WEEKDAY(AB$1,2)&lt;6),1,0),IF(AND(AD100&lt;&gt;"",WEEKDAY(AD$1,2)&lt;6),1,0),IF(AND(AF100&lt;&gt;"",WEEKDAY(AF$1,2)&lt;6),1,0),IF(AND(AH100&lt;&gt;"",WEEKDAY(AH$1,2)&lt;6),1,0),IF(AND(AJ100&lt;&gt;"",WEEKDAY(AJ$1,2)&lt;6),1,0),IF(AND(AL100&lt;&gt;"",WEEKDAY(AL$1,2)&lt;6),1,0),IF(AND(AN100&lt;&gt;"",WEEKDAY(AN$1,2)&lt;6),1,0),IF(AND(AP100&lt;&gt;"",WEEKDAY(AP$1,2)&lt;6),1,0),IF(AND(AR100&lt;&gt;"",WEEKDAY(AR$1,2)&lt;6),1,0),IF(AND(AT100&lt;&gt;"",WEEKDAY(AT$1,2)&lt;6),1,0),IF(AND(AV100&lt;&gt;"",WEEKDAY(AV$1,2)&lt;6),1,0),IF(AND(AX100&lt;&gt;"",WEEKDAY(AX$1,2)&lt;6),1,0),IF(AND(AZ100&lt;&gt;"",WEEKDAY(AZ$1,2)&lt;6),1,0),IF(AND(BB100&lt;&gt;"",WEEKDAY(BB$1,2)&lt;6),1,0),IF(AND(BD100&lt;&gt;"",WEEKDAY(BD$1,2)&lt;6),1,0),IF(AND(BF100&lt;&gt;"",WEEKDAY(BF$1,2)&lt;6),1,0),IF(AND(BH100&lt;&gt;"",WEEKDAY(BH$1,2)&lt;6),1,0),IF(AND(BJ100&lt;&gt;"",WEEKDAY(BJ$1,2)&lt;6),1,0),IF(AND(BL100&lt;&gt;"",WEEKDAY(BL$1,2)&lt;6),1,0))</f>
        <v>12</v>
      </c>
      <c r="BO100" s="85">
        <f>SUM(IF(AND(E100&lt;&gt;"",WEEKDAY(D$1,2)&lt;6),1,0),IF(AND(G100&lt;&gt;"",WEEKDAY(F$1,2)&lt;6),1,0),IF(AND(I100&lt;&gt;"",WEEKDAY(H$1,2)&lt;6),1,0),IF(AND(K100&lt;&gt;"",WEEKDAY(J$1,2)&lt;6),1,0),IF(AND(M100&lt;&gt;"",WEEKDAY(L$1,2)&lt;6),1,0),IF(AND(O100&lt;&gt;"",WEEKDAY(N$1,2)&lt;6),1,0),IF(AND(Q100&lt;&gt;"",WEEKDAY(P$1,2)&lt;6),1,0),IF(AND(S100&lt;&gt;"",WEEKDAY(R$1,2)&lt;6),1,0),IF(AND(U100&lt;&gt;"",WEEKDAY(T$1,2)&lt;6),1,0),IF(AND(W100&lt;&gt;"",WEEKDAY(V$1,2)&lt;6),1,0),IF(AND(Y100&lt;&gt;"",WEEKDAY(X$1,2)&lt;6),1,0),IF(AND(AA100&lt;&gt;"",WEEKDAY(Z$1,2)&lt;6),1,0),IF(AND(AC100&lt;&gt;"",WEEKDAY(AB$1,2)&lt;6),1,0),IF(AND(AE100&lt;&gt;"",WEEKDAY(AD$1,2)&lt;6),1,0),IF(AND(AG100&lt;&gt;"",WEEKDAY(AF$1,2)&lt;6),1,0),IF(AND(AI100&lt;&gt;"",WEEKDAY(AH$1,2)&lt;6),1,0),IF(AND(AK100&lt;&gt;"",WEEKDAY(AJ$1,2)&lt;6),1,0),IF(AND(AM100&lt;&gt;"",WEEKDAY(AL$1,2)&lt;6),1,0),IF(AND(AO100&lt;&gt;"",WEEKDAY(AN$1,2)&lt;6),1,0),IF(AND(AQ100&lt;&gt;"",WEEKDAY(AP$1,2)&lt;6),1,0),IF(AND(AS100&lt;&gt;"",WEEKDAY(AR$1,2)&lt;6),1,0),IF(AND(AU100&lt;&gt;"",WEEKDAY(AT$1,2)&lt;6),1,0),IF(AND(AW100&lt;&gt;"",WEEKDAY(AV$1,2)&lt;6),1,0),IF(AND(AY100&lt;&gt;"",WEEKDAY(AX$1,2)&lt;6),1,0),IF(AND(BA100&lt;&gt;"",WEEKDAY(AZ$1,2)&lt;6),1,0),IF(AND(BC100&lt;&gt;"",WEEKDAY(BB$1,2)&lt;6),1,0),IF(AND(BE100&lt;&gt;"",WEEKDAY(BD$1,2)&lt;6),1,0),IF(AND(BG100&lt;&gt;"",WEEKDAY(BF$1,2)&lt;6),1,0),IF(AND(BI100&lt;&gt;"",WEEKDAY(BH$1,2)&lt;6),1,0),IF(AND(BK100&lt;&gt;"",WEEKDAY(BJ$1,2)&lt;6),1,0),IF(AND(BM100&lt;&gt;"",WEEKDAY(BL$1,2)&lt;6),1,0))</f>
        <v>14</v>
      </c>
      <c r="BP100" s="85">
        <f>SUM(IF(AND((D100&lt;&gt;"")+(E100&lt;&gt;""),WEEKDAY(D$1,2)=6),1,0),IF(AND((F100&lt;&gt;"")+(G100&lt;&gt;""),WEEKDAY(F$1,2)=6),1,0),IF(AND((H100&lt;&gt;"")+(I100&lt;&gt;""),WEEKDAY(H$1,2)=6),1,0),IF(AND((J100&lt;&gt;"")+(K100&lt;&gt;""),WEEKDAY(J$1,2)=6),1,0),IF(AND((L100&lt;&gt;"")+(M100&lt;&gt;""),WEEKDAY(L$1,2)=6),1,0),IF(AND((N100&lt;&gt;"")+(O100&lt;&gt;""),WEEKDAY(N$1,2)=6),1,0),IF(AND((P100&lt;&gt;"")+(Q100&lt;&gt;""),WEEKDAY(P$1,2)=6),1,0),IF(AND((R100&lt;&gt;"")+(S100&lt;&gt;""),WEEKDAY(R$1,2)=6),1,0),IF(AND((T100&lt;&gt;"")+(U100&lt;&gt;""),WEEKDAY(T$1,2)=6),1,0),IF(AND((V100&lt;&gt;"")+(W100&lt;&gt;""),WEEKDAY(V$1,2)=6),1,0),IF(AND((X100&lt;&gt;"")+(Y100&lt;&gt;""),WEEKDAY(X$1,2)=6),1,0),IF(AND((Z100&lt;&gt;"")+(AA100&lt;&gt;""),WEEKDAY(Z$1,2)=6),1,0),IF(AND((AB100&lt;&gt;"")+(AC100&lt;&gt;""),WEEKDAY(AB$1,2)=6),1,0),IF(AND((AD100&lt;&gt;"")+(AE100&lt;&gt;""),WEEKDAY(AD$1,2)=6),1,0),IF(AND((AF100&lt;&gt;"")+(AG100&lt;&gt;""),WEEKDAY(AF$1,2)=6),1,0),IF(AND((AH100&lt;&gt;"")+(AI100&lt;&gt;""),WEEKDAY(AH$1,2)=6),1,0),IF(AND((AJ100&lt;&gt;"")+(AK100&lt;&gt;""),WEEKDAY(AJ$1,2)=6),1,0),IF(AND((AL100&lt;&gt;"")+(AM100&lt;&gt;""),WEEKDAY(AL$1,2)=6),1,0),IF(AND((AN100&lt;&gt;"")+(AO100&lt;&gt;""),WEEKDAY(AN$1,2)=6),1,0),IF(AND((AP100&lt;&gt;"")+(AQ100&lt;&gt;""),WEEKDAY(AP$1,2)=6),1,0),IF(AND((AR100&lt;&gt;"")+(AS100&lt;&gt;""),WEEKDAY(AR$1,2)=6),1,0),IF(AND((AT100&lt;&gt;"")+(AU100&lt;&gt;""),WEEKDAY(AT$1,2)=6),1,0),IF(AND((AV100&lt;&gt;"")+(AW100&lt;&gt;""),WEEKDAY(AV$1,2)=6),1,0),IF(AND((AX100&lt;&gt;"")+(AY100&lt;&gt;""),WEEKDAY(AX$1,2)=6),1,0),IF(AND((AZ100&lt;&gt;"")+(BA100&lt;&gt;""),WEEKDAY(AZ$1,2)=6),1,0),IF(AND((BB100&lt;&gt;"")+(BC100&lt;&gt;""),WEEKDAY(BB$1,2)=6),1,0),IF(AND((BD100&lt;&gt;"")+(BE100&lt;&gt;""),WEEKDAY(BD$1,2)=6),1,0),IF(AND((BF100&lt;&gt;"")+(BG100&lt;&gt;""),WEEKDAY(BF$1,2)=6),1,0),IF(AND((BH100&lt;&gt;"")+(BI100&lt;&gt;""),WEEKDAY(BH$1,2)=6),1,0),IF(AND((BJ100&lt;&gt;"")+(BK100&lt;&gt;""),WEEKDAY(BJ$1,2)=6),1,0),IF(AND((BL100&lt;&gt;"")+(BM100&lt;&gt;""),WEEKDAY(BL$1,2)=6),1,0))</f>
        <v>0</v>
      </c>
    </row>
    <row r="101" spans="1:68" ht="16.5">
      <c r="A101" s="90" t="s">
        <v>150</v>
      </c>
      <c r="B101" s="84" t="s">
        <v>162</v>
      </c>
      <c r="C101" s="94" t="s">
        <v>163</v>
      </c>
      <c r="D101" s="91"/>
      <c r="E101" s="91"/>
      <c r="F101" s="88">
        <v>0.37986111111111109</v>
      </c>
      <c r="G101" s="85"/>
      <c r="H101" s="85"/>
      <c r="I101" s="85"/>
      <c r="J101" s="98"/>
      <c r="K101" s="98"/>
      <c r="L101" s="98"/>
      <c r="M101" s="98"/>
      <c r="N101" s="85"/>
      <c r="O101" s="88">
        <v>0.18680555555555556</v>
      </c>
      <c r="P101" s="95"/>
      <c r="Q101" s="95"/>
      <c r="R101" s="91"/>
      <c r="S101" s="91"/>
      <c r="T101" s="85"/>
      <c r="U101" s="85"/>
      <c r="V101" s="85"/>
      <c r="W101" s="85"/>
      <c r="X101" s="88">
        <v>0.40833333333333333</v>
      </c>
      <c r="Y101" s="88">
        <v>0.17083333333333334</v>
      </c>
      <c r="Z101" s="88">
        <v>0.40486111111111112</v>
      </c>
      <c r="AA101" s="88">
        <v>0.18402777777777779</v>
      </c>
      <c r="AB101" s="85"/>
      <c r="AC101" s="85"/>
      <c r="AD101" s="95"/>
      <c r="AE101" s="95"/>
      <c r="AF101" s="91"/>
      <c r="AG101" s="91"/>
      <c r="AH101" s="96"/>
      <c r="AI101" s="96"/>
      <c r="AJ101" s="85"/>
      <c r="AK101" s="85"/>
      <c r="AL101" s="85"/>
      <c r="AM101" s="85"/>
      <c r="AN101" s="85"/>
      <c r="AO101" s="85"/>
      <c r="AP101" s="85"/>
      <c r="AQ101" s="85"/>
      <c r="AR101" s="95"/>
      <c r="AS101" s="95"/>
      <c r="AT101" s="91"/>
      <c r="AU101" s="91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95"/>
      <c r="BG101" s="95"/>
      <c r="BH101" s="91"/>
      <c r="BI101" s="91"/>
      <c r="BJ101" s="85"/>
      <c r="BK101" s="85"/>
      <c r="BL101" s="98"/>
      <c r="BM101" s="98"/>
      <c r="BN101" s="85">
        <f>SUM(IF(AND(D101&lt;&gt;"",WEEKDAY(D$1,2)&lt;6),1,0),IF(AND(F101&lt;&gt;"",WEEKDAY(F$1,2)&lt;6),1,0),IF(AND(H101&lt;&gt;"",WEEKDAY(H$1,2)&lt;6),1,0),IF(AND(J101&lt;&gt;"",WEEKDAY(J$1,2)&lt;6),1,0),IF(AND(L101&lt;&gt;"",WEEKDAY(L$1,2)&lt;6),1,0),IF(AND(N101&lt;&gt;"",WEEKDAY(N$1,2)&lt;6),1,0),IF(AND(P101&lt;&gt;"",WEEKDAY(P$1,2)&lt;6),1,0),IF(AND(R101&lt;&gt;"",WEEKDAY(R$1,2)&lt;6),1,0),IF(AND(T101&lt;&gt;"",WEEKDAY(T$1,2)&lt;6),1,0),IF(AND(V101&lt;&gt;"",WEEKDAY(V$1,2)&lt;6),1,0),IF(AND(X101&lt;&gt;"",WEEKDAY(X$1,2)&lt;6),1,0),IF(AND(Z101&lt;&gt;"",WEEKDAY(Z$1,2)&lt;6),1,0),IF(AND(AB101&lt;&gt;"",WEEKDAY(AB$1,2)&lt;6),1,0),IF(AND(AD101&lt;&gt;"",WEEKDAY(AD$1,2)&lt;6),1,0),IF(AND(AF101&lt;&gt;"",WEEKDAY(AF$1,2)&lt;6),1,0),IF(AND(AH101&lt;&gt;"",WEEKDAY(AH$1,2)&lt;6),1,0),IF(AND(AJ101&lt;&gt;"",WEEKDAY(AJ$1,2)&lt;6),1,0),IF(AND(AL101&lt;&gt;"",WEEKDAY(AL$1,2)&lt;6),1,0),IF(AND(AN101&lt;&gt;"",WEEKDAY(AN$1,2)&lt;6),1,0),IF(AND(AP101&lt;&gt;"",WEEKDAY(AP$1,2)&lt;6),1,0),IF(AND(AR101&lt;&gt;"",WEEKDAY(AR$1,2)&lt;6),1,0),IF(AND(AT101&lt;&gt;"",WEEKDAY(AT$1,2)&lt;6),1,0),IF(AND(AV101&lt;&gt;"",WEEKDAY(AV$1,2)&lt;6),1,0),IF(AND(AX101&lt;&gt;"",WEEKDAY(AX$1,2)&lt;6),1,0),IF(AND(AZ101&lt;&gt;"",WEEKDAY(AZ$1,2)&lt;6),1,0),IF(AND(BB101&lt;&gt;"",WEEKDAY(BB$1,2)&lt;6),1,0),IF(AND(BD101&lt;&gt;"",WEEKDAY(BD$1,2)&lt;6),1,0),IF(AND(BF101&lt;&gt;"",WEEKDAY(BF$1,2)&lt;6),1,0),IF(AND(BH101&lt;&gt;"",WEEKDAY(BH$1,2)&lt;6),1,0),IF(AND(BJ101&lt;&gt;"",WEEKDAY(BJ$1,2)&lt;6),1,0),IF(AND(BL101&lt;&gt;"",WEEKDAY(BL$1,2)&lt;6),1,0))</f>
        <v>3</v>
      </c>
      <c r="BO101" s="85">
        <f>SUM(IF(AND(E101&lt;&gt;"",WEEKDAY(D$1,2)&lt;6),1,0),IF(AND(G101&lt;&gt;"",WEEKDAY(F$1,2)&lt;6),1,0),IF(AND(I101&lt;&gt;"",WEEKDAY(H$1,2)&lt;6),1,0),IF(AND(K101&lt;&gt;"",WEEKDAY(J$1,2)&lt;6),1,0),IF(AND(M101&lt;&gt;"",WEEKDAY(L$1,2)&lt;6),1,0),IF(AND(O101&lt;&gt;"",WEEKDAY(N$1,2)&lt;6),1,0),IF(AND(Q101&lt;&gt;"",WEEKDAY(P$1,2)&lt;6),1,0),IF(AND(S101&lt;&gt;"",WEEKDAY(R$1,2)&lt;6),1,0),IF(AND(U101&lt;&gt;"",WEEKDAY(T$1,2)&lt;6),1,0),IF(AND(W101&lt;&gt;"",WEEKDAY(V$1,2)&lt;6),1,0),IF(AND(Y101&lt;&gt;"",WEEKDAY(X$1,2)&lt;6),1,0),IF(AND(AA101&lt;&gt;"",WEEKDAY(Z$1,2)&lt;6),1,0),IF(AND(AC101&lt;&gt;"",WEEKDAY(AB$1,2)&lt;6),1,0),IF(AND(AE101&lt;&gt;"",WEEKDAY(AD$1,2)&lt;6),1,0),IF(AND(AG101&lt;&gt;"",WEEKDAY(AF$1,2)&lt;6),1,0),IF(AND(AI101&lt;&gt;"",WEEKDAY(AH$1,2)&lt;6),1,0),IF(AND(AK101&lt;&gt;"",WEEKDAY(AJ$1,2)&lt;6),1,0),IF(AND(AM101&lt;&gt;"",WEEKDAY(AL$1,2)&lt;6),1,0),IF(AND(AO101&lt;&gt;"",WEEKDAY(AN$1,2)&lt;6),1,0),IF(AND(AQ101&lt;&gt;"",WEEKDAY(AP$1,2)&lt;6),1,0),IF(AND(AS101&lt;&gt;"",WEEKDAY(AR$1,2)&lt;6),1,0),IF(AND(AU101&lt;&gt;"",WEEKDAY(AT$1,2)&lt;6),1,0),IF(AND(AW101&lt;&gt;"",WEEKDAY(AV$1,2)&lt;6),1,0),IF(AND(AY101&lt;&gt;"",WEEKDAY(AX$1,2)&lt;6),1,0),IF(AND(BA101&lt;&gt;"",WEEKDAY(AZ$1,2)&lt;6),1,0),IF(AND(BC101&lt;&gt;"",WEEKDAY(BB$1,2)&lt;6),1,0),IF(AND(BE101&lt;&gt;"",WEEKDAY(BD$1,2)&lt;6),1,0),IF(AND(BG101&lt;&gt;"",WEEKDAY(BF$1,2)&lt;6),1,0),IF(AND(BI101&lt;&gt;"",WEEKDAY(BH$1,2)&lt;6),1,0),IF(AND(BK101&lt;&gt;"",WEEKDAY(BJ$1,2)&lt;6),1,0),IF(AND(BM101&lt;&gt;"",WEEKDAY(BL$1,2)&lt;6),1,0))</f>
        <v>3</v>
      </c>
      <c r="BP101" s="85">
        <f>SUM(IF(AND((D101&lt;&gt;"")+(E101&lt;&gt;""),WEEKDAY(D$1,2)=6),1,0),IF(AND((F101&lt;&gt;"")+(G101&lt;&gt;""),WEEKDAY(F$1,2)=6),1,0),IF(AND((H101&lt;&gt;"")+(I101&lt;&gt;""),WEEKDAY(H$1,2)=6),1,0),IF(AND((J101&lt;&gt;"")+(K101&lt;&gt;""),WEEKDAY(J$1,2)=6),1,0),IF(AND((L101&lt;&gt;"")+(M101&lt;&gt;""),WEEKDAY(L$1,2)=6),1,0),IF(AND((N101&lt;&gt;"")+(O101&lt;&gt;""),WEEKDAY(N$1,2)=6),1,0),IF(AND((P101&lt;&gt;"")+(Q101&lt;&gt;""),WEEKDAY(P$1,2)=6),1,0),IF(AND((R101&lt;&gt;"")+(S101&lt;&gt;""),WEEKDAY(R$1,2)=6),1,0),IF(AND((T101&lt;&gt;"")+(U101&lt;&gt;""),WEEKDAY(T$1,2)=6),1,0),IF(AND((V101&lt;&gt;"")+(W101&lt;&gt;""),WEEKDAY(V$1,2)=6),1,0),IF(AND((X101&lt;&gt;"")+(Y101&lt;&gt;""),WEEKDAY(X$1,2)=6),1,0),IF(AND((Z101&lt;&gt;"")+(AA101&lt;&gt;""),WEEKDAY(Z$1,2)=6),1,0),IF(AND((AB101&lt;&gt;"")+(AC101&lt;&gt;""),WEEKDAY(AB$1,2)=6),1,0),IF(AND((AD101&lt;&gt;"")+(AE101&lt;&gt;""),WEEKDAY(AD$1,2)=6),1,0),IF(AND((AF101&lt;&gt;"")+(AG101&lt;&gt;""),WEEKDAY(AF$1,2)=6),1,0),IF(AND((AH101&lt;&gt;"")+(AI101&lt;&gt;""),WEEKDAY(AH$1,2)=6),1,0),IF(AND((AJ101&lt;&gt;"")+(AK101&lt;&gt;""),WEEKDAY(AJ$1,2)=6),1,0),IF(AND((AL101&lt;&gt;"")+(AM101&lt;&gt;""),WEEKDAY(AL$1,2)=6),1,0),IF(AND((AN101&lt;&gt;"")+(AO101&lt;&gt;""),WEEKDAY(AN$1,2)=6),1,0),IF(AND((AP101&lt;&gt;"")+(AQ101&lt;&gt;""),WEEKDAY(AP$1,2)=6),1,0),IF(AND((AR101&lt;&gt;"")+(AS101&lt;&gt;""),WEEKDAY(AR$1,2)=6),1,0),IF(AND((AT101&lt;&gt;"")+(AU101&lt;&gt;""),WEEKDAY(AT$1,2)=6),1,0),IF(AND((AV101&lt;&gt;"")+(AW101&lt;&gt;""),WEEKDAY(AV$1,2)=6),1,0),IF(AND((AX101&lt;&gt;"")+(AY101&lt;&gt;""),WEEKDAY(AX$1,2)=6),1,0),IF(AND((AZ101&lt;&gt;"")+(BA101&lt;&gt;""),WEEKDAY(AZ$1,2)=6),1,0),IF(AND((BB101&lt;&gt;"")+(BC101&lt;&gt;""),WEEKDAY(BB$1,2)=6),1,0),IF(AND((BD101&lt;&gt;"")+(BE101&lt;&gt;""),WEEKDAY(BD$1,2)=6),1,0),IF(AND((BF101&lt;&gt;"")+(BG101&lt;&gt;""),WEEKDAY(BF$1,2)=6),1,0),IF(AND((BH101&lt;&gt;"")+(BI101&lt;&gt;""),WEEKDAY(BH$1,2)=6),1,0),IF(AND((BJ101&lt;&gt;"")+(BK101&lt;&gt;""),WEEKDAY(BJ$1,2)=6),1,0),IF(AND((BL101&lt;&gt;"")+(BM101&lt;&gt;""),WEEKDAY(BL$1,2)=6),1,0))</f>
        <v>0</v>
      </c>
    </row>
    <row r="102" spans="1:68" ht="16.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>
        <f>SUM(IF(AND(D102&lt;&gt;"",WEEKDAY(D$1,2)&lt;6),1,0),IF(AND(F102&lt;&gt;"",WEEKDAY(F$1,2)&lt;6),1,0),IF(AND(H102&lt;&gt;"",WEEKDAY(H$1,2)&lt;6),1,0),IF(AND(J102&lt;&gt;"",WEEKDAY(J$1,2)&lt;6),1,0),IF(AND(L102&lt;&gt;"",WEEKDAY(L$1,2)&lt;6),1,0),IF(AND(N102&lt;&gt;"",WEEKDAY(N$1,2)&lt;6),1,0),IF(AND(P102&lt;&gt;"",WEEKDAY(P$1,2)&lt;6),1,0),IF(AND(R102&lt;&gt;"",WEEKDAY(R$1,2)&lt;6),1,0),IF(AND(T102&lt;&gt;"",WEEKDAY(T$1,2)&lt;6),1,0),IF(AND(V102&lt;&gt;"",WEEKDAY(V$1,2)&lt;6),1,0),IF(AND(X102&lt;&gt;"",WEEKDAY(X$1,2)&lt;6),1,0),IF(AND(Z102&lt;&gt;"",WEEKDAY(Z$1,2)&lt;6),1,0),IF(AND(AB102&lt;&gt;"",WEEKDAY(AB$1,2)&lt;6),1,0),IF(AND(AD102&lt;&gt;"",WEEKDAY(AD$1,2)&lt;6),1,0),IF(AND(AF102&lt;&gt;"",WEEKDAY(AF$1,2)&lt;6),1,0),IF(AND(AH102&lt;&gt;"",WEEKDAY(AH$1,2)&lt;6),1,0),IF(AND(AJ102&lt;&gt;"",WEEKDAY(AJ$1,2)&lt;6),1,0),IF(AND(AL102&lt;&gt;"",WEEKDAY(AL$1,2)&lt;6),1,0),IF(AND(AN102&lt;&gt;"",WEEKDAY(AN$1,2)&lt;6),1,0),IF(AND(AP102&lt;&gt;"",WEEKDAY(AP$1,2)&lt;6),1,0),IF(AND(AR102&lt;&gt;"",WEEKDAY(AR$1,2)&lt;6),1,0),IF(AND(AT102&lt;&gt;"",WEEKDAY(AT$1,2)&lt;6),1,0),IF(AND(AV102&lt;&gt;"",WEEKDAY(AV$1,2)&lt;6),1,0),IF(AND(AX102&lt;&gt;"",WEEKDAY(AX$1,2)&lt;6),1,0),IF(AND(AZ102&lt;&gt;"",WEEKDAY(AZ$1,2)&lt;6),1,0),IF(AND(BB102&lt;&gt;"",WEEKDAY(BB$1,2)&lt;6),1,0),IF(AND(BD102&lt;&gt;"",WEEKDAY(BD$1,2)&lt;6),1,0),IF(AND(BF102&lt;&gt;"",WEEKDAY(BF$1,2)&lt;6),1,0),IF(AND(BH102&lt;&gt;"",WEEKDAY(BH$1,2)&lt;6),1,0),IF(AND(BJ102&lt;&gt;"",WEEKDAY(BJ$1,2)&lt;6),1,0),IF(AND(BL102&lt;&gt;"",WEEKDAY(BL$1,2)&lt;6),1,0))</f>
        <v>0</v>
      </c>
      <c r="BO102" s="85">
        <f>SUM(IF(AND(E102&lt;&gt;"",WEEKDAY(D$1,2)&lt;6),1,0),IF(AND(G102&lt;&gt;"",WEEKDAY(F$1,2)&lt;6),1,0),IF(AND(I102&lt;&gt;"",WEEKDAY(H$1,2)&lt;6),1,0),IF(AND(K102&lt;&gt;"",WEEKDAY(J$1,2)&lt;6),1,0),IF(AND(M102&lt;&gt;"",WEEKDAY(L$1,2)&lt;6),1,0),IF(AND(O102&lt;&gt;"",WEEKDAY(N$1,2)&lt;6),1,0),IF(AND(Q102&lt;&gt;"",WEEKDAY(P$1,2)&lt;6),1,0),IF(AND(S102&lt;&gt;"",WEEKDAY(R$1,2)&lt;6),1,0),IF(AND(U102&lt;&gt;"",WEEKDAY(T$1,2)&lt;6),1,0),IF(AND(W102&lt;&gt;"",WEEKDAY(V$1,2)&lt;6),1,0),IF(AND(Y102&lt;&gt;"",WEEKDAY(X$1,2)&lt;6),1,0),IF(AND(AA102&lt;&gt;"",WEEKDAY(Z$1,2)&lt;6),1,0),IF(AND(AC102&lt;&gt;"",WEEKDAY(AB$1,2)&lt;6),1,0),IF(AND(AE102&lt;&gt;"",WEEKDAY(AD$1,2)&lt;6),1,0),IF(AND(AG102&lt;&gt;"",WEEKDAY(AF$1,2)&lt;6),1,0),IF(AND(AI102&lt;&gt;"",WEEKDAY(AH$1,2)&lt;6),1,0),IF(AND(AK102&lt;&gt;"",WEEKDAY(AJ$1,2)&lt;6),1,0),IF(AND(AM102&lt;&gt;"",WEEKDAY(AL$1,2)&lt;6),1,0),IF(AND(AO102&lt;&gt;"",WEEKDAY(AN$1,2)&lt;6),1,0),IF(AND(AQ102&lt;&gt;"",WEEKDAY(AP$1,2)&lt;6),1,0),IF(AND(AS102&lt;&gt;"",WEEKDAY(AR$1,2)&lt;6),1,0),IF(AND(AU102&lt;&gt;"",WEEKDAY(AT$1,2)&lt;6),1,0),IF(AND(AW102&lt;&gt;"",WEEKDAY(AV$1,2)&lt;6),1,0),IF(AND(AY102&lt;&gt;"",WEEKDAY(AX$1,2)&lt;6),1,0),IF(AND(BA102&lt;&gt;"",WEEKDAY(AZ$1,2)&lt;6),1,0),IF(AND(BC102&lt;&gt;"",WEEKDAY(BB$1,2)&lt;6),1,0),IF(AND(BE102&lt;&gt;"",WEEKDAY(BD$1,2)&lt;6),1,0),IF(AND(BG102&lt;&gt;"",WEEKDAY(BF$1,2)&lt;6),1,0),IF(AND(BI102&lt;&gt;"",WEEKDAY(BH$1,2)&lt;6),1,0),IF(AND(BK102&lt;&gt;"",WEEKDAY(BJ$1,2)&lt;6),1,0),IF(AND(BM102&lt;&gt;"",WEEKDAY(BL$1,2)&lt;6),1,0))</f>
        <v>0</v>
      </c>
      <c r="BP102" s="85">
        <f>SUM(IF(AND((D102&lt;&gt;"")+(E102&lt;&gt;""),WEEKDAY(D$1,2)=6),1,0),IF(AND((F102&lt;&gt;"")+(G102&lt;&gt;""),WEEKDAY(F$1,2)=6),1,0),IF(AND((H102&lt;&gt;"")+(I102&lt;&gt;""),WEEKDAY(H$1,2)=6),1,0),IF(AND((J102&lt;&gt;"")+(K102&lt;&gt;""),WEEKDAY(J$1,2)=6),1,0),IF(AND((L102&lt;&gt;"")+(M102&lt;&gt;""),WEEKDAY(L$1,2)=6),1,0),IF(AND((N102&lt;&gt;"")+(O102&lt;&gt;""),WEEKDAY(N$1,2)=6),1,0),IF(AND((P102&lt;&gt;"")+(Q102&lt;&gt;""),WEEKDAY(P$1,2)=6),1,0),IF(AND((R102&lt;&gt;"")+(S102&lt;&gt;""),WEEKDAY(R$1,2)=6),1,0),IF(AND((T102&lt;&gt;"")+(U102&lt;&gt;""),WEEKDAY(T$1,2)=6),1,0),IF(AND((V102&lt;&gt;"")+(W102&lt;&gt;""),WEEKDAY(V$1,2)=6),1,0),IF(AND((X102&lt;&gt;"")+(Y102&lt;&gt;""),WEEKDAY(X$1,2)=6),1,0),IF(AND((Z102&lt;&gt;"")+(AA102&lt;&gt;""),WEEKDAY(Z$1,2)=6),1,0),IF(AND((AB102&lt;&gt;"")+(AC102&lt;&gt;""),WEEKDAY(AB$1,2)=6),1,0),IF(AND((AD102&lt;&gt;"")+(AE102&lt;&gt;""),WEEKDAY(AD$1,2)=6),1,0),IF(AND((AF102&lt;&gt;"")+(AG102&lt;&gt;""),WEEKDAY(AF$1,2)=6),1,0),IF(AND((AH102&lt;&gt;"")+(AI102&lt;&gt;""),WEEKDAY(AH$1,2)=6),1,0),IF(AND((AJ102&lt;&gt;"")+(AK102&lt;&gt;""),WEEKDAY(AJ$1,2)=6),1,0),IF(AND((AL102&lt;&gt;"")+(AM102&lt;&gt;""),WEEKDAY(AL$1,2)=6),1,0),IF(AND((AN102&lt;&gt;"")+(AO102&lt;&gt;""),WEEKDAY(AN$1,2)=6),1,0),IF(AND((AP102&lt;&gt;"")+(AQ102&lt;&gt;""),WEEKDAY(AP$1,2)=6),1,0),IF(AND((AR102&lt;&gt;"")+(AS102&lt;&gt;""),WEEKDAY(AR$1,2)=6),1,0),IF(AND((AT102&lt;&gt;"")+(AU102&lt;&gt;""),WEEKDAY(AT$1,2)=6),1,0),IF(AND((AV102&lt;&gt;"")+(AW102&lt;&gt;""),WEEKDAY(AV$1,2)=6),1,0),IF(AND((AX102&lt;&gt;"")+(AY102&lt;&gt;""),WEEKDAY(AX$1,2)=6),1,0),IF(AND((AZ102&lt;&gt;"")+(BA102&lt;&gt;""),WEEKDAY(AZ$1,2)=6),1,0),IF(AND((BB102&lt;&gt;"")+(BC102&lt;&gt;""),WEEKDAY(BB$1,2)=6),1,0),IF(AND((BD102&lt;&gt;"")+(BE102&lt;&gt;""),WEEKDAY(BD$1,2)=6),1,0),IF(AND((BF102&lt;&gt;"")+(BG102&lt;&gt;""),WEEKDAY(BF$1,2)=6),1,0),IF(AND((BH102&lt;&gt;"")+(BI102&lt;&gt;""),WEEKDAY(BH$1,2)=6),1,0),IF(AND((BJ102&lt;&gt;"")+(BK102&lt;&gt;""),WEEKDAY(BJ$1,2)=6),1,0),IF(AND((BL102&lt;&gt;"")+(BM102&lt;&gt;""),WEEKDAY(BL$1,2)=6),1,0))</f>
        <v>0</v>
      </c>
    </row>
    <row r="103" spans="1:68" ht="16.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>
        <f>SUM(IF(AND(D103&lt;&gt;"",WEEKDAY(D$1,2)&lt;6),1,0),IF(AND(F103&lt;&gt;"",WEEKDAY(F$1,2)&lt;6),1,0),IF(AND(H103&lt;&gt;"",WEEKDAY(H$1,2)&lt;6),1,0),IF(AND(J103&lt;&gt;"",WEEKDAY(J$1,2)&lt;6),1,0),IF(AND(L103&lt;&gt;"",WEEKDAY(L$1,2)&lt;6),1,0),IF(AND(N103&lt;&gt;"",WEEKDAY(N$1,2)&lt;6),1,0),IF(AND(P103&lt;&gt;"",WEEKDAY(P$1,2)&lt;6),1,0),IF(AND(R103&lt;&gt;"",WEEKDAY(R$1,2)&lt;6),1,0),IF(AND(T103&lt;&gt;"",WEEKDAY(T$1,2)&lt;6),1,0),IF(AND(V103&lt;&gt;"",WEEKDAY(V$1,2)&lt;6),1,0),IF(AND(X103&lt;&gt;"",WEEKDAY(X$1,2)&lt;6),1,0),IF(AND(Z103&lt;&gt;"",WEEKDAY(Z$1,2)&lt;6),1,0),IF(AND(AB103&lt;&gt;"",WEEKDAY(AB$1,2)&lt;6),1,0),IF(AND(AD103&lt;&gt;"",WEEKDAY(AD$1,2)&lt;6),1,0),IF(AND(AF103&lt;&gt;"",WEEKDAY(AF$1,2)&lt;6),1,0),IF(AND(AH103&lt;&gt;"",WEEKDAY(AH$1,2)&lt;6),1,0),IF(AND(AJ103&lt;&gt;"",WEEKDAY(AJ$1,2)&lt;6),1,0),IF(AND(AL103&lt;&gt;"",WEEKDAY(AL$1,2)&lt;6),1,0),IF(AND(AN103&lt;&gt;"",WEEKDAY(AN$1,2)&lt;6),1,0),IF(AND(AP103&lt;&gt;"",WEEKDAY(AP$1,2)&lt;6),1,0),IF(AND(AR103&lt;&gt;"",WEEKDAY(AR$1,2)&lt;6),1,0),IF(AND(AT103&lt;&gt;"",WEEKDAY(AT$1,2)&lt;6),1,0),IF(AND(AV103&lt;&gt;"",WEEKDAY(AV$1,2)&lt;6),1,0),IF(AND(AX103&lt;&gt;"",WEEKDAY(AX$1,2)&lt;6),1,0),IF(AND(AZ103&lt;&gt;"",WEEKDAY(AZ$1,2)&lt;6),1,0),IF(AND(BB103&lt;&gt;"",WEEKDAY(BB$1,2)&lt;6),1,0),IF(AND(BD103&lt;&gt;"",WEEKDAY(BD$1,2)&lt;6),1,0),IF(AND(BF103&lt;&gt;"",WEEKDAY(BF$1,2)&lt;6),1,0),IF(AND(BH103&lt;&gt;"",WEEKDAY(BH$1,2)&lt;6),1,0),IF(AND(BJ103&lt;&gt;"",WEEKDAY(BJ$1,2)&lt;6),1,0),IF(AND(BL103&lt;&gt;"",WEEKDAY(BL$1,2)&lt;6),1,0))</f>
        <v>0</v>
      </c>
      <c r="BO103" s="85">
        <f>SUM(IF(AND(E103&lt;&gt;"",WEEKDAY(D$1,2)&lt;6),1,0),IF(AND(G103&lt;&gt;"",WEEKDAY(F$1,2)&lt;6),1,0),IF(AND(I103&lt;&gt;"",WEEKDAY(H$1,2)&lt;6),1,0),IF(AND(K103&lt;&gt;"",WEEKDAY(J$1,2)&lt;6),1,0),IF(AND(M103&lt;&gt;"",WEEKDAY(L$1,2)&lt;6),1,0),IF(AND(O103&lt;&gt;"",WEEKDAY(N$1,2)&lt;6),1,0),IF(AND(Q103&lt;&gt;"",WEEKDAY(P$1,2)&lt;6),1,0),IF(AND(S103&lt;&gt;"",WEEKDAY(R$1,2)&lt;6),1,0),IF(AND(U103&lt;&gt;"",WEEKDAY(T$1,2)&lt;6),1,0),IF(AND(W103&lt;&gt;"",WEEKDAY(V$1,2)&lt;6),1,0),IF(AND(Y103&lt;&gt;"",WEEKDAY(X$1,2)&lt;6),1,0),IF(AND(AA103&lt;&gt;"",WEEKDAY(Z$1,2)&lt;6),1,0),IF(AND(AC103&lt;&gt;"",WEEKDAY(AB$1,2)&lt;6),1,0),IF(AND(AE103&lt;&gt;"",WEEKDAY(AD$1,2)&lt;6),1,0),IF(AND(AG103&lt;&gt;"",WEEKDAY(AF$1,2)&lt;6),1,0),IF(AND(AI103&lt;&gt;"",WEEKDAY(AH$1,2)&lt;6),1,0),IF(AND(AK103&lt;&gt;"",WEEKDAY(AJ$1,2)&lt;6),1,0),IF(AND(AM103&lt;&gt;"",WEEKDAY(AL$1,2)&lt;6),1,0),IF(AND(AO103&lt;&gt;"",WEEKDAY(AN$1,2)&lt;6),1,0),IF(AND(AQ103&lt;&gt;"",WEEKDAY(AP$1,2)&lt;6),1,0),IF(AND(AS103&lt;&gt;"",WEEKDAY(AR$1,2)&lt;6),1,0),IF(AND(AU103&lt;&gt;"",WEEKDAY(AT$1,2)&lt;6),1,0),IF(AND(AW103&lt;&gt;"",WEEKDAY(AV$1,2)&lt;6),1,0),IF(AND(AY103&lt;&gt;"",WEEKDAY(AX$1,2)&lt;6),1,0),IF(AND(BA103&lt;&gt;"",WEEKDAY(AZ$1,2)&lt;6),1,0),IF(AND(BC103&lt;&gt;"",WEEKDAY(BB$1,2)&lt;6),1,0),IF(AND(BE103&lt;&gt;"",WEEKDAY(BD$1,2)&lt;6),1,0),IF(AND(BG103&lt;&gt;"",WEEKDAY(BF$1,2)&lt;6),1,0),IF(AND(BI103&lt;&gt;"",WEEKDAY(BH$1,2)&lt;6),1,0),IF(AND(BK103&lt;&gt;"",WEEKDAY(BJ$1,2)&lt;6),1,0),IF(AND(BM103&lt;&gt;"",WEEKDAY(BL$1,2)&lt;6),1,0))</f>
        <v>0</v>
      </c>
      <c r="BP103" s="85">
        <f>SUM(IF(AND((D103&lt;&gt;"")+(E103&lt;&gt;""),WEEKDAY(D$1,2)=6),1,0),IF(AND((F103&lt;&gt;"")+(G103&lt;&gt;""),WEEKDAY(F$1,2)=6),1,0),IF(AND((H103&lt;&gt;"")+(I103&lt;&gt;""),WEEKDAY(H$1,2)=6),1,0),IF(AND((J103&lt;&gt;"")+(K103&lt;&gt;""),WEEKDAY(J$1,2)=6),1,0),IF(AND((L103&lt;&gt;"")+(M103&lt;&gt;""),WEEKDAY(L$1,2)=6),1,0),IF(AND((N103&lt;&gt;"")+(O103&lt;&gt;""),WEEKDAY(N$1,2)=6),1,0),IF(AND((P103&lt;&gt;"")+(Q103&lt;&gt;""),WEEKDAY(P$1,2)=6),1,0),IF(AND((R103&lt;&gt;"")+(S103&lt;&gt;""),WEEKDAY(R$1,2)=6),1,0),IF(AND((T103&lt;&gt;"")+(U103&lt;&gt;""),WEEKDAY(T$1,2)=6),1,0),IF(AND((V103&lt;&gt;"")+(W103&lt;&gt;""),WEEKDAY(V$1,2)=6),1,0),IF(AND((X103&lt;&gt;"")+(Y103&lt;&gt;""),WEEKDAY(X$1,2)=6),1,0),IF(AND((Z103&lt;&gt;"")+(AA103&lt;&gt;""),WEEKDAY(Z$1,2)=6),1,0),IF(AND((AB103&lt;&gt;"")+(AC103&lt;&gt;""),WEEKDAY(AB$1,2)=6),1,0),IF(AND((AD103&lt;&gt;"")+(AE103&lt;&gt;""),WEEKDAY(AD$1,2)=6),1,0),IF(AND((AF103&lt;&gt;"")+(AG103&lt;&gt;""),WEEKDAY(AF$1,2)=6),1,0),IF(AND((AH103&lt;&gt;"")+(AI103&lt;&gt;""),WEEKDAY(AH$1,2)=6),1,0),IF(AND((AJ103&lt;&gt;"")+(AK103&lt;&gt;""),WEEKDAY(AJ$1,2)=6),1,0),IF(AND((AL103&lt;&gt;"")+(AM103&lt;&gt;""),WEEKDAY(AL$1,2)=6),1,0),IF(AND((AN103&lt;&gt;"")+(AO103&lt;&gt;""),WEEKDAY(AN$1,2)=6),1,0),IF(AND((AP103&lt;&gt;"")+(AQ103&lt;&gt;""),WEEKDAY(AP$1,2)=6),1,0),IF(AND((AR103&lt;&gt;"")+(AS103&lt;&gt;""),WEEKDAY(AR$1,2)=6),1,0),IF(AND((AT103&lt;&gt;"")+(AU103&lt;&gt;""),WEEKDAY(AT$1,2)=6),1,0),IF(AND((AV103&lt;&gt;"")+(AW103&lt;&gt;""),WEEKDAY(AV$1,2)=6),1,0),IF(AND((AX103&lt;&gt;"")+(AY103&lt;&gt;""),WEEKDAY(AX$1,2)=6),1,0),IF(AND((AZ103&lt;&gt;"")+(BA103&lt;&gt;""),WEEKDAY(AZ$1,2)=6),1,0),IF(AND((BB103&lt;&gt;"")+(BC103&lt;&gt;""),WEEKDAY(BB$1,2)=6),1,0),IF(AND((BD103&lt;&gt;"")+(BE103&lt;&gt;""),WEEKDAY(BD$1,2)=6),1,0),IF(AND((BF103&lt;&gt;"")+(BG103&lt;&gt;""),WEEKDAY(BF$1,2)=6),1,0),IF(AND((BH103&lt;&gt;"")+(BI103&lt;&gt;""),WEEKDAY(BH$1,2)=6),1,0),IF(AND((BJ103&lt;&gt;"")+(BK103&lt;&gt;""),WEEKDAY(BJ$1,2)=6),1,0),IF(AND((BL103&lt;&gt;"")+(BM103&lt;&gt;""),WEEKDAY(BL$1,2)=6),1,0))</f>
        <v>0</v>
      </c>
    </row>
    <row r="104" spans="1:68" ht="16.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>
        <f>SUM(IF(AND(D104&lt;&gt;"",WEEKDAY(D$1,2)&lt;6),1,0),IF(AND(F104&lt;&gt;"",WEEKDAY(F$1,2)&lt;6),1,0),IF(AND(H104&lt;&gt;"",WEEKDAY(H$1,2)&lt;6),1,0),IF(AND(J104&lt;&gt;"",WEEKDAY(J$1,2)&lt;6),1,0),IF(AND(L104&lt;&gt;"",WEEKDAY(L$1,2)&lt;6),1,0),IF(AND(N104&lt;&gt;"",WEEKDAY(N$1,2)&lt;6),1,0),IF(AND(P104&lt;&gt;"",WEEKDAY(P$1,2)&lt;6),1,0),IF(AND(R104&lt;&gt;"",WEEKDAY(R$1,2)&lt;6),1,0),IF(AND(T104&lt;&gt;"",WEEKDAY(T$1,2)&lt;6),1,0),IF(AND(V104&lt;&gt;"",WEEKDAY(V$1,2)&lt;6),1,0),IF(AND(X104&lt;&gt;"",WEEKDAY(X$1,2)&lt;6),1,0),IF(AND(Z104&lt;&gt;"",WEEKDAY(Z$1,2)&lt;6),1,0),IF(AND(AB104&lt;&gt;"",WEEKDAY(AB$1,2)&lt;6),1,0),IF(AND(AD104&lt;&gt;"",WEEKDAY(AD$1,2)&lt;6),1,0),IF(AND(AF104&lt;&gt;"",WEEKDAY(AF$1,2)&lt;6),1,0),IF(AND(AH104&lt;&gt;"",WEEKDAY(AH$1,2)&lt;6),1,0),IF(AND(AJ104&lt;&gt;"",WEEKDAY(AJ$1,2)&lt;6),1,0),IF(AND(AL104&lt;&gt;"",WEEKDAY(AL$1,2)&lt;6),1,0),IF(AND(AN104&lt;&gt;"",WEEKDAY(AN$1,2)&lt;6),1,0),IF(AND(AP104&lt;&gt;"",WEEKDAY(AP$1,2)&lt;6),1,0),IF(AND(AR104&lt;&gt;"",WEEKDAY(AR$1,2)&lt;6),1,0),IF(AND(AT104&lt;&gt;"",WEEKDAY(AT$1,2)&lt;6),1,0),IF(AND(AV104&lt;&gt;"",WEEKDAY(AV$1,2)&lt;6),1,0),IF(AND(AX104&lt;&gt;"",WEEKDAY(AX$1,2)&lt;6),1,0),IF(AND(AZ104&lt;&gt;"",WEEKDAY(AZ$1,2)&lt;6),1,0),IF(AND(BB104&lt;&gt;"",WEEKDAY(BB$1,2)&lt;6),1,0),IF(AND(BD104&lt;&gt;"",WEEKDAY(BD$1,2)&lt;6),1,0),IF(AND(BF104&lt;&gt;"",WEEKDAY(BF$1,2)&lt;6),1,0),IF(AND(BH104&lt;&gt;"",WEEKDAY(BH$1,2)&lt;6),1,0),IF(AND(BJ104&lt;&gt;"",WEEKDAY(BJ$1,2)&lt;6),1,0),IF(AND(BL104&lt;&gt;"",WEEKDAY(BL$1,2)&lt;6),1,0))</f>
        <v>0</v>
      </c>
      <c r="BO104" s="85">
        <f>SUM(IF(AND(E104&lt;&gt;"",WEEKDAY(D$1,2)&lt;6),1,0),IF(AND(G104&lt;&gt;"",WEEKDAY(F$1,2)&lt;6),1,0),IF(AND(I104&lt;&gt;"",WEEKDAY(H$1,2)&lt;6),1,0),IF(AND(K104&lt;&gt;"",WEEKDAY(J$1,2)&lt;6),1,0),IF(AND(M104&lt;&gt;"",WEEKDAY(L$1,2)&lt;6),1,0),IF(AND(O104&lt;&gt;"",WEEKDAY(N$1,2)&lt;6),1,0),IF(AND(Q104&lt;&gt;"",WEEKDAY(P$1,2)&lt;6),1,0),IF(AND(S104&lt;&gt;"",WEEKDAY(R$1,2)&lt;6),1,0),IF(AND(U104&lt;&gt;"",WEEKDAY(T$1,2)&lt;6),1,0),IF(AND(W104&lt;&gt;"",WEEKDAY(V$1,2)&lt;6),1,0),IF(AND(Y104&lt;&gt;"",WEEKDAY(X$1,2)&lt;6),1,0),IF(AND(AA104&lt;&gt;"",WEEKDAY(Z$1,2)&lt;6),1,0),IF(AND(AC104&lt;&gt;"",WEEKDAY(AB$1,2)&lt;6),1,0),IF(AND(AE104&lt;&gt;"",WEEKDAY(AD$1,2)&lt;6),1,0),IF(AND(AG104&lt;&gt;"",WEEKDAY(AF$1,2)&lt;6),1,0),IF(AND(AI104&lt;&gt;"",WEEKDAY(AH$1,2)&lt;6),1,0),IF(AND(AK104&lt;&gt;"",WEEKDAY(AJ$1,2)&lt;6),1,0),IF(AND(AM104&lt;&gt;"",WEEKDAY(AL$1,2)&lt;6),1,0),IF(AND(AO104&lt;&gt;"",WEEKDAY(AN$1,2)&lt;6),1,0),IF(AND(AQ104&lt;&gt;"",WEEKDAY(AP$1,2)&lt;6),1,0),IF(AND(AS104&lt;&gt;"",WEEKDAY(AR$1,2)&lt;6),1,0),IF(AND(AU104&lt;&gt;"",WEEKDAY(AT$1,2)&lt;6),1,0),IF(AND(AW104&lt;&gt;"",WEEKDAY(AV$1,2)&lt;6),1,0),IF(AND(AY104&lt;&gt;"",WEEKDAY(AX$1,2)&lt;6),1,0),IF(AND(BA104&lt;&gt;"",WEEKDAY(AZ$1,2)&lt;6),1,0),IF(AND(BC104&lt;&gt;"",WEEKDAY(BB$1,2)&lt;6),1,0),IF(AND(BE104&lt;&gt;"",WEEKDAY(BD$1,2)&lt;6),1,0),IF(AND(BG104&lt;&gt;"",WEEKDAY(BF$1,2)&lt;6),1,0),IF(AND(BI104&lt;&gt;"",WEEKDAY(BH$1,2)&lt;6),1,0),IF(AND(BK104&lt;&gt;"",WEEKDAY(BJ$1,2)&lt;6),1,0),IF(AND(BM104&lt;&gt;"",WEEKDAY(BL$1,2)&lt;6),1,0))</f>
        <v>0</v>
      </c>
      <c r="BP104" s="85">
        <f>SUM(IF(AND((D104&lt;&gt;"")+(E104&lt;&gt;""),WEEKDAY(D$1,2)=6),1,0),IF(AND((F104&lt;&gt;"")+(G104&lt;&gt;""),WEEKDAY(F$1,2)=6),1,0),IF(AND((H104&lt;&gt;"")+(I104&lt;&gt;""),WEEKDAY(H$1,2)=6),1,0),IF(AND((J104&lt;&gt;"")+(K104&lt;&gt;""),WEEKDAY(J$1,2)=6),1,0),IF(AND((L104&lt;&gt;"")+(M104&lt;&gt;""),WEEKDAY(L$1,2)=6),1,0),IF(AND((N104&lt;&gt;"")+(O104&lt;&gt;""),WEEKDAY(N$1,2)=6),1,0),IF(AND((P104&lt;&gt;"")+(Q104&lt;&gt;""),WEEKDAY(P$1,2)=6),1,0),IF(AND((R104&lt;&gt;"")+(S104&lt;&gt;""),WEEKDAY(R$1,2)=6),1,0),IF(AND((T104&lt;&gt;"")+(U104&lt;&gt;""),WEEKDAY(T$1,2)=6),1,0),IF(AND((V104&lt;&gt;"")+(W104&lt;&gt;""),WEEKDAY(V$1,2)=6),1,0),IF(AND((X104&lt;&gt;"")+(Y104&lt;&gt;""),WEEKDAY(X$1,2)=6),1,0),IF(AND((Z104&lt;&gt;"")+(AA104&lt;&gt;""),WEEKDAY(Z$1,2)=6),1,0),IF(AND((AB104&lt;&gt;"")+(AC104&lt;&gt;""),WEEKDAY(AB$1,2)=6),1,0),IF(AND((AD104&lt;&gt;"")+(AE104&lt;&gt;""),WEEKDAY(AD$1,2)=6),1,0),IF(AND((AF104&lt;&gt;"")+(AG104&lt;&gt;""),WEEKDAY(AF$1,2)=6),1,0),IF(AND((AH104&lt;&gt;"")+(AI104&lt;&gt;""),WEEKDAY(AH$1,2)=6),1,0),IF(AND((AJ104&lt;&gt;"")+(AK104&lt;&gt;""),WEEKDAY(AJ$1,2)=6),1,0),IF(AND((AL104&lt;&gt;"")+(AM104&lt;&gt;""),WEEKDAY(AL$1,2)=6),1,0),IF(AND((AN104&lt;&gt;"")+(AO104&lt;&gt;""),WEEKDAY(AN$1,2)=6),1,0),IF(AND((AP104&lt;&gt;"")+(AQ104&lt;&gt;""),WEEKDAY(AP$1,2)=6),1,0),IF(AND((AR104&lt;&gt;"")+(AS104&lt;&gt;""),WEEKDAY(AR$1,2)=6),1,0),IF(AND((AT104&lt;&gt;"")+(AU104&lt;&gt;""),WEEKDAY(AT$1,2)=6),1,0),IF(AND((AV104&lt;&gt;"")+(AW104&lt;&gt;""),WEEKDAY(AV$1,2)=6),1,0),IF(AND((AX104&lt;&gt;"")+(AY104&lt;&gt;""),WEEKDAY(AX$1,2)=6),1,0),IF(AND((AZ104&lt;&gt;"")+(BA104&lt;&gt;""),WEEKDAY(AZ$1,2)=6),1,0),IF(AND((BB104&lt;&gt;"")+(BC104&lt;&gt;""),WEEKDAY(BB$1,2)=6),1,0),IF(AND((BD104&lt;&gt;"")+(BE104&lt;&gt;""),WEEKDAY(BD$1,2)=6),1,0),IF(AND((BF104&lt;&gt;"")+(BG104&lt;&gt;""),WEEKDAY(BF$1,2)=6),1,0),IF(AND((BH104&lt;&gt;"")+(BI104&lt;&gt;""),WEEKDAY(BH$1,2)=6),1,0),IF(AND((BJ104&lt;&gt;"")+(BK104&lt;&gt;""),WEEKDAY(BJ$1,2)=6),1,0),IF(AND((BL104&lt;&gt;"")+(BM104&lt;&gt;""),WEEKDAY(BL$1,2)=6),1,0))</f>
        <v>0</v>
      </c>
    </row>
    <row r="105" spans="1:68" ht="16.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>
        <f>SUM(IF(AND(D105&lt;&gt;"",WEEKDAY(D$1,2)&lt;6),1,0),IF(AND(F105&lt;&gt;"",WEEKDAY(F$1,2)&lt;6),1,0),IF(AND(H105&lt;&gt;"",WEEKDAY(H$1,2)&lt;6),1,0),IF(AND(J105&lt;&gt;"",WEEKDAY(J$1,2)&lt;6),1,0),IF(AND(L105&lt;&gt;"",WEEKDAY(L$1,2)&lt;6),1,0),IF(AND(N105&lt;&gt;"",WEEKDAY(N$1,2)&lt;6),1,0),IF(AND(P105&lt;&gt;"",WEEKDAY(P$1,2)&lt;6),1,0),IF(AND(R105&lt;&gt;"",WEEKDAY(R$1,2)&lt;6),1,0),IF(AND(T105&lt;&gt;"",WEEKDAY(T$1,2)&lt;6),1,0),IF(AND(V105&lt;&gt;"",WEEKDAY(V$1,2)&lt;6),1,0),IF(AND(X105&lt;&gt;"",WEEKDAY(X$1,2)&lt;6),1,0),IF(AND(Z105&lt;&gt;"",WEEKDAY(Z$1,2)&lt;6),1,0),IF(AND(AB105&lt;&gt;"",WEEKDAY(AB$1,2)&lt;6),1,0),IF(AND(AD105&lt;&gt;"",WEEKDAY(AD$1,2)&lt;6),1,0),IF(AND(AF105&lt;&gt;"",WEEKDAY(AF$1,2)&lt;6),1,0),IF(AND(AH105&lt;&gt;"",WEEKDAY(AH$1,2)&lt;6),1,0),IF(AND(AJ105&lt;&gt;"",WEEKDAY(AJ$1,2)&lt;6),1,0),IF(AND(AL105&lt;&gt;"",WEEKDAY(AL$1,2)&lt;6),1,0),IF(AND(AN105&lt;&gt;"",WEEKDAY(AN$1,2)&lt;6),1,0),IF(AND(AP105&lt;&gt;"",WEEKDAY(AP$1,2)&lt;6),1,0),IF(AND(AR105&lt;&gt;"",WEEKDAY(AR$1,2)&lt;6),1,0),IF(AND(AT105&lt;&gt;"",WEEKDAY(AT$1,2)&lt;6),1,0),IF(AND(AV105&lt;&gt;"",WEEKDAY(AV$1,2)&lt;6),1,0),IF(AND(AX105&lt;&gt;"",WEEKDAY(AX$1,2)&lt;6),1,0),IF(AND(AZ105&lt;&gt;"",WEEKDAY(AZ$1,2)&lt;6),1,0),IF(AND(BB105&lt;&gt;"",WEEKDAY(BB$1,2)&lt;6),1,0),IF(AND(BD105&lt;&gt;"",WEEKDAY(BD$1,2)&lt;6),1,0),IF(AND(BF105&lt;&gt;"",WEEKDAY(BF$1,2)&lt;6),1,0),IF(AND(BH105&lt;&gt;"",WEEKDAY(BH$1,2)&lt;6),1,0),IF(AND(BJ105&lt;&gt;"",WEEKDAY(BJ$1,2)&lt;6),1,0),IF(AND(BL105&lt;&gt;"",WEEKDAY(BL$1,2)&lt;6),1,0))</f>
        <v>0</v>
      </c>
      <c r="BO105" s="85">
        <f>SUM(IF(AND(E105&lt;&gt;"",WEEKDAY(D$1,2)&lt;6),1,0),IF(AND(G105&lt;&gt;"",WEEKDAY(F$1,2)&lt;6),1,0),IF(AND(I105&lt;&gt;"",WEEKDAY(H$1,2)&lt;6),1,0),IF(AND(K105&lt;&gt;"",WEEKDAY(J$1,2)&lt;6),1,0),IF(AND(M105&lt;&gt;"",WEEKDAY(L$1,2)&lt;6),1,0),IF(AND(O105&lt;&gt;"",WEEKDAY(N$1,2)&lt;6),1,0),IF(AND(Q105&lt;&gt;"",WEEKDAY(P$1,2)&lt;6),1,0),IF(AND(S105&lt;&gt;"",WEEKDAY(R$1,2)&lt;6),1,0),IF(AND(U105&lt;&gt;"",WEEKDAY(T$1,2)&lt;6),1,0),IF(AND(W105&lt;&gt;"",WEEKDAY(V$1,2)&lt;6),1,0),IF(AND(Y105&lt;&gt;"",WEEKDAY(X$1,2)&lt;6),1,0),IF(AND(AA105&lt;&gt;"",WEEKDAY(Z$1,2)&lt;6),1,0),IF(AND(AC105&lt;&gt;"",WEEKDAY(AB$1,2)&lt;6),1,0),IF(AND(AE105&lt;&gt;"",WEEKDAY(AD$1,2)&lt;6),1,0),IF(AND(AG105&lt;&gt;"",WEEKDAY(AF$1,2)&lt;6),1,0),IF(AND(AI105&lt;&gt;"",WEEKDAY(AH$1,2)&lt;6),1,0),IF(AND(AK105&lt;&gt;"",WEEKDAY(AJ$1,2)&lt;6),1,0),IF(AND(AM105&lt;&gt;"",WEEKDAY(AL$1,2)&lt;6),1,0),IF(AND(AO105&lt;&gt;"",WEEKDAY(AN$1,2)&lt;6),1,0),IF(AND(AQ105&lt;&gt;"",WEEKDAY(AP$1,2)&lt;6),1,0),IF(AND(AS105&lt;&gt;"",WEEKDAY(AR$1,2)&lt;6),1,0),IF(AND(AU105&lt;&gt;"",WEEKDAY(AT$1,2)&lt;6),1,0),IF(AND(AW105&lt;&gt;"",WEEKDAY(AV$1,2)&lt;6),1,0),IF(AND(AY105&lt;&gt;"",WEEKDAY(AX$1,2)&lt;6),1,0),IF(AND(BA105&lt;&gt;"",WEEKDAY(AZ$1,2)&lt;6),1,0),IF(AND(BC105&lt;&gt;"",WEEKDAY(BB$1,2)&lt;6),1,0),IF(AND(BE105&lt;&gt;"",WEEKDAY(BD$1,2)&lt;6),1,0),IF(AND(BG105&lt;&gt;"",WEEKDAY(BF$1,2)&lt;6),1,0),IF(AND(BI105&lt;&gt;"",WEEKDAY(BH$1,2)&lt;6),1,0),IF(AND(BK105&lt;&gt;"",WEEKDAY(BJ$1,2)&lt;6),1,0),IF(AND(BM105&lt;&gt;"",WEEKDAY(BL$1,2)&lt;6),1,0))</f>
        <v>0</v>
      </c>
      <c r="BP105" s="85">
        <f>SUM(IF(AND((D105&lt;&gt;"")+(E105&lt;&gt;""),WEEKDAY(D$1,2)=6),1,0),IF(AND((F105&lt;&gt;"")+(G105&lt;&gt;""),WEEKDAY(F$1,2)=6),1,0),IF(AND((H105&lt;&gt;"")+(I105&lt;&gt;""),WEEKDAY(H$1,2)=6),1,0),IF(AND((J105&lt;&gt;"")+(K105&lt;&gt;""),WEEKDAY(J$1,2)=6),1,0),IF(AND((L105&lt;&gt;"")+(M105&lt;&gt;""),WEEKDAY(L$1,2)=6),1,0),IF(AND((N105&lt;&gt;"")+(O105&lt;&gt;""),WEEKDAY(N$1,2)=6),1,0),IF(AND((P105&lt;&gt;"")+(Q105&lt;&gt;""),WEEKDAY(P$1,2)=6),1,0),IF(AND((R105&lt;&gt;"")+(S105&lt;&gt;""),WEEKDAY(R$1,2)=6),1,0),IF(AND((T105&lt;&gt;"")+(U105&lt;&gt;""),WEEKDAY(T$1,2)=6),1,0),IF(AND((V105&lt;&gt;"")+(W105&lt;&gt;""),WEEKDAY(V$1,2)=6),1,0),IF(AND((X105&lt;&gt;"")+(Y105&lt;&gt;""),WEEKDAY(X$1,2)=6),1,0),IF(AND((Z105&lt;&gt;"")+(AA105&lt;&gt;""),WEEKDAY(Z$1,2)=6),1,0),IF(AND((AB105&lt;&gt;"")+(AC105&lt;&gt;""),WEEKDAY(AB$1,2)=6),1,0),IF(AND((AD105&lt;&gt;"")+(AE105&lt;&gt;""),WEEKDAY(AD$1,2)=6),1,0),IF(AND((AF105&lt;&gt;"")+(AG105&lt;&gt;""),WEEKDAY(AF$1,2)=6),1,0),IF(AND((AH105&lt;&gt;"")+(AI105&lt;&gt;""),WEEKDAY(AH$1,2)=6),1,0),IF(AND((AJ105&lt;&gt;"")+(AK105&lt;&gt;""),WEEKDAY(AJ$1,2)=6),1,0),IF(AND((AL105&lt;&gt;"")+(AM105&lt;&gt;""),WEEKDAY(AL$1,2)=6),1,0),IF(AND((AN105&lt;&gt;"")+(AO105&lt;&gt;""),WEEKDAY(AN$1,2)=6),1,0),IF(AND((AP105&lt;&gt;"")+(AQ105&lt;&gt;""),WEEKDAY(AP$1,2)=6),1,0),IF(AND((AR105&lt;&gt;"")+(AS105&lt;&gt;""),WEEKDAY(AR$1,2)=6),1,0),IF(AND((AT105&lt;&gt;"")+(AU105&lt;&gt;""),WEEKDAY(AT$1,2)=6),1,0),IF(AND((AV105&lt;&gt;"")+(AW105&lt;&gt;""),WEEKDAY(AV$1,2)=6),1,0),IF(AND((AX105&lt;&gt;"")+(AY105&lt;&gt;""),WEEKDAY(AX$1,2)=6),1,0),IF(AND((AZ105&lt;&gt;"")+(BA105&lt;&gt;""),WEEKDAY(AZ$1,2)=6),1,0),IF(AND((BB105&lt;&gt;"")+(BC105&lt;&gt;""),WEEKDAY(BB$1,2)=6),1,0),IF(AND((BD105&lt;&gt;"")+(BE105&lt;&gt;""),WEEKDAY(BD$1,2)=6),1,0),IF(AND((BF105&lt;&gt;"")+(BG105&lt;&gt;""),WEEKDAY(BF$1,2)=6),1,0),IF(AND((BH105&lt;&gt;"")+(BI105&lt;&gt;""),WEEKDAY(BH$1,2)=6),1,0),IF(AND((BJ105&lt;&gt;"")+(BK105&lt;&gt;""),WEEKDAY(BJ$1,2)=6),1,0),IF(AND((BL105&lt;&gt;"")+(BM105&lt;&gt;""),WEEKDAY(BL$1,2)=6),1,0))</f>
        <v>0</v>
      </c>
    </row>
    <row r="106" spans="1:68" ht="16.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>
        <f>SUM(IF(AND(D106&lt;&gt;"",WEEKDAY(D$1,2)&lt;6),1,0),IF(AND(F106&lt;&gt;"",WEEKDAY(F$1,2)&lt;6),1,0),IF(AND(H106&lt;&gt;"",WEEKDAY(H$1,2)&lt;6),1,0),IF(AND(J106&lt;&gt;"",WEEKDAY(J$1,2)&lt;6),1,0),IF(AND(L106&lt;&gt;"",WEEKDAY(L$1,2)&lt;6),1,0),IF(AND(N106&lt;&gt;"",WEEKDAY(N$1,2)&lt;6),1,0),IF(AND(P106&lt;&gt;"",WEEKDAY(P$1,2)&lt;6),1,0),IF(AND(R106&lt;&gt;"",WEEKDAY(R$1,2)&lt;6),1,0),IF(AND(T106&lt;&gt;"",WEEKDAY(T$1,2)&lt;6),1,0),IF(AND(V106&lt;&gt;"",WEEKDAY(V$1,2)&lt;6),1,0),IF(AND(X106&lt;&gt;"",WEEKDAY(X$1,2)&lt;6),1,0),IF(AND(Z106&lt;&gt;"",WEEKDAY(Z$1,2)&lt;6),1,0),IF(AND(AB106&lt;&gt;"",WEEKDAY(AB$1,2)&lt;6),1,0),IF(AND(AD106&lt;&gt;"",WEEKDAY(AD$1,2)&lt;6),1,0),IF(AND(AF106&lt;&gt;"",WEEKDAY(AF$1,2)&lt;6),1,0),IF(AND(AH106&lt;&gt;"",WEEKDAY(AH$1,2)&lt;6),1,0),IF(AND(AJ106&lt;&gt;"",WEEKDAY(AJ$1,2)&lt;6),1,0),IF(AND(AL106&lt;&gt;"",WEEKDAY(AL$1,2)&lt;6),1,0),IF(AND(AN106&lt;&gt;"",WEEKDAY(AN$1,2)&lt;6),1,0),IF(AND(AP106&lt;&gt;"",WEEKDAY(AP$1,2)&lt;6),1,0),IF(AND(AR106&lt;&gt;"",WEEKDAY(AR$1,2)&lt;6),1,0),IF(AND(AT106&lt;&gt;"",WEEKDAY(AT$1,2)&lt;6),1,0),IF(AND(AV106&lt;&gt;"",WEEKDAY(AV$1,2)&lt;6),1,0),IF(AND(AX106&lt;&gt;"",WEEKDAY(AX$1,2)&lt;6),1,0),IF(AND(AZ106&lt;&gt;"",WEEKDAY(AZ$1,2)&lt;6),1,0),IF(AND(BB106&lt;&gt;"",WEEKDAY(BB$1,2)&lt;6),1,0),IF(AND(BD106&lt;&gt;"",WEEKDAY(BD$1,2)&lt;6),1,0),IF(AND(BF106&lt;&gt;"",WEEKDAY(BF$1,2)&lt;6),1,0),IF(AND(BH106&lt;&gt;"",WEEKDAY(BH$1,2)&lt;6),1,0),IF(AND(BJ106&lt;&gt;"",WEEKDAY(BJ$1,2)&lt;6),1,0),IF(AND(BL106&lt;&gt;"",WEEKDAY(BL$1,2)&lt;6),1,0))</f>
        <v>0</v>
      </c>
      <c r="BO106" s="85">
        <f>SUM(IF(AND(E106&lt;&gt;"",WEEKDAY(D$1,2)&lt;6),1,0),IF(AND(G106&lt;&gt;"",WEEKDAY(F$1,2)&lt;6),1,0),IF(AND(I106&lt;&gt;"",WEEKDAY(H$1,2)&lt;6),1,0),IF(AND(K106&lt;&gt;"",WEEKDAY(J$1,2)&lt;6),1,0),IF(AND(M106&lt;&gt;"",WEEKDAY(L$1,2)&lt;6),1,0),IF(AND(O106&lt;&gt;"",WEEKDAY(N$1,2)&lt;6),1,0),IF(AND(Q106&lt;&gt;"",WEEKDAY(P$1,2)&lt;6),1,0),IF(AND(S106&lt;&gt;"",WEEKDAY(R$1,2)&lt;6),1,0),IF(AND(U106&lt;&gt;"",WEEKDAY(T$1,2)&lt;6),1,0),IF(AND(W106&lt;&gt;"",WEEKDAY(V$1,2)&lt;6),1,0),IF(AND(Y106&lt;&gt;"",WEEKDAY(X$1,2)&lt;6),1,0),IF(AND(AA106&lt;&gt;"",WEEKDAY(Z$1,2)&lt;6),1,0),IF(AND(AC106&lt;&gt;"",WEEKDAY(AB$1,2)&lt;6),1,0),IF(AND(AE106&lt;&gt;"",WEEKDAY(AD$1,2)&lt;6),1,0),IF(AND(AG106&lt;&gt;"",WEEKDAY(AF$1,2)&lt;6),1,0),IF(AND(AI106&lt;&gt;"",WEEKDAY(AH$1,2)&lt;6),1,0),IF(AND(AK106&lt;&gt;"",WEEKDAY(AJ$1,2)&lt;6),1,0),IF(AND(AM106&lt;&gt;"",WEEKDAY(AL$1,2)&lt;6),1,0),IF(AND(AO106&lt;&gt;"",WEEKDAY(AN$1,2)&lt;6),1,0),IF(AND(AQ106&lt;&gt;"",WEEKDAY(AP$1,2)&lt;6),1,0),IF(AND(AS106&lt;&gt;"",WEEKDAY(AR$1,2)&lt;6),1,0),IF(AND(AU106&lt;&gt;"",WEEKDAY(AT$1,2)&lt;6),1,0),IF(AND(AW106&lt;&gt;"",WEEKDAY(AV$1,2)&lt;6),1,0),IF(AND(AY106&lt;&gt;"",WEEKDAY(AX$1,2)&lt;6),1,0),IF(AND(BA106&lt;&gt;"",WEEKDAY(AZ$1,2)&lt;6),1,0),IF(AND(BC106&lt;&gt;"",WEEKDAY(BB$1,2)&lt;6),1,0),IF(AND(BE106&lt;&gt;"",WEEKDAY(BD$1,2)&lt;6),1,0),IF(AND(BG106&lt;&gt;"",WEEKDAY(BF$1,2)&lt;6),1,0),IF(AND(BI106&lt;&gt;"",WEEKDAY(BH$1,2)&lt;6),1,0),IF(AND(BK106&lt;&gt;"",WEEKDAY(BJ$1,2)&lt;6),1,0),IF(AND(BM106&lt;&gt;"",WEEKDAY(BL$1,2)&lt;6),1,0))</f>
        <v>0</v>
      </c>
      <c r="BP106" s="85">
        <f>SUM(IF(AND((D106&lt;&gt;"")+(E106&lt;&gt;""),WEEKDAY(D$1,2)=6),1,0),IF(AND((F106&lt;&gt;"")+(G106&lt;&gt;""),WEEKDAY(F$1,2)=6),1,0),IF(AND((H106&lt;&gt;"")+(I106&lt;&gt;""),WEEKDAY(H$1,2)=6),1,0),IF(AND((J106&lt;&gt;"")+(K106&lt;&gt;""),WEEKDAY(J$1,2)=6),1,0),IF(AND((L106&lt;&gt;"")+(M106&lt;&gt;""),WEEKDAY(L$1,2)=6),1,0),IF(AND((N106&lt;&gt;"")+(O106&lt;&gt;""),WEEKDAY(N$1,2)=6),1,0),IF(AND((P106&lt;&gt;"")+(Q106&lt;&gt;""),WEEKDAY(P$1,2)=6),1,0),IF(AND((R106&lt;&gt;"")+(S106&lt;&gt;""),WEEKDAY(R$1,2)=6),1,0),IF(AND((T106&lt;&gt;"")+(U106&lt;&gt;""),WEEKDAY(T$1,2)=6),1,0),IF(AND((V106&lt;&gt;"")+(W106&lt;&gt;""),WEEKDAY(V$1,2)=6),1,0),IF(AND((X106&lt;&gt;"")+(Y106&lt;&gt;""),WEEKDAY(X$1,2)=6),1,0),IF(AND((Z106&lt;&gt;"")+(AA106&lt;&gt;""),WEEKDAY(Z$1,2)=6),1,0),IF(AND((AB106&lt;&gt;"")+(AC106&lt;&gt;""),WEEKDAY(AB$1,2)=6),1,0),IF(AND((AD106&lt;&gt;"")+(AE106&lt;&gt;""),WEEKDAY(AD$1,2)=6),1,0),IF(AND((AF106&lt;&gt;"")+(AG106&lt;&gt;""),WEEKDAY(AF$1,2)=6),1,0),IF(AND((AH106&lt;&gt;"")+(AI106&lt;&gt;""),WEEKDAY(AH$1,2)=6),1,0),IF(AND((AJ106&lt;&gt;"")+(AK106&lt;&gt;""),WEEKDAY(AJ$1,2)=6),1,0),IF(AND((AL106&lt;&gt;"")+(AM106&lt;&gt;""),WEEKDAY(AL$1,2)=6),1,0),IF(AND((AN106&lt;&gt;"")+(AO106&lt;&gt;""),WEEKDAY(AN$1,2)=6),1,0),IF(AND((AP106&lt;&gt;"")+(AQ106&lt;&gt;""),WEEKDAY(AP$1,2)=6),1,0),IF(AND((AR106&lt;&gt;"")+(AS106&lt;&gt;""),WEEKDAY(AR$1,2)=6),1,0),IF(AND((AT106&lt;&gt;"")+(AU106&lt;&gt;""),WEEKDAY(AT$1,2)=6),1,0),IF(AND((AV106&lt;&gt;"")+(AW106&lt;&gt;""),WEEKDAY(AV$1,2)=6),1,0),IF(AND((AX106&lt;&gt;"")+(AY106&lt;&gt;""),WEEKDAY(AX$1,2)=6),1,0),IF(AND((AZ106&lt;&gt;"")+(BA106&lt;&gt;""),WEEKDAY(AZ$1,2)=6),1,0),IF(AND((BB106&lt;&gt;"")+(BC106&lt;&gt;""),WEEKDAY(BB$1,2)=6),1,0),IF(AND((BD106&lt;&gt;"")+(BE106&lt;&gt;""),WEEKDAY(BD$1,2)=6),1,0),IF(AND((BF106&lt;&gt;"")+(BG106&lt;&gt;""),WEEKDAY(BF$1,2)=6),1,0),IF(AND((BH106&lt;&gt;"")+(BI106&lt;&gt;""),WEEKDAY(BH$1,2)=6),1,0),IF(AND((BJ106&lt;&gt;"")+(BK106&lt;&gt;""),WEEKDAY(BJ$1,2)=6),1,0),IF(AND((BL106&lt;&gt;"")+(BM106&lt;&gt;""),WEEKDAY(BL$1,2)=6),1,0))</f>
        <v>0</v>
      </c>
    </row>
    <row r="107" spans="1:68" ht="16.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>
        <f>SUM(IF(AND(D107&lt;&gt;"",WEEKDAY(D$1,2)&lt;6),1,0),IF(AND(F107&lt;&gt;"",WEEKDAY(F$1,2)&lt;6),1,0),IF(AND(H107&lt;&gt;"",WEEKDAY(H$1,2)&lt;6),1,0),IF(AND(J107&lt;&gt;"",WEEKDAY(J$1,2)&lt;6),1,0),IF(AND(L107&lt;&gt;"",WEEKDAY(L$1,2)&lt;6),1,0),IF(AND(N107&lt;&gt;"",WEEKDAY(N$1,2)&lt;6),1,0),IF(AND(P107&lt;&gt;"",WEEKDAY(P$1,2)&lt;6),1,0),IF(AND(R107&lt;&gt;"",WEEKDAY(R$1,2)&lt;6),1,0),IF(AND(T107&lt;&gt;"",WEEKDAY(T$1,2)&lt;6),1,0),IF(AND(V107&lt;&gt;"",WEEKDAY(V$1,2)&lt;6),1,0),IF(AND(X107&lt;&gt;"",WEEKDAY(X$1,2)&lt;6),1,0),IF(AND(Z107&lt;&gt;"",WEEKDAY(Z$1,2)&lt;6),1,0),IF(AND(AB107&lt;&gt;"",WEEKDAY(AB$1,2)&lt;6),1,0),IF(AND(AD107&lt;&gt;"",WEEKDAY(AD$1,2)&lt;6),1,0),IF(AND(AF107&lt;&gt;"",WEEKDAY(AF$1,2)&lt;6),1,0),IF(AND(AH107&lt;&gt;"",WEEKDAY(AH$1,2)&lt;6),1,0),IF(AND(AJ107&lt;&gt;"",WEEKDAY(AJ$1,2)&lt;6),1,0),IF(AND(AL107&lt;&gt;"",WEEKDAY(AL$1,2)&lt;6),1,0),IF(AND(AN107&lt;&gt;"",WEEKDAY(AN$1,2)&lt;6),1,0),IF(AND(AP107&lt;&gt;"",WEEKDAY(AP$1,2)&lt;6),1,0),IF(AND(AR107&lt;&gt;"",WEEKDAY(AR$1,2)&lt;6),1,0),IF(AND(AT107&lt;&gt;"",WEEKDAY(AT$1,2)&lt;6),1,0),IF(AND(AV107&lt;&gt;"",WEEKDAY(AV$1,2)&lt;6),1,0),IF(AND(AX107&lt;&gt;"",WEEKDAY(AX$1,2)&lt;6),1,0),IF(AND(AZ107&lt;&gt;"",WEEKDAY(AZ$1,2)&lt;6),1,0),IF(AND(BB107&lt;&gt;"",WEEKDAY(BB$1,2)&lt;6),1,0),IF(AND(BD107&lt;&gt;"",WEEKDAY(BD$1,2)&lt;6),1,0),IF(AND(BF107&lt;&gt;"",WEEKDAY(BF$1,2)&lt;6),1,0),IF(AND(BH107&lt;&gt;"",WEEKDAY(BH$1,2)&lt;6),1,0),IF(AND(BJ107&lt;&gt;"",WEEKDAY(BJ$1,2)&lt;6),1,0),IF(AND(BL107&lt;&gt;"",WEEKDAY(BL$1,2)&lt;6),1,0))</f>
        <v>0</v>
      </c>
      <c r="BO107" s="85">
        <f>SUM(IF(AND(E107&lt;&gt;"",WEEKDAY(D$1,2)&lt;6),1,0),IF(AND(G107&lt;&gt;"",WEEKDAY(F$1,2)&lt;6),1,0),IF(AND(I107&lt;&gt;"",WEEKDAY(H$1,2)&lt;6),1,0),IF(AND(K107&lt;&gt;"",WEEKDAY(J$1,2)&lt;6),1,0),IF(AND(M107&lt;&gt;"",WEEKDAY(L$1,2)&lt;6),1,0),IF(AND(O107&lt;&gt;"",WEEKDAY(N$1,2)&lt;6),1,0),IF(AND(Q107&lt;&gt;"",WEEKDAY(P$1,2)&lt;6),1,0),IF(AND(S107&lt;&gt;"",WEEKDAY(R$1,2)&lt;6),1,0),IF(AND(U107&lt;&gt;"",WEEKDAY(T$1,2)&lt;6),1,0),IF(AND(W107&lt;&gt;"",WEEKDAY(V$1,2)&lt;6),1,0),IF(AND(Y107&lt;&gt;"",WEEKDAY(X$1,2)&lt;6),1,0),IF(AND(AA107&lt;&gt;"",WEEKDAY(Z$1,2)&lt;6),1,0),IF(AND(AC107&lt;&gt;"",WEEKDAY(AB$1,2)&lt;6),1,0),IF(AND(AE107&lt;&gt;"",WEEKDAY(AD$1,2)&lt;6),1,0),IF(AND(AG107&lt;&gt;"",WEEKDAY(AF$1,2)&lt;6),1,0),IF(AND(AI107&lt;&gt;"",WEEKDAY(AH$1,2)&lt;6),1,0),IF(AND(AK107&lt;&gt;"",WEEKDAY(AJ$1,2)&lt;6),1,0),IF(AND(AM107&lt;&gt;"",WEEKDAY(AL$1,2)&lt;6),1,0),IF(AND(AO107&lt;&gt;"",WEEKDAY(AN$1,2)&lt;6),1,0),IF(AND(AQ107&lt;&gt;"",WEEKDAY(AP$1,2)&lt;6),1,0),IF(AND(AS107&lt;&gt;"",WEEKDAY(AR$1,2)&lt;6),1,0),IF(AND(AU107&lt;&gt;"",WEEKDAY(AT$1,2)&lt;6),1,0),IF(AND(AW107&lt;&gt;"",WEEKDAY(AV$1,2)&lt;6),1,0),IF(AND(AY107&lt;&gt;"",WEEKDAY(AX$1,2)&lt;6),1,0),IF(AND(BA107&lt;&gt;"",WEEKDAY(AZ$1,2)&lt;6),1,0),IF(AND(BC107&lt;&gt;"",WEEKDAY(BB$1,2)&lt;6),1,0),IF(AND(BE107&lt;&gt;"",WEEKDAY(BD$1,2)&lt;6),1,0),IF(AND(BG107&lt;&gt;"",WEEKDAY(BF$1,2)&lt;6),1,0),IF(AND(BI107&lt;&gt;"",WEEKDAY(BH$1,2)&lt;6),1,0),IF(AND(BK107&lt;&gt;"",WEEKDAY(BJ$1,2)&lt;6),1,0),IF(AND(BM107&lt;&gt;"",WEEKDAY(BL$1,2)&lt;6),1,0))</f>
        <v>0</v>
      </c>
      <c r="BP107" s="85">
        <f>SUM(IF(AND((D107&lt;&gt;"")+(E107&lt;&gt;""),WEEKDAY(D$1,2)=6),1,0),IF(AND((F107&lt;&gt;"")+(G107&lt;&gt;""),WEEKDAY(F$1,2)=6),1,0),IF(AND((H107&lt;&gt;"")+(I107&lt;&gt;""),WEEKDAY(H$1,2)=6),1,0),IF(AND((J107&lt;&gt;"")+(K107&lt;&gt;""),WEEKDAY(J$1,2)=6),1,0),IF(AND((L107&lt;&gt;"")+(M107&lt;&gt;""),WEEKDAY(L$1,2)=6),1,0),IF(AND((N107&lt;&gt;"")+(O107&lt;&gt;""),WEEKDAY(N$1,2)=6),1,0),IF(AND((P107&lt;&gt;"")+(Q107&lt;&gt;""),WEEKDAY(P$1,2)=6),1,0),IF(AND((R107&lt;&gt;"")+(S107&lt;&gt;""),WEEKDAY(R$1,2)=6),1,0),IF(AND((T107&lt;&gt;"")+(U107&lt;&gt;""),WEEKDAY(T$1,2)=6),1,0),IF(AND((V107&lt;&gt;"")+(W107&lt;&gt;""),WEEKDAY(V$1,2)=6),1,0),IF(AND((X107&lt;&gt;"")+(Y107&lt;&gt;""),WEEKDAY(X$1,2)=6),1,0),IF(AND((Z107&lt;&gt;"")+(AA107&lt;&gt;""),WEEKDAY(Z$1,2)=6),1,0),IF(AND((AB107&lt;&gt;"")+(AC107&lt;&gt;""),WEEKDAY(AB$1,2)=6),1,0),IF(AND((AD107&lt;&gt;"")+(AE107&lt;&gt;""),WEEKDAY(AD$1,2)=6),1,0),IF(AND((AF107&lt;&gt;"")+(AG107&lt;&gt;""),WEEKDAY(AF$1,2)=6),1,0),IF(AND((AH107&lt;&gt;"")+(AI107&lt;&gt;""),WEEKDAY(AH$1,2)=6),1,0),IF(AND((AJ107&lt;&gt;"")+(AK107&lt;&gt;""),WEEKDAY(AJ$1,2)=6),1,0),IF(AND((AL107&lt;&gt;"")+(AM107&lt;&gt;""),WEEKDAY(AL$1,2)=6),1,0),IF(AND((AN107&lt;&gt;"")+(AO107&lt;&gt;""),WEEKDAY(AN$1,2)=6),1,0),IF(AND((AP107&lt;&gt;"")+(AQ107&lt;&gt;""),WEEKDAY(AP$1,2)=6),1,0),IF(AND((AR107&lt;&gt;"")+(AS107&lt;&gt;""),WEEKDAY(AR$1,2)=6),1,0),IF(AND((AT107&lt;&gt;"")+(AU107&lt;&gt;""),WEEKDAY(AT$1,2)=6),1,0),IF(AND((AV107&lt;&gt;"")+(AW107&lt;&gt;""),WEEKDAY(AV$1,2)=6),1,0),IF(AND((AX107&lt;&gt;"")+(AY107&lt;&gt;""),WEEKDAY(AX$1,2)=6),1,0),IF(AND((AZ107&lt;&gt;"")+(BA107&lt;&gt;""),WEEKDAY(AZ$1,2)=6),1,0),IF(AND((BB107&lt;&gt;"")+(BC107&lt;&gt;""),WEEKDAY(BB$1,2)=6),1,0),IF(AND((BD107&lt;&gt;"")+(BE107&lt;&gt;""),WEEKDAY(BD$1,2)=6),1,0),IF(AND((BF107&lt;&gt;"")+(BG107&lt;&gt;""),WEEKDAY(BF$1,2)=6),1,0),IF(AND((BH107&lt;&gt;"")+(BI107&lt;&gt;""),WEEKDAY(BH$1,2)=6),1,0),IF(AND((BJ107&lt;&gt;"")+(BK107&lt;&gt;""),WEEKDAY(BJ$1,2)=6),1,0),IF(AND((BL107&lt;&gt;"")+(BM107&lt;&gt;""),WEEKDAY(BL$1,2)=6),1,0))</f>
        <v>0</v>
      </c>
    </row>
    <row r="108" spans="1:68" ht="16.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>
        <f>SUM(IF(AND(D108&lt;&gt;"",WEEKDAY(D$1,2)&lt;6),1,0),IF(AND(F108&lt;&gt;"",WEEKDAY(F$1,2)&lt;6),1,0),IF(AND(H108&lt;&gt;"",WEEKDAY(H$1,2)&lt;6),1,0),IF(AND(J108&lt;&gt;"",WEEKDAY(J$1,2)&lt;6),1,0),IF(AND(L108&lt;&gt;"",WEEKDAY(L$1,2)&lt;6),1,0),IF(AND(N108&lt;&gt;"",WEEKDAY(N$1,2)&lt;6),1,0),IF(AND(P108&lt;&gt;"",WEEKDAY(P$1,2)&lt;6),1,0),IF(AND(R108&lt;&gt;"",WEEKDAY(R$1,2)&lt;6),1,0),IF(AND(T108&lt;&gt;"",WEEKDAY(T$1,2)&lt;6),1,0),IF(AND(V108&lt;&gt;"",WEEKDAY(V$1,2)&lt;6),1,0),IF(AND(X108&lt;&gt;"",WEEKDAY(X$1,2)&lt;6),1,0),IF(AND(Z108&lt;&gt;"",WEEKDAY(Z$1,2)&lt;6),1,0),IF(AND(AB108&lt;&gt;"",WEEKDAY(AB$1,2)&lt;6),1,0),IF(AND(AD108&lt;&gt;"",WEEKDAY(AD$1,2)&lt;6),1,0),IF(AND(AF108&lt;&gt;"",WEEKDAY(AF$1,2)&lt;6),1,0),IF(AND(AH108&lt;&gt;"",WEEKDAY(AH$1,2)&lt;6),1,0),IF(AND(AJ108&lt;&gt;"",WEEKDAY(AJ$1,2)&lt;6),1,0),IF(AND(AL108&lt;&gt;"",WEEKDAY(AL$1,2)&lt;6),1,0),IF(AND(AN108&lt;&gt;"",WEEKDAY(AN$1,2)&lt;6),1,0),IF(AND(AP108&lt;&gt;"",WEEKDAY(AP$1,2)&lt;6),1,0),IF(AND(AR108&lt;&gt;"",WEEKDAY(AR$1,2)&lt;6),1,0),IF(AND(AT108&lt;&gt;"",WEEKDAY(AT$1,2)&lt;6),1,0),IF(AND(AV108&lt;&gt;"",WEEKDAY(AV$1,2)&lt;6),1,0),IF(AND(AX108&lt;&gt;"",WEEKDAY(AX$1,2)&lt;6),1,0),IF(AND(AZ108&lt;&gt;"",WEEKDAY(AZ$1,2)&lt;6),1,0),IF(AND(BB108&lt;&gt;"",WEEKDAY(BB$1,2)&lt;6),1,0),IF(AND(BD108&lt;&gt;"",WEEKDAY(BD$1,2)&lt;6),1,0),IF(AND(BF108&lt;&gt;"",WEEKDAY(BF$1,2)&lt;6),1,0),IF(AND(BH108&lt;&gt;"",WEEKDAY(BH$1,2)&lt;6),1,0),IF(AND(BJ108&lt;&gt;"",WEEKDAY(BJ$1,2)&lt;6),1,0),IF(AND(BL108&lt;&gt;"",WEEKDAY(BL$1,2)&lt;6),1,0))</f>
        <v>0</v>
      </c>
      <c r="BO108" s="85">
        <f>SUM(IF(AND(E108&lt;&gt;"",WEEKDAY(D$1,2)&lt;6),1,0),IF(AND(G108&lt;&gt;"",WEEKDAY(F$1,2)&lt;6),1,0),IF(AND(I108&lt;&gt;"",WEEKDAY(H$1,2)&lt;6),1,0),IF(AND(K108&lt;&gt;"",WEEKDAY(J$1,2)&lt;6),1,0),IF(AND(M108&lt;&gt;"",WEEKDAY(L$1,2)&lt;6),1,0),IF(AND(O108&lt;&gt;"",WEEKDAY(N$1,2)&lt;6),1,0),IF(AND(Q108&lt;&gt;"",WEEKDAY(P$1,2)&lt;6),1,0),IF(AND(S108&lt;&gt;"",WEEKDAY(R$1,2)&lt;6),1,0),IF(AND(U108&lt;&gt;"",WEEKDAY(T$1,2)&lt;6),1,0),IF(AND(W108&lt;&gt;"",WEEKDAY(V$1,2)&lt;6),1,0),IF(AND(Y108&lt;&gt;"",WEEKDAY(X$1,2)&lt;6),1,0),IF(AND(AA108&lt;&gt;"",WEEKDAY(Z$1,2)&lt;6),1,0),IF(AND(AC108&lt;&gt;"",WEEKDAY(AB$1,2)&lt;6),1,0),IF(AND(AE108&lt;&gt;"",WEEKDAY(AD$1,2)&lt;6),1,0),IF(AND(AG108&lt;&gt;"",WEEKDAY(AF$1,2)&lt;6),1,0),IF(AND(AI108&lt;&gt;"",WEEKDAY(AH$1,2)&lt;6),1,0),IF(AND(AK108&lt;&gt;"",WEEKDAY(AJ$1,2)&lt;6),1,0),IF(AND(AM108&lt;&gt;"",WEEKDAY(AL$1,2)&lt;6),1,0),IF(AND(AO108&lt;&gt;"",WEEKDAY(AN$1,2)&lt;6),1,0),IF(AND(AQ108&lt;&gt;"",WEEKDAY(AP$1,2)&lt;6),1,0),IF(AND(AS108&lt;&gt;"",WEEKDAY(AR$1,2)&lt;6),1,0),IF(AND(AU108&lt;&gt;"",WEEKDAY(AT$1,2)&lt;6),1,0),IF(AND(AW108&lt;&gt;"",WEEKDAY(AV$1,2)&lt;6),1,0),IF(AND(AY108&lt;&gt;"",WEEKDAY(AX$1,2)&lt;6),1,0),IF(AND(BA108&lt;&gt;"",WEEKDAY(AZ$1,2)&lt;6),1,0),IF(AND(BC108&lt;&gt;"",WEEKDAY(BB$1,2)&lt;6),1,0),IF(AND(BE108&lt;&gt;"",WEEKDAY(BD$1,2)&lt;6),1,0),IF(AND(BG108&lt;&gt;"",WEEKDAY(BF$1,2)&lt;6),1,0),IF(AND(BI108&lt;&gt;"",WEEKDAY(BH$1,2)&lt;6),1,0),IF(AND(BK108&lt;&gt;"",WEEKDAY(BJ$1,2)&lt;6),1,0),IF(AND(BM108&lt;&gt;"",WEEKDAY(BL$1,2)&lt;6),1,0))</f>
        <v>0</v>
      </c>
      <c r="BP108" s="85">
        <f>SUM(IF(AND((D108&lt;&gt;"")+(E108&lt;&gt;""),WEEKDAY(D$1,2)=6),1,0),IF(AND((F108&lt;&gt;"")+(G108&lt;&gt;""),WEEKDAY(F$1,2)=6),1,0),IF(AND((H108&lt;&gt;"")+(I108&lt;&gt;""),WEEKDAY(H$1,2)=6),1,0),IF(AND((J108&lt;&gt;"")+(K108&lt;&gt;""),WEEKDAY(J$1,2)=6),1,0),IF(AND((L108&lt;&gt;"")+(M108&lt;&gt;""),WEEKDAY(L$1,2)=6),1,0),IF(AND((N108&lt;&gt;"")+(O108&lt;&gt;""),WEEKDAY(N$1,2)=6),1,0),IF(AND((P108&lt;&gt;"")+(Q108&lt;&gt;""),WEEKDAY(P$1,2)=6),1,0),IF(AND((R108&lt;&gt;"")+(S108&lt;&gt;""),WEEKDAY(R$1,2)=6),1,0),IF(AND((T108&lt;&gt;"")+(U108&lt;&gt;""),WEEKDAY(T$1,2)=6),1,0),IF(AND((V108&lt;&gt;"")+(W108&lt;&gt;""),WEEKDAY(V$1,2)=6),1,0),IF(AND((X108&lt;&gt;"")+(Y108&lt;&gt;""),WEEKDAY(X$1,2)=6),1,0),IF(AND((Z108&lt;&gt;"")+(AA108&lt;&gt;""),WEEKDAY(Z$1,2)=6),1,0),IF(AND((AB108&lt;&gt;"")+(AC108&lt;&gt;""),WEEKDAY(AB$1,2)=6),1,0),IF(AND((AD108&lt;&gt;"")+(AE108&lt;&gt;""),WEEKDAY(AD$1,2)=6),1,0),IF(AND((AF108&lt;&gt;"")+(AG108&lt;&gt;""),WEEKDAY(AF$1,2)=6),1,0),IF(AND((AH108&lt;&gt;"")+(AI108&lt;&gt;""),WEEKDAY(AH$1,2)=6),1,0),IF(AND((AJ108&lt;&gt;"")+(AK108&lt;&gt;""),WEEKDAY(AJ$1,2)=6),1,0),IF(AND((AL108&lt;&gt;"")+(AM108&lt;&gt;""),WEEKDAY(AL$1,2)=6),1,0),IF(AND((AN108&lt;&gt;"")+(AO108&lt;&gt;""),WEEKDAY(AN$1,2)=6),1,0),IF(AND((AP108&lt;&gt;"")+(AQ108&lt;&gt;""),WEEKDAY(AP$1,2)=6),1,0),IF(AND((AR108&lt;&gt;"")+(AS108&lt;&gt;""),WEEKDAY(AR$1,2)=6),1,0),IF(AND((AT108&lt;&gt;"")+(AU108&lt;&gt;""),WEEKDAY(AT$1,2)=6),1,0),IF(AND((AV108&lt;&gt;"")+(AW108&lt;&gt;""),WEEKDAY(AV$1,2)=6),1,0),IF(AND((AX108&lt;&gt;"")+(AY108&lt;&gt;""),WEEKDAY(AX$1,2)=6),1,0),IF(AND((AZ108&lt;&gt;"")+(BA108&lt;&gt;""),WEEKDAY(AZ$1,2)=6),1,0),IF(AND((BB108&lt;&gt;"")+(BC108&lt;&gt;""),WEEKDAY(BB$1,2)=6),1,0),IF(AND((BD108&lt;&gt;"")+(BE108&lt;&gt;""),WEEKDAY(BD$1,2)=6),1,0),IF(AND((BF108&lt;&gt;"")+(BG108&lt;&gt;""),WEEKDAY(BF$1,2)=6),1,0),IF(AND((BH108&lt;&gt;"")+(BI108&lt;&gt;""),WEEKDAY(BH$1,2)=6),1,0),IF(AND((BJ108&lt;&gt;"")+(BK108&lt;&gt;""),WEEKDAY(BJ$1,2)=6),1,0),IF(AND((BL108&lt;&gt;"")+(BM108&lt;&gt;""),WEEKDAY(BL$1,2)=6),1,0))</f>
        <v>0</v>
      </c>
    </row>
    <row r="109" spans="1:68" ht="16.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>
        <f>SUM(IF(AND(D109&lt;&gt;"",WEEKDAY(D$1,2)&lt;6),1,0),IF(AND(F109&lt;&gt;"",WEEKDAY(F$1,2)&lt;6),1,0),IF(AND(H109&lt;&gt;"",WEEKDAY(H$1,2)&lt;6),1,0),IF(AND(J109&lt;&gt;"",WEEKDAY(J$1,2)&lt;6),1,0),IF(AND(L109&lt;&gt;"",WEEKDAY(L$1,2)&lt;6),1,0),IF(AND(N109&lt;&gt;"",WEEKDAY(N$1,2)&lt;6),1,0),IF(AND(P109&lt;&gt;"",WEEKDAY(P$1,2)&lt;6),1,0),IF(AND(R109&lt;&gt;"",WEEKDAY(R$1,2)&lt;6),1,0),IF(AND(T109&lt;&gt;"",WEEKDAY(T$1,2)&lt;6),1,0),IF(AND(V109&lt;&gt;"",WEEKDAY(V$1,2)&lt;6),1,0),IF(AND(X109&lt;&gt;"",WEEKDAY(X$1,2)&lt;6),1,0),IF(AND(Z109&lt;&gt;"",WEEKDAY(Z$1,2)&lt;6),1,0),IF(AND(AB109&lt;&gt;"",WEEKDAY(AB$1,2)&lt;6),1,0),IF(AND(AD109&lt;&gt;"",WEEKDAY(AD$1,2)&lt;6),1,0),IF(AND(AF109&lt;&gt;"",WEEKDAY(AF$1,2)&lt;6),1,0),IF(AND(AH109&lt;&gt;"",WEEKDAY(AH$1,2)&lt;6),1,0),IF(AND(AJ109&lt;&gt;"",WEEKDAY(AJ$1,2)&lt;6),1,0),IF(AND(AL109&lt;&gt;"",WEEKDAY(AL$1,2)&lt;6),1,0),IF(AND(AN109&lt;&gt;"",WEEKDAY(AN$1,2)&lt;6),1,0),IF(AND(AP109&lt;&gt;"",WEEKDAY(AP$1,2)&lt;6),1,0),IF(AND(AR109&lt;&gt;"",WEEKDAY(AR$1,2)&lt;6),1,0),IF(AND(AT109&lt;&gt;"",WEEKDAY(AT$1,2)&lt;6),1,0),IF(AND(AV109&lt;&gt;"",WEEKDAY(AV$1,2)&lt;6),1,0),IF(AND(AX109&lt;&gt;"",WEEKDAY(AX$1,2)&lt;6),1,0),IF(AND(AZ109&lt;&gt;"",WEEKDAY(AZ$1,2)&lt;6),1,0),IF(AND(BB109&lt;&gt;"",WEEKDAY(BB$1,2)&lt;6),1,0),IF(AND(BD109&lt;&gt;"",WEEKDAY(BD$1,2)&lt;6),1,0),IF(AND(BF109&lt;&gt;"",WEEKDAY(BF$1,2)&lt;6),1,0),IF(AND(BH109&lt;&gt;"",WEEKDAY(BH$1,2)&lt;6),1,0),IF(AND(BJ109&lt;&gt;"",WEEKDAY(BJ$1,2)&lt;6),1,0),IF(AND(BL109&lt;&gt;"",WEEKDAY(BL$1,2)&lt;6),1,0))</f>
        <v>0</v>
      </c>
      <c r="BO109" s="85">
        <f>SUM(IF(AND(E109&lt;&gt;"",WEEKDAY(D$1,2)&lt;6),1,0),IF(AND(G109&lt;&gt;"",WEEKDAY(F$1,2)&lt;6),1,0),IF(AND(I109&lt;&gt;"",WEEKDAY(H$1,2)&lt;6),1,0),IF(AND(K109&lt;&gt;"",WEEKDAY(J$1,2)&lt;6),1,0),IF(AND(M109&lt;&gt;"",WEEKDAY(L$1,2)&lt;6),1,0),IF(AND(O109&lt;&gt;"",WEEKDAY(N$1,2)&lt;6),1,0),IF(AND(Q109&lt;&gt;"",WEEKDAY(P$1,2)&lt;6),1,0),IF(AND(S109&lt;&gt;"",WEEKDAY(R$1,2)&lt;6),1,0),IF(AND(U109&lt;&gt;"",WEEKDAY(T$1,2)&lt;6),1,0),IF(AND(W109&lt;&gt;"",WEEKDAY(V$1,2)&lt;6),1,0),IF(AND(Y109&lt;&gt;"",WEEKDAY(X$1,2)&lt;6),1,0),IF(AND(AA109&lt;&gt;"",WEEKDAY(Z$1,2)&lt;6),1,0),IF(AND(AC109&lt;&gt;"",WEEKDAY(AB$1,2)&lt;6),1,0),IF(AND(AE109&lt;&gt;"",WEEKDAY(AD$1,2)&lt;6),1,0),IF(AND(AG109&lt;&gt;"",WEEKDAY(AF$1,2)&lt;6),1,0),IF(AND(AI109&lt;&gt;"",WEEKDAY(AH$1,2)&lt;6),1,0),IF(AND(AK109&lt;&gt;"",WEEKDAY(AJ$1,2)&lt;6),1,0),IF(AND(AM109&lt;&gt;"",WEEKDAY(AL$1,2)&lt;6),1,0),IF(AND(AO109&lt;&gt;"",WEEKDAY(AN$1,2)&lt;6),1,0),IF(AND(AQ109&lt;&gt;"",WEEKDAY(AP$1,2)&lt;6),1,0),IF(AND(AS109&lt;&gt;"",WEEKDAY(AR$1,2)&lt;6),1,0),IF(AND(AU109&lt;&gt;"",WEEKDAY(AT$1,2)&lt;6),1,0),IF(AND(AW109&lt;&gt;"",WEEKDAY(AV$1,2)&lt;6),1,0),IF(AND(AY109&lt;&gt;"",WEEKDAY(AX$1,2)&lt;6),1,0),IF(AND(BA109&lt;&gt;"",WEEKDAY(AZ$1,2)&lt;6),1,0),IF(AND(BC109&lt;&gt;"",WEEKDAY(BB$1,2)&lt;6),1,0),IF(AND(BE109&lt;&gt;"",WEEKDAY(BD$1,2)&lt;6),1,0),IF(AND(BG109&lt;&gt;"",WEEKDAY(BF$1,2)&lt;6),1,0),IF(AND(BI109&lt;&gt;"",WEEKDAY(BH$1,2)&lt;6),1,0),IF(AND(BK109&lt;&gt;"",WEEKDAY(BJ$1,2)&lt;6),1,0),IF(AND(BM109&lt;&gt;"",WEEKDAY(BL$1,2)&lt;6),1,0))</f>
        <v>0</v>
      </c>
      <c r="BP109" s="85">
        <f>SUM(IF(AND((D109&lt;&gt;"")+(E109&lt;&gt;""),WEEKDAY(D$1,2)=6),1,0),IF(AND((F109&lt;&gt;"")+(G109&lt;&gt;""),WEEKDAY(F$1,2)=6),1,0),IF(AND((H109&lt;&gt;"")+(I109&lt;&gt;""),WEEKDAY(H$1,2)=6),1,0),IF(AND((J109&lt;&gt;"")+(K109&lt;&gt;""),WEEKDAY(J$1,2)=6),1,0),IF(AND((L109&lt;&gt;"")+(M109&lt;&gt;""),WEEKDAY(L$1,2)=6),1,0),IF(AND((N109&lt;&gt;"")+(O109&lt;&gt;""),WEEKDAY(N$1,2)=6),1,0),IF(AND((P109&lt;&gt;"")+(Q109&lt;&gt;""),WEEKDAY(P$1,2)=6),1,0),IF(AND((R109&lt;&gt;"")+(S109&lt;&gt;""),WEEKDAY(R$1,2)=6),1,0),IF(AND((T109&lt;&gt;"")+(U109&lt;&gt;""),WEEKDAY(T$1,2)=6),1,0),IF(AND((V109&lt;&gt;"")+(W109&lt;&gt;""),WEEKDAY(V$1,2)=6),1,0),IF(AND((X109&lt;&gt;"")+(Y109&lt;&gt;""),WEEKDAY(X$1,2)=6),1,0),IF(AND((Z109&lt;&gt;"")+(AA109&lt;&gt;""),WEEKDAY(Z$1,2)=6),1,0),IF(AND((AB109&lt;&gt;"")+(AC109&lt;&gt;""),WEEKDAY(AB$1,2)=6),1,0),IF(AND((AD109&lt;&gt;"")+(AE109&lt;&gt;""),WEEKDAY(AD$1,2)=6),1,0),IF(AND((AF109&lt;&gt;"")+(AG109&lt;&gt;""),WEEKDAY(AF$1,2)=6),1,0),IF(AND((AH109&lt;&gt;"")+(AI109&lt;&gt;""),WEEKDAY(AH$1,2)=6),1,0),IF(AND((AJ109&lt;&gt;"")+(AK109&lt;&gt;""),WEEKDAY(AJ$1,2)=6),1,0),IF(AND((AL109&lt;&gt;"")+(AM109&lt;&gt;""),WEEKDAY(AL$1,2)=6),1,0),IF(AND((AN109&lt;&gt;"")+(AO109&lt;&gt;""),WEEKDAY(AN$1,2)=6),1,0),IF(AND((AP109&lt;&gt;"")+(AQ109&lt;&gt;""),WEEKDAY(AP$1,2)=6),1,0),IF(AND((AR109&lt;&gt;"")+(AS109&lt;&gt;""),WEEKDAY(AR$1,2)=6),1,0),IF(AND((AT109&lt;&gt;"")+(AU109&lt;&gt;""),WEEKDAY(AT$1,2)=6),1,0),IF(AND((AV109&lt;&gt;"")+(AW109&lt;&gt;""),WEEKDAY(AV$1,2)=6),1,0),IF(AND((AX109&lt;&gt;"")+(AY109&lt;&gt;""),WEEKDAY(AX$1,2)=6),1,0),IF(AND((AZ109&lt;&gt;"")+(BA109&lt;&gt;""),WEEKDAY(AZ$1,2)=6),1,0),IF(AND((BB109&lt;&gt;"")+(BC109&lt;&gt;""),WEEKDAY(BB$1,2)=6),1,0),IF(AND((BD109&lt;&gt;"")+(BE109&lt;&gt;""),WEEKDAY(BD$1,2)=6),1,0),IF(AND((BF109&lt;&gt;"")+(BG109&lt;&gt;""),WEEKDAY(BF$1,2)=6),1,0),IF(AND((BH109&lt;&gt;"")+(BI109&lt;&gt;""),WEEKDAY(BH$1,2)=6),1,0),IF(AND((BJ109&lt;&gt;"")+(BK109&lt;&gt;""),WEEKDAY(BJ$1,2)=6),1,0),IF(AND((BL109&lt;&gt;"")+(BM109&lt;&gt;""),WEEKDAY(BL$1,2)=6),1,0))</f>
        <v>0</v>
      </c>
    </row>
    <row r="110" spans="1:68" ht="16.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>
        <f>SUM(IF(AND(D110&lt;&gt;"",WEEKDAY(D$1,2)&lt;6),1,0),IF(AND(F110&lt;&gt;"",WEEKDAY(F$1,2)&lt;6),1,0),IF(AND(H110&lt;&gt;"",WEEKDAY(H$1,2)&lt;6),1,0),IF(AND(J110&lt;&gt;"",WEEKDAY(J$1,2)&lt;6),1,0),IF(AND(L110&lt;&gt;"",WEEKDAY(L$1,2)&lt;6),1,0),IF(AND(N110&lt;&gt;"",WEEKDAY(N$1,2)&lt;6),1,0),IF(AND(P110&lt;&gt;"",WEEKDAY(P$1,2)&lt;6),1,0),IF(AND(R110&lt;&gt;"",WEEKDAY(R$1,2)&lt;6),1,0),IF(AND(T110&lt;&gt;"",WEEKDAY(T$1,2)&lt;6),1,0),IF(AND(V110&lt;&gt;"",WEEKDAY(V$1,2)&lt;6),1,0),IF(AND(X110&lt;&gt;"",WEEKDAY(X$1,2)&lt;6),1,0),IF(AND(Z110&lt;&gt;"",WEEKDAY(Z$1,2)&lt;6),1,0),IF(AND(AB110&lt;&gt;"",WEEKDAY(AB$1,2)&lt;6),1,0),IF(AND(AD110&lt;&gt;"",WEEKDAY(AD$1,2)&lt;6),1,0),IF(AND(AF110&lt;&gt;"",WEEKDAY(AF$1,2)&lt;6),1,0),IF(AND(AH110&lt;&gt;"",WEEKDAY(AH$1,2)&lt;6),1,0),IF(AND(AJ110&lt;&gt;"",WEEKDAY(AJ$1,2)&lt;6),1,0),IF(AND(AL110&lt;&gt;"",WEEKDAY(AL$1,2)&lt;6),1,0),IF(AND(AN110&lt;&gt;"",WEEKDAY(AN$1,2)&lt;6),1,0),IF(AND(AP110&lt;&gt;"",WEEKDAY(AP$1,2)&lt;6),1,0),IF(AND(AR110&lt;&gt;"",WEEKDAY(AR$1,2)&lt;6),1,0),IF(AND(AT110&lt;&gt;"",WEEKDAY(AT$1,2)&lt;6),1,0),IF(AND(AV110&lt;&gt;"",WEEKDAY(AV$1,2)&lt;6),1,0),IF(AND(AX110&lt;&gt;"",WEEKDAY(AX$1,2)&lt;6),1,0),IF(AND(AZ110&lt;&gt;"",WEEKDAY(AZ$1,2)&lt;6),1,0),IF(AND(BB110&lt;&gt;"",WEEKDAY(BB$1,2)&lt;6),1,0),IF(AND(BD110&lt;&gt;"",WEEKDAY(BD$1,2)&lt;6),1,0),IF(AND(BF110&lt;&gt;"",WEEKDAY(BF$1,2)&lt;6),1,0),IF(AND(BH110&lt;&gt;"",WEEKDAY(BH$1,2)&lt;6),1,0),IF(AND(BJ110&lt;&gt;"",WEEKDAY(BJ$1,2)&lt;6),1,0),IF(AND(BL110&lt;&gt;"",WEEKDAY(BL$1,2)&lt;6),1,0))</f>
        <v>0</v>
      </c>
      <c r="BO110" s="85">
        <f>SUM(IF(AND(E110&lt;&gt;"",WEEKDAY(D$1,2)&lt;6),1,0),IF(AND(G110&lt;&gt;"",WEEKDAY(F$1,2)&lt;6),1,0),IF(AND(I110&lt;&gt;"",WEEKDAY(H$1,2)&lt;6),1,0),IF(AND(K110&lt;&gt;"",WEEKDAY(J$1,2)&lt;6),1,0),IF(AND(M110&lt;&gt;"",WEEKDAY(L$1,2)&lt;6),1,0),IF(AND(O110&lt;&gt;"",WEEKDAY(N$1,2)&lt;6),1,0),IF(AND(Q110&lt;&gt;"",WEEKDAY(P$1,2)&lt;6),1,0),IF(AND(S110&lt;&gt;"",WEEKDAY(R$1,2)&lt;6),1,0),IF(AND(U110&lt;&gt;"",WEEKDAY(T$1,2)&lt;6),1,0),IF(AND(W110&lt;&gt;"",WEEKDAY(V$1,2)&lt;6),1,0),IF(AND(Y110&lt;&gt;"",WEEKDAY(X$1,2)&lt;6),1,0),IF(AND(AA110&lt;&gt;"",WEEKDAY(Z$1,2)&lt;6),1,0),IF(AND(AC110&lt;&gt;"",WEEKDAY(AB$1,2)&lt;6),1,0),IF(AND(AE110&lt;&gt;"",WEEKDAY(AD$1,2)&lt;6),1,0),IF(AND(AG110&lt;&gt;"",WEEKDAY(AF$1,2)&lt;6),1,0),IF(AND(AI110&lt;&gt;"",WEEKDAY(AH$1,2)&lt;6),1,0),IF(AND(AK110&lt;&gt;"",WEEKDAY(AJ$1,2)&lt;6),1,0),IF(AND(AM110&lt;&gt;"",WEEKDAY(AL$1,2)&lt;6),1,0),IF(AND(AO110&lt;&gt;"",WEEKDAY(AN$1,2)&lt;6),1,0),IF(AND(AQ110&lt;&gt;"",WEEKDAY(AP$1,2)&lt;6),1,0),IF(AND(AS110&lt;&gt;"",WEEKDAY(AR$1,2)&lt;6),1,0),IF(AND(AU110&lt;&gt;"",WEEKDAY(AT$1,2)&lt;6),1,0),IF(AND(AW110&lt;&gt;"",WEEKDAY(AV$1,2)&lt;6),1,0),IF(AND(AY110&lt;&gt;"",WEEKDAY(AX$1,2)&lt;6),1,0),IF(AND(BA110&lt;&gt;"",WEEKDAY(AZ$1,2)&lt;6),1,0),IF(AND(BC110&lt;&gt;"",WEEKDAY(BB$1,2)&lt;6),1,0),IF(AND(BE110&lt;&gt;"",WEEKDAY(BD$1,2)&lt;6),1,0),IF(AND(BG110&lt;&gt;"",WEEKDAY(BF$1,2)&lt;6),1,0),IF(AND(BI110&lt;&gt;"",WEEKDAY(BH$1,2)&lt;6),1,0),IF(AND(BK110&lt;&gt;"",WEEKDAY(BJ$1,2)&lt;6),1,0),IF(AND(BM110&lt;&gt;"",WEEKDAY(BL$1,2)&lt;6),1,0))</f>
        <v>0</v>
      </c>
      <c r="BP110" s="85">
        <f>SUM(IF(AND((D110&lt;&gt;"")+(E110&lt;&gt;""),WEEKDAY(D$1,2)=6),1,0),IF(AND((F110&lt;&gt;"")+(G110&lt;&gt;""),WEEKDAY(F$1,2)=6),1,0),IF(AND((H110&lt;&gt;"")+(I110&lt;&gt;""),WEEKDAY(H$1,2)=6),1,0),IF(AND((J110&lt;&gt;"")+(K110&lt;&gt;""),WEEKDAY(J$1,2)=6),1,0),IF(AND((L110&lt;&gt;"")+(M110&lt;&gt;""),WEEKDAY(L$1,2)=6),1,0),IF(AND((N110&lt;&gt;"")+(O110&lt;&gt;""),WEEKDAY(N$1,2)=6),1,0),IF(AND((P110&lt;&gt;"")+(Q110&lt;&gt;""),WEEKDAY(P$1,2)=6),1,0),IF(AND((R110&lt;&gt;"")+(S110&lt;&gt;""),WEEKDAY(R$1,2)=6),1,0),IF(AND((T110&lt;&gt;"")+(U110&lt;&gt;""),WEEKDAY(T$1,2)=6),1,0),IF(AND((V110&lt;&gt;"")+(W110&lt;&gt;""),WEEKDAY(V$1,2)=6),1,0),IF(AND((X110&lt;&gt;"")+(Y110&lt;&gt;""),WEEKDAY(X$1,2)=6),1,0),IF(AND((Z110&lt;&gt;"")+(AA110&lt;&gt;""),WEEKDAY(Z$1,2)=6),1,0),IF(AND((AB110&lt;&gt;"")+(AC110&lt;&gt;""),WEEKDAY(AB$1,2)=6),1,0),IF(AND((AD110&lt;&gt;"")+(AE110&lt;&gt;""),WEEKDAY(AD$1,2)=6),1,0),IF(AND((AF110&lt;&gt;"")+(AG110&lt;&gt;""),WEEKDAY(AF$1,2)=6),1,0),IF(AND((AH110&lt;&gt;"")+(AI110&lt;&gt;""),WEEKDAY(AH$1,2)=6),1,0),IF(AND((AJ110&lt;&gt;"")+(AK110&lt;&gt;""),WEEKDAY(AJ$1,2)=6),1,0),IF(AND((AL110&lt;&gt;"")+(AM110&lt;&gt;""),WEEKDAY(AL$1,2)=6),1,0),IF(AND((AN110&lt;&gt;"")+(AO110&lt;&gt;""),WEEKDAY(AN$1,2)=6),1,0),IF(AND((AP110&lt;&gt;"")+(AQ110&lt;&gt;""),WEEKDAY(AP$1,2)=6),1,0),IF(AND((AR110&lt;&gt;"")+(AS110&lt;&gt;""),WEEKDAY(AR$1,2)=6),1,0),IF(AND((AT110&lt;&gt;"")+(AU110&lt;&gt;""),WEEKDAY(AT$1,2)=6),1,0),IF(AND((AV110&lt;&gt;"")+(AW110&lt;&gt;""),WEEKDAY(AV$1,2)=6),1,0),IF(AND((AX110&lt;&gt;"")+(AY110&lt;&gt;""),WEEKDAY(AX$1,2)=6),1,0),IF(AND((AZ110&lt;&gt;"")+(BA110&lt;&gt;""),WEEKDAY(AZ$1,2)=6),1,0),IF(AND((BB110&lt;&gt;"")+(BC110&lt;&gt;""),WEEKDAY(BB$1,2)=6),1,0),IF(AND((BD110&lt;&gt;"")+(BE110&lt;&gt;""),WEEKDAY(BD$1,2)=6),1,0),IF(AND((BF110&lt;&gt;"")+(BG110&lt;&gt;""),WEEKDAY(BF$1,2)=6),1,0),IF(AND((BH110&lt;&gt;"")+(BI110&lt;&gt;""),WEEKDAY(BH$1,2)=6),1,0),IF(AND((BJ110&lt;&gt;"")+(BK110&lt;&gt;""),WEEKDAY(BJ$1,2)=6),1,0),IF(AND((BL110&lt;&gt;"")+(BM110&lt;&gt;""),WEEKDAY(BL$1,2)=6),1,0))</f>
        <v>0</v>
      </c>
    </row>
    <row r="111" spans="1:68" ht="16.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>
        <f>SUM(IF(AND(D111&lt;&gt;"",WEEKDAY(D$1,2)&lt;6),1,0),IF(AND(F111&lt;&gt;"",WEEKDAY(F$1,2)&lt;6),1,0),IF(AND(H111&lt;&gt;"",WEEKDAY(H$1,2)&lt;6),1,0),IF(AND(J111&lt;&gt;"",WEEKDAY(J$1,2)&lt;6),1,0),IF(AND(L111&lt;&gt;"",WEEKDAY(L$1,2)&lt;6),1,0),IF(AND(N111&lt;&gt;"",WEEKDAY(N$1,2)&lt;6),1,0),IF(AND(P111&lt;&gt;"",WEEKDAY(P$1,2)&lt;6),1,0),IF(AND(R111&lt;&gt;"",WEEKDAY(R$1,2)&lt;6),1,0),IF(AND(T111&lt;&gt;"",WEEKDAY(T$1,2)&lt;6),1,0),IF(AND(V111&lt;&gt;"",WEEKDAY(V$1,2)&lt;6),1,0),IF(AND(X111&lt;&gt;"",WEEKDAY(X$1,2)&lt;6),1,0),IF(AND(Z111&lt;&gt;"",WEEKDAY(Z$1,2)&lt;6),1,0),IF(AND(AB111&lt;&gt;"",WEEKDAY(AB$1,2)&lt;6),1,0),IF(AND(AD111&lt;&gt;"",WEEKDAY(AD$1,2)&lt;6),1,0),IF(AND(AF111&lt;&gt;"",WEEKDAY(AF$1,2)&lt;6),1,0),IF(AND(AH111&lt;&gt;"",WEEKDAY(AH$1,2)&lt;6),1,0),IF(AND(AJ111&lt;&gt;"",WEEKDAY(AJ$1,2)&lt;6),1,0),IF(AND(AL111&lt;&gt;"",WEEKDAY(AL$1,2)&lt;6),1,0),IF(AND(AN111&lt;&gt;"",WEEKDAY(AN$1,2)&lt;6),1,0),IF(AND(AP111&lt;&gt;"",WEEKDAY(AP$1,2)&lt;6),1,0),IF(AND(AR111&lt;&gt;"",WEEKDAY(AR$1,2)&lt;6),1,0),IF(AND(AT111&lt;&gt;"",WEEKDAY(AT$1,2)&lt;6),1,0),IF(AND(AV111&lt;&gt;"",WEEKDAY(AV$1,2)&lt;6),1,0),IF(AND(AX111&lt;&gt;"",WEEKDAY(AX$1,2)&lt;6),1,0),IF(AND(AZ111&lt;&gt;"",WEEKDAY(AZ$1,2)&lt;6),1,0),IF(AND(BB111&lt;&gt;"",WEEKDAY(BB$1,2)&lt;6),1,0),IF(AND(BD111&lt;&gt;"",WEEKDAY(BD$1,2)&lt;6),1,0),IF(AND(BF111&lt;&gt;"",WEEKDAY(BF$1,2)&lt;6),1,0),IF(AND(BH111&lt;&gt;"",WEEKDAY(BH$1,2)&lt;6),1,0),IF(AND(BJ111&lt;&gt;"",WEEKDAY(BJ$1,2)&lt;6),1,0),IF(AND(BL111&lt;&gt;"",WEEKDAY(BL$1,2)&lt;6),1,0))</f>
        <v>0</v>
      </c>
      <c r="BO111" s="85">
        <f>SUM(IF(AND(E111&lt;&gt;"",WEEKDAY(D$1,2)&lt;6),1,0),IF(AND(G111&lt;&gt;"",WEEKDAY(F$1,2)&lt;6),1,0),IF(AND(I111&lt;&gt;"",WEEKDAY(H$1,2)&lt;6),1,0),IF(AND(K111&lt;&gt;"",WEEKDAY(J$1,2)&lt;6),1,0),IF(AND(M111&lt;&gt;"",WEEKDAY(L$1,2)&lt;6),1,0),IF(AND(O111&lt;&gt;"",WEEKDAY(N$1,2)&lt;6),1,0),IF(AND(Q111&lt;&gt;"",WEEKDAY(P$1,2)&lt;6),1,0),IF(AND(S111&lt;&gt;"",WEEKDAY(R$1,2)&lt;6),1,0),IF(AND(U111&lt;&gt;"",WEEKDAY(T$1,2)&lt;6),1,0),IF(AND(W111&lt;&gt;"",WEEKDAY(V$1,2)&lt;6),1,0),IF(AND(Y111&lt;&gt;"",WEEKDAY(X$1,2)&lt;6),1,0),IF(AND(AA111&lt;&gt;"",WEEKDAY(Z$1,2)&lt;6),1,0),IF(AND(AC111&lt;&gt;"",WEEKDAY(AB$1,2)&lt;6),1,0),IF(AND(AE111&lt;&gt;"",WEEKDAY(AD$1,2)&lt;6),1,0),IF(AND(AG111&lt;&gt;"",WEEKDAY(AF$1,2)&lt;6),1,0),IF(AND(AI111&lt;&gt;"",WEEKDAY(AH$1,2)&lt;6),1,0),IF(AND(AK111&lt;&gt;"",WEEKDAY(AJ$1,2)&lt;6),1,0),IF(AND(AM111&lt;&gt;"",WEEKDAY(AL$1,2)&lt;6),1,0),IF(AND(AO111&lt;&gt;"",WEEKDAY(AN$1,2)&lt;6),1,0),IF(AND(AQ111&lt;&gt;"",WEEKDAY(AP$1,2)&lt;6),1,0),IF(AND(AS111&lt;&gt;"",WEEKDAY(AR$1,2)&lt;6),1,0),IF(AND(AU111&lt;&gt;"",WEEKDAY(AT$1,2)&lt;6),1,0),IF(AND(AW111&lt;&gt;"",WEEKDAY(AV$1,2)&lt;6),1,0),IF(AND(AY111&lt;&gt;"",WEEKDAY(AX$1,2)&lt;6),1,0),IF(AND(BA111&lt;&gt;"",WEEKDAY(AZ$1,2)&lt;6),1,0),IF(AND(BC111&lt;&gt;"",WEEKDAY(BB$1,2)&lt;6),1,0),IF(AND(BE111&lt;&gt;"",WEEKDAY(BD$1,2)&lt;6),1,0),IF(AND(BG111&lt;&gt;"",WEEKDAY(BF$1,2)&lt;6),1,0),IF(AND(BI111&lt;&gt;"",WEEKDAY(BH$1,2)&lt;6),1,0),IF(AND(BK111&lt;&gt;"",WEEKDAY(BJ$1,2)&lt;6),1,0),IF(AND(BM111&lt;&gt;"",WEEKDAY(BL$1,2)&lt;6),1,0))</f>
        <v>0</v>
      </c>
      <c r="BP111" s="85">
        <f>SUM(IF(AND((D111&lt;&gt;"")+(E111&lt;&gt;""),WEEKDAY(D$1,2)=6),1,0),IF(AND((F111&lt;&gt;"")+(G111&lt;&gt;""),WEEKDAY(F$1,2)=6),1,0),IF(AND((H111&lt;&gt;"")+(I111&lt;&gt;""),WEEKDAY(H$1,2)=6),1,0),IF(AND((J111&lt;&gt;"")+(K111&lt;&gt;""),WEEKDAY(J$1,2)=6),1,0),IF(AND((L111&lt;&gt;"")+(M111&lt;&gt;""),WEEKDAY(L$1,2)=6),1,0),IF(AND((N111&lt;&gt;"")+(O111&lt;&gt;""),WEEKDAY(N$1,2)=6),1,0),IF(AND((P111&lt;&gt;"")+(Q111&lt;&gt;""),WEEKDAY(P$1,2)=6),1,0),IF(AND((R111&lt;&gt;"")+(S111&lt;&gt;""),WEEKDAY(R$1,2)=6),1,0),IF(AND((T111&lt;&gt;"")+(U111&lt;&gt;""),WEEKDAY(T$1,2)=6),1,0),IF(AND((V111&lt;&gt;"")+(W111&lt;&gt;""),WEEKDAY(V$1,2)=6),1,0),IF(AND((X111&lt;&gt;"")+(Y111&lt;&gt;""),WEEKDAY(X$1,2)=6),1,0),IF(AND((Z111&lt;&gt;"")+(AA111&lt;&gt;""),WEEKDAY(Z$1,2)=6),1,0),IF(AND((AB111&lt;&gt;"")+(AC111&lt;&gt;""),WEEKDAY(AB$1,2)=6),1,0),IF(AND((AD111&lt;&gt;"")+(AE111&lt;&gt;""),WEEKDAY(AD$1,2)=6),1,0),IF(AND((AF111&lt;&gt;"")+(AG111&lt;&gt;""),WEEKDAY(AF$1,2)=6),1,0),IF(AND((AH111&lt;&gt;"")+(AI111&lt;&gt;""),WEEKDAY(AH$1,2)=6),1,0),IF(AND((AJ111&lt;&gt;"")+(AK111&lt;&gt;""),WEEKDAY(AJ$1,2)=6),1,0),IF(AND((AL111&lt;&gt;"")+(AM111&lt;&gt;""),WEEKDAY(AL$1,2)=6),1,0),IF(AND((AN111&lt;&gt;"")+(AO111&lt;&gt;""),WEEKDAY(AN$1,2)=6),1,0),IF(AND((AP111&lt;&gt;"")+(AQ111&lt;&gt;""),WEEKDAY(AP$1,2)=6),1,0),IF(AND((AR111&lt;&gt;"")+(AS111&lt;&gt;""),WEEKDAY(AR$1,2)=6),1,0),IF(AND((AT111&lt;&gt;"")+(AU111&lt;&gt;""),WEEKDAY(AT$1,2)=6),1,0),IF(AND((AV111&lt;&gt;"")+(AW111&lt;&gt;""),WEEKDAY(AV$1,2)=6),1,0),IF(AND((AX111&lt;&gt;"")+(AY111&lt;&gt;""),WEEKDAY(AX$1,2)=6),1,0),IF(AND((AZ111&lt;&gt;"")+(BA111&lt;&gt;""),WEEKDAY(AZ$1,2)=6),1,0),IF(AND((BB111&lt;&gt;"")+(BC111&lt;&gt;""),WEEKDAY(BB$1,2)=6),1,0),IF(AND((BD111&lt;&gt;"")+(BE111&lt;&gt;""),WEEKDAY(BD$1,2)=6),1,0),IF(AND((BF111&lt;&gt;"")+(BG111&lt;&gt;""),WEEKDAY(BF$1,2)=6),1,0),IF(AND((BH111&lt;&gt;"")+(BI111&lt;&gt;""),WEEKDAY(BH$1,2)=6),1,0),IF(AND((BJ111&lt;&gt;"")+(BK111&lt;&gt;""),WEEKDAY(BJ$1,2)=6),1,0),IF(AND((BL111&lt;&gt;"")+(BM111&lt;&gt;""),WEEKDAY(BL$1,2)=6),1,0))</f>
        <v>0</v>
      </c>
    </row>
    <row r="112" spans="1:68" ht="16.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>
        <f>SUM(IF(AND(D112&lt;&gt;"",WEEKDAY(D$1,2)&lt;6),1,0),IF(AND(F112&lt;&gt;"",WEEKDAY(F$1,2)&lt;6),1,0),IF(AND(H112&lt;&gt;"",WEEKDAY(H$1,2)&lt;6),1,0),IF(AND(J112&lt;&gt;"",WEEKDAY(J$1,2)&lt;6),1,0),IF(AND(L112&lt;&gt;"",WEEKDAY(L$1,2)&lt;6),1,0),IF(AND(N112&lt;&gt;"",WEEKDAY(N$1,2)&lt;6),1,0),IF(AND(P112&lt;&gt;"",WEEKDAY(P$1,2)&lt;6),1,0),IF(AND(R112&lt;&gt;"",WEEKDAY(R$1,2)&lt;6),1,0),IF(AND(T112&lt;&gt;"",WEEKDAY(T$1,2)&lt;6),1,0),IF(AND(V112&lt;&gt;"",WEEKDAY(V$1,2)&lt;6),1,0),IF(AND(X112&lt;&gt;"",WEEKDAY(X$1,2)&lt;6),1,0),IF(AND(Z112&lt;&gt;"",WEEKDAY(Z$1,2)&lt;6),1,0),IF(AND(AB112&lt;&gt;"",WEEKDAY(AB$1,2)&lt;6),1,0),IF(AND(AD112&lt;&gt;"",WEEKDAY(AD$1,2)&lt;6),1,0),IF(AND(AF112&lt;&gt;"",WEEKDAY(AF$1,2)&lt;6),1,0),IF(AND(AH112&lt;&gt;"",WEEKDAY(AH$1,2)&lt;6),1,0),IF(AND(AJ112&lt;&gt;"",WEEKDAY(AJ$1,2)&lt;6),1,0),IF(AND(AL112&lt;&gt;"",WEEKDAY(AL$1,2)&lt;6),1,0),IF(AND(AN112&lt;&gt;"",WEEKDAY(AN$1,2)&lt;6),1,0),IF(AND(AP112&lt;&gt;"",WEEKDAY(AP$1,2)&lt;6),1,0),IF(AND(AR112&lt;&gt;"",WEEKDAY(AR$1,2)&lt;6),1,0),IF(AND(AT112&lt;&gt;"",WEEKDAY(AT$1,2)&lt;6),1,0),IF(AND(AV112&lt;&gt;"",WEEKDAY(AV$1,2)&lt;6),1,0),IF(AND(AX112&lt;&gt;"",WEEKDAY(AX$1,2)&lt;6),1,0),IF(AND(AZ112&lt;&gt;"",WEEKDAY(AZ$1,2)&lt;6),1,0),IF(AND(BB112&lt;&gt;"",WEEKDAY(BB$1,2)&lt;6),1,0),IF(AND(BD112&lt;&gt;"",WEEKDAY(BD$1,2)&lt;6),1,0),IF(AND(BF112&lt;&gt;"",WEEKDAY(BF$1,2)&lt;6),1,0),IF(AND(BH112&lt;&gt;"",WEEKDAY(BH$1,2)&lt;6),1,0),IF(AND(BJ112&lt;&gt;"",WEEKDAY(BJ$1,2)&lt;6),1,0),IF(AND(BL112&lt;&gt;"",WEEKDAY(BL$1,2)&lt;6),1,0))</f>
        <v>0</v>
      </c>
      <c r="BO112" s="85">
        <f>SUM(IF(AND(E112&lt;&gt;"",WEEKDAY(D$1,2)&lt;6),1,0),IF(AND(G112&lt;&gt;"",WEEKDAY(F$1,2)&lt;6),1,0),IF(AND(I112&lt;&gt;"",WEEKDAY(H$1,2)&lt;6),1,0),IF(AND(K112&lt;&gt;"",WEEKDAY(J$1,2)&lt;6),1,0),IF(AND(M112&lt;&gt;"",WEEKDAY(L$1,2)&lt;6),1,0),IF(AND(O112&lt;&gt;"",WEEKDAY(N$1,2)&lt;6),1,0),IF(AND(Q112&lt;&gt;"",WEEKDAY(P$1,2)&lt;6),1,0),IF(AND(S112&lt;&gt;"",WEEKDAY(R$1,2)&lt;6),1,0),IF(AND(U112&lt;&gt;"",WEEKDAY(T$1,2)&lt;6),1,0),IF(AND(W112&lt;&gt;"",WEEKDAY(V$1,2)&lt;6),1,0),IF(AND(Y112&lt;&gt;"",WEEKDAY(X$1,2)&lt;6),1,0),IF(AND(AA112&lt;&gt;"",WEEKDAY(Z$1,2)&lt;6),1,0),IF(AND(AC112&lt;&gt;"",WEEKDAY(AB$1,2)&lt;6),1,0),IF(AND(AE112&lt;&gt;"",WEEKDAY(AD$1,2)&lt;6),1,0),IF(AND(AG112&lt;&gt;"",WEEKDAY(AF$1,2)&lt;6),1,0),IF(AND(AI112&lt;&gt;"",WEEKDAY(AH$1,2)&lt;6),1,0),IF(AND(AK112&lt;&gt;"",WEEKDAY(AJ$1,2)&lt;6),1,0),IF(AND(AM112&lt;&gt;"",WEEKDAY(AL$1,2)&lt;6),1,0),IF(AND(AO112&lt;&gt;"",WEEKDAY(AN$1,2)&lt;6),1,0),IF(AND(AQ112&lt;&gt;"",WEEKDAY(AP$1,2)&lt;6),1,0),IF(AND(AS112&lt;&gt;"",WEEKDAY(AR$1,2)&lt;6),1,0),IF(AND(AU112&lt;&gt;"",WEEKDAY(AT$1,2)&lt;6),1,0),IF(AND(AW112&lt;&gt;"",WEEKDAY(AV$1,2)&lt;6),1,0),IF(AND(AY112&lt;&gt;"",WEEKDAY(AX$1,2)&lt;6),1,0),IF(AND(BA112&lt;&gt;"",WEEKDAY(AZ$1,2)&lt;6),1,0),IF(AND(BC112&lt;&gt;"",WEEKDAY(BB$1,2)&lt;6),1,0),IF(AND(BE112&lt;&gt;"",WEEKDAY(BD$1,2)&lt;6),1,0),IF(AND(BG112&lt;&gt;"",WEEKDAY(BF$1,2)&lt;6),1,0),IF(AND(BI112&lt;&gt;"",WEEKDAY(BH$1,2)&lt;6),1,0),IF(AND(BK112&lt;&gt;"",WEEKDAY(BJ$1,2)&lt;6),1,0),IF(AND(BM112&lt;&gt;"",WEEKDAY(BL$1,2)&lt;6),1,0))</f>
        <v>0</v>
      </c>
      <c r="BP112" s="85">
        <f>SUM(IF(AND((D112&lt;&gt;"")+(E112&lt;&gt;""),WEEKDAY(D$1,2)=6),1,0),IF(AND((F112&lt;&gt;"")+(G112&lt;&gt;""),WEEKDAY(F$1,2)=6),1,0),IF(AND((H112&lt;&gt;"")+(I112&lt;&gt;""),WEEKDAY(H$1,2)=6),1,0),IF(AND((J112&lt;&gt;"")+(K112&lt;&gt;""),WEEKDAY(J$1,2)=6),1,0),IF(AND((L112&lt;&gt;"")+(M112&lt;&gt;""),WEEKDAY(L$1,2)=6),1,0),IF(AND((N112&lt;&gt;"")+(O112&lt;&gt;""),WEEKDAY(N$1,2)=6),1,0),IF(AND((P112&lt;&gt;"")+(Q112&lt;&gt;""),WEEKDAY(P$1,2)=6),1,0),IF(AND((R112&lt;&gt;"")+(S112&lt;&gt;""),WEEKDAY(R$1,2)=6),1,0),IF(AND((T112&lt;&gt;"")+(U112&lt;&gt;""),WEEKDAY(T$1,2)=6),1,0),IF(AND((V112&lt;&gt;"")+(W112&lt;&gt;""),WEEKDAY(V$1,2)=6),1,0),IF(AND((X112&lt;&gt;"")+(Y112&lt;&gt;""),WEEKDAY(X$1,2)=6),1,0),IF(AND((Z112&lt;&gt;"")+(AA112&lt;&gt;""),WEEKDAY(Z$1,2)=6),1,0),IF(AND((AB112&lt;&gt;"")+(AC112&lt;&gt;""),WEEKDAY(AB$1,2)=6),1,0),IF(AND((AD112&lt;&gt;"")+(AE112&lt;&gt;""),WEEKDAY(AD$1,2)=6),1,0),IF(AND((AF112&lt;&gt;"")+(AG112&lt;&gt;""),WEEKDAY(AF$1,2)=6),1,0),IF(AND((AH112&lt;&gt;"")+(AI112&lt;&gt;""),WEEKDAY(AH$1,2)=6),1,0),IF(AND((AJ112&lt;&gt;"")+(AK112&lt;&gt;""),WEEKDAY(AJ$1,2)=6),1,0),IF(AND((AL112&lt;&gt;"")+(AM112&lt;&gt;""),WEEKDAY(AL$1,2)=6),1,0),IF(AND((AN112&lt;&gt;"")+(AO112&lt;&gt;""),WEEKDAY(AN$1,2)=6),1,0),IF(AND((AP112&lt;&gt;"")+(AQ112&lt;&gt;""),WEEKDAY(AP$1,2)=6),1,0),IF(AND((AR112&lt;&gt;"")+(AS112&lt;&gt;""),WEEKDAY(AR$1,2)=6),1,0),IF(AND((AT112&lt;&gt;"")+(AU112&lt;&gt;""),WEEKDAY(AT$1,2)=6),1,0),IF(AND((AV112&lt;&gt;"")+(AW112&lt;&gt;""),WEEKDAY(AV$1,2)=6),1,0),IF(AND((AX112&lt;&gt;"")+(AY112&lt;&gt;""),WEEKDAY(AX$1,2)=6),1,0),IF(AND((AZ112&lt;&gt;"")+(BA112&lt;&gt;""),WEEKDAY(AZ$1,2)=6),1,0),IF(AND((BB112&lt;&gt;"")+(BC112&lt;&gt;""),WEEKDAY(BB$1,2)=6),1,0),IF(AND((BD112&lt;&gt;"")+(BE112&lt;&gt;""),WEEKDAY(BD$1,2)=6),1,0),IF(AND((BF112&lt;&gt;"")+(BG112&lt;&gt;""),WEEKDAY(BF$1,2)=6),1,0),IF(AND((BH112&lt;&gt;"")+(BI112&lt;&gt;""),WEEKDAY(BH$1,2)=6),1,0),IF(AND((BJ112&lt;&gt;"")+(BK112&lt;&gt;""),WEEKDAY(BJ$1,2)=6),1,0),IF(AND((BL112&lt;&gt;"")+(BM112&lt;&gt;""),WEEKDAY(BL$1,2)=6),1,0))</f>
        <v>0</v>
      </c>
    </row>
    <row r="113" spans="1:68" ht="16.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>
        <f>SUM(IF(AND(D113&lt;&gt;"",WEEKDAY(D$1,2)&lt;6),1,0),IF(AND(F113&lt;&gt;"",WEEKDAY(F$1,2)&lt;6),1,0),IF(AND(H113&lt;&gt;"",WEEKDAY(H$1,2)&lt;6),1,0),IF(AND(J113&lt;&gt;"",WEEKDAY(J$1,2)&lt;6),1,0),IF(AND(L113&lt;&gt;"",WEEKDAY(L$1,2)&lt;6),1,0),IF(AND(N113&lt;&gt;"",WEEKDAY(N$1,2)&lt;6),1,0),IF(AND(P113&lt;&gt;"",WEEKDAY(P$1,2)&lt;6),1,0),IF(AND(R113&lt;&gt;"",WEEKDAY(R$1,2)&lt;6),1,0),IF(AND(T113&lt;&gt;"",WEEKDAY(T$1,2)&lt;6),1,0),IF(AND(V113&lt;&gt;"",WEEKDAY(V$1,2)&lt;6),1,0),IF(AND(X113&lt;&gt;"",WEEKDAY(X$1,2)&lt;6),1,0),IF(AND(Z113&lt;&gt;"",WEEKDAY(Z$1,2)&lt;6),1,0),IF(AND(AB113&lt;&gt;"",WEEKDAY(AB$1,2)&lt;6),1,0),IF(AND(AD113&lt;&gt;"",WEEKDAY(AD$1,2)&lt;6),1,0),IF(AND(AF113&lt;&gt;"",WEEKDAY(AF$1,2)&lt;6),1,0),IF(AND(AH113&lt;&gt;"",WEEKDAY(AH$1,2)&lt;6),1,0),IF(AND(AJ113&lt;&gt;"",WEEKDAY(AJ$1,2)&lt;6),1,0),IF(AND(AL113&lt;&gt;"",WEEKDAY(AL$1,2)&lt;6),1,0),IF(AND(AN113&lt;&gt;"",WEEKDAY(AN$1,2)&lt;6),1,0),IF(AND(AP113&lt;&gt;"",WEEKDAY(AP$1,2)&lt;6),1,0),IF(AND(AR113&lt;&gt;"",WEEKDAY(AR$1,2)&lt;6),1,0),IF(AND(AT113&lt;&gt;"",WEEKDAY(AT$1,2)&lt;6),1,0),IF(AND(AV113&lt;&gt;"",WEEKDAY(AV$1,2)&lt;6),1,0),IF(AND(AX113&lt;&gt;"",WEEKDAY(AX$1,2)&lt;6),1,0),IF(AND(AZ113&lt;&gt;"",WEEKDAY(AZ$1,2)&lt;6),1,0),IF(AND(BB113&lt;&gt;"",WEEKDAY(BB$1,2)&lt;6),1,0),IF(AND(BD113&lt;&gt;"",WEEKDAY(BD$1,2)&lt;6),1,0),IF(AND(BF113&lt;&gt;"",WEEKDAY(BF$1,2)&lt;6),1,0),IF(AND(BH113&lt;&gt;"",WEEKDAY(BH$1,2)&lt;6),1,0),IF(AND(BJ113&lt;&gt;"",WEEKDAY(BJ$1,2)&lt;6),1,0),IF(AND(BL113&lt;&gt;"",WEEKDAY(BL$1,2)&lt;6),1,0))</f>
        <v>0</v>
      </c>
      <c r="BO113" s="85">
        <f>SUM(IF(AND(E113&lt;&gt;"",WEEKDAY(D$1,2)&lt;6),1,0),IF(AND(G113&lt;&gt;"",WEEKDAY(F$1,2)&lt;6),1,0),IF(AND(I113&lt;&gt;"",WEEKDAY(H$1,2)&lt;6),1,0),IF(AND(K113&lt;&gt;"",WEEKDAY(J$1,2)&lt;6),1,0),IF(AND(M113&lt;&gt;"",WEEKDAY(L$1,2)&lt;6),1,0),IF(AND(O113&lt;&gt;"",WEEKDAY(N$1,2)&lt;6),1,0),IF(AND(Q113&lt;&gt;"",WEEKDAY(P$1,2)&lt;6),1,0),IF(AND(S113&lt;&gt;"",WEEKDAY(R$1,2)&lt;6),1,0),IF(AND(U113&lt;&gt;"",WEEKDAY(T$1,2)&lt;6),1,0),IF(AND(W113&lt;&gt;"",WEEKDAY(V$1,2)&lt;6),1,0),IF(AND(Y113&lt;&gt;"",WEEKDAY(X$1,2)&lt;6),1,0),IF(AND(AA113&lt;&gt;"",WEEKDAY(Z$1,2)&lt;6),1,0),IF(AND(AC113&lt;&gt;"",WEEKDAY(AB$1,2)&lt;6),1,0),IF(AND(AE113&lt;&gt;"",WEEKDAY(AD$1,2)&lt;6),1,0),IF(AND(AG113&lt;&gt;"",WEEKDAY(AF$1,2)&lt;6),1,0),IF(AND(AI113&lt;&gt;"",WEEKDAY(AH$1,2)&lt;6),1,0),IF(AND(AK113&lt;&gt;"",WEEKDAY(AJ$1,2)&lt;6),1,0),IF(AND(AM113&lt;&gt;"",WEEKDAY(AL$1,2)&lt;6),1,0),IF(AND(AO113&lt;&gt;"",WEEKDAY(AN$1,2)&lt;6),1,0),IF(AND(AQ113&lt;&gt;"",WEEKDAY(AP$1,2)&lt;6),1,0),IF(AND(AS113&lt;&gt;"",WEEKDAY(AR$1,2)&lt;6),1,0),IF(AND(AU113&lt;&gt;"",WEEKDAY(AT$1,2)&lt;6),1,0),IF(AND(AW113&lt;&gt;"",WEEKDAY(AV$1,2)&lt;6),1,0),IF(AND(AY113&lt;&gt;"",WEEKDAY(AX$1,2)&lt;6),1,0),IF(AND(BA113&lt;&gt;"",WEEKDAY(AZ$1,2)&lt;6),1,0),IF(AND(BC113&lt;&gt;"",WEEKDAY(BB$1,2)&lt;6),1,0),IF(AND(BE113&lt;&gt;"",WEEKDAY(BD$1,2)&lt;6),1,0),IF(AND(BG113&lt;&gt;"",WEEKDAY(BF$1,2)&lt;6),1,0),IF(AND(BI113&lt;&gt;"",WEEKDAY(BH$1,2)&lt;6),1,0),IF(AND(BK113&lt;&gt;"",WEEKDAY(BJ$1,2)&lt;6),1,0),IF(AND(BM113&lt;&gt;"",WEEKDAY(BL$1,2)&lt;6),1,0))</f>
        <v>0</v>
      </c>
      <c r="BP113" s="85">
        <f>SUM(IF(AND((D113&lt;&gt;"")+(E113&lt;&gt;""),WEEKDAY(D$1,2)=6),1,0),IF(AND((F113&lt;&gt;"")+(G113&lt;&gt;""),WEEKDAY(F$1,2)=6),1,0),IF(AND((H113&lt;&gt;"")+(I113&lt;&gt;""),WEEKDAY(H$1,2)=6),1,0),IF(AND((J113&lt;&gt;"")+(K113&lt;&gt;""),WEEKDAY(J$1,2)=6),1,0),IF(AND((L113&lt;&gt;"")+(M113&lt;&gt;""),WEEKDAY(L$1,2)=6),1,0),IF(AND((N113&lt;&gt;"")+(O113&lt;&gt;""),WEEKDAY(N$1,2)=6),1,0),IF(AND((P113&lt;&gt;"")+(Q113&lt;&gt;""),WEEKDAY(P$1,2)=6),1,0),IF(AND((R113&lt;&gt;"")+(S113&lt;&gt;""),WEEKDAY(R$1,2)=6),1,0),IF(AND((T113&lt;&gt;"")+(U113&lt;&gt;""),WEEKDAY(T$1,2)=6),1,0),IF(AND((V113&lt;&gt;"")+(W113&lt;&gt;""),WEEKDAY(V$1,2)=6),1,0),IF(AND((X113&lt;&gt;"")+(Y113&lt;&gt;""),WEEKDAY(X$1,2)=6),1,0),IF(AND((Z113&lt;&gt;"")+(AA113&lt;&gt;""),WEEKDAY(Z$1,2)=6),1,0),IF(AND((AB113&lt;&gt;"")+(AC113&lt;&gt;""),WEEKDAY(AB$1,2)=6),1,0),IF(AND((AD113&lt;&gt;"")+(AE113&lt;&gt;""),WEEKDAY(AD$1,2)=6),1,0),IF(AND((AF113&lt;&gt;"")+(AG113&lt;&gt;""),WEEKDAY(AF$1,2)=6),1,0),IF(AND((AH113&lt;&gt;"")+(AI113&lt;&gt;""),WEEKDAY(AH$1,2)=6),1,0),IF(AND((AJ113&lt;&gt;"")+(AK113&lt;&gt;""),WEEKDAY(AJ$1,2)=6),1,0),IF(AND((AL113&lt;&gt;"")+(AM113&lt;&gt;""),WEEKDAY(AL$1,2)=6),1,0),IF(AND((AN113&lt;&gt;"")+(AO113&lt;&gt;""),WEEKDAY(AN$1,2)=6),1,0),IF(AND((AP113&lt;&gt;"")+(AQ113&lt;&gt;""),WEEKDAY(AP$1,2)=6),1,0),IF(AND((AR113&lt;&gt;"")+(AS113&lt;&gt;""),WEEKDAY(AR$1,2)=6),1,0),IF(AND((AT113&lt;&gt;"")+(AU113&lt;&gt;""),WEEKDAY(AT$1,2)=6),1,0),IF(AND((AV113&lt;&gt;"")+(AW113&lt;&gt;""),WEEKDAY(AV$1,2)=6),1,0),IF(AND((AX113&lt;&gt;"")+(AY113&lt;&gt;""),WEEKDAY(AX$1,2)=6),1,0),IF(AND((AZ113&lt;&gt;"")+(BA113&lt;&gt;""),WEEKDAY(AZ$1,2)=6),1,0),IF(AND((BB113&lt;&gt;"")+(BC113&lt;&gt;""),WEEKDAY(BB$1,2)=6),1,0),IF(AND((BD113&lt;&gt;"")+(BE113&lt;&gt;""),WEEKDAY(BD$1,2)=6),1,0),IF(AND((BF113&lt;&gt;"")+(BG113&lt;&gt;""),WEEKDAY(BF$1,2)=6),1,0),IF(AND((BH113&lt;&gt;"")+(BI113&lt;&gt;""),WEEKDAY(BH$1,2)=6),1,0),IF(AND((BJ113&lt;&gt;"")+(BK113&lt;&gt;""),WEEKDAY(BJ$1,2)=6),1,0),IF(AND((BL113&lt;&gt;"")+(BM113&lt;&gt;""),WEEKDAY(BL$1,2)=6),1,0))</f>
        <v>0</v>
      </c>
    </row>
    <row r="114" spans="1:68" ht="16.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>
        <f>SUM(IF(AND(D114&lt;&gt;"",WEEKDAY(D$1,2)&lt;6),1,0),IF(AND(F114&lt;&gt;"",WEEKDAY(F$1,2)&lt;6),1,0),IF(AND(H114&lt;&gt;"",WEEKDAY(H$1,2)&lt;6),1,0),IF(AND(J114&lt;&gt;"",WEEKDAY(J$1,2)&lt;6),1,0),IF(AND(L114&lt;&gt;"",WEEKDAY(L$1,2)&lt;6),1,0),IF(AND(N114&lt;&gt;"",WEEKDAY(N$1,2)&lt;6),1,0),IF(AND(P114&lt;&gt;"",WEEKDAY(P$1,2)&lt;6),1,0),IF(AND(R114&lt;&gt;"",WEEKDAY(R$1,2)&lt;6),1,0),IF(AND(T114&lt;&gt;"",WEEKDAY(T$1,2)&lt;6),1,0),IF(AND(V114&lt;&gt;"",WEEKDAY(V$1,2)&lt;6),1,0),IF(AND(X114&lt;&gt;"",WEEKDAY(X$1,2)&lt;6),1,0),IF(AND(Z114&lt;&gt;"",WEEKDAY(Z$1,2)&lt;6),1,0),IF(AND(AB114&lt;&gt;"",WEEKDAY(AB$1,2)&lt;6),1,0),IF(AND(AD114&lt;&gt;"",WEEKDAY(AD$1,2)&lt;6),1,0),IF(AND(AF114&lt;&gt;"",WEEKDAY(AF$1,2)&lt;6),1,0),IF(AND(AH114&lt;&gt;"",WEEKDAY(AH$1,2)&lt;6),1,0),IF(AND(AJ114&lt;&gt;"",WEEKDAY(AJ$1,2)&lt;6),1,0),IF(AND(AL114&lt;&gt;"",WEEKDAY(AL$1,2)&lt;6),1,0),IF(AND(AN114&lt;&gt;"",WEEKDAY(AN$1,2)&lt;6),1,0),IF(AND(AP114&lt;&gt;"",WEEKDAY(AP$1,2)&lt;6),1,0),IF(AND(AR114&lt;&gt;"",WEEKDAY(AR$1,2)&lt;6),1,0),IF(AND(AT114&lt;&gt;"",WEEKDAY(AT$1,2)&lt;6),1,0),IF(AND(AV114&lt;&gt;"",WEEKDAY(AV$1,2)&lt;6),1,0),IF(AND(AX114&lt;&gt;"",WEEKDAY(AX$1,2)&lt;6),1,0),IF(AND(AZ114&lt;&gt;"",WEEKDAY(AZ$1,2)&lt;6),1,0),IF(AND(BB114&lt;&gt;"",WEEKDAY(BB$1,2)&lt;6),1,0),IF(AND(BD114&lt;&gt;"",WEEKDAY(BD$1,2)&lt;6),1,0),IF(AND(BF114&lt;&gt;"",WEEKDAY(BF$1,2)&lt;6),1,0),IF(AND(BH114&lt;&gt;"",WEEKDAY(BH$1,2)&lt;6),1,0),IF(AND(BJ114&lt;&gt;"",WEEKDAY(BJ$1,2)&lt;6),1,0),IF(AND(BL114&lt;&gt;"",WEEKDAY(BL$1,2)&lt;6),1,0))</f>
        <v>0</v>
      </c>
      <c r="BO114" s="85">
        <f>SUM(IF(AND(E114&lt;&gt;"",WEEKDAY(D$1,2)&lt;6),1,0),IF(AND(G114&lt;&gt;"",WEEKDAY(F$1,2)&lt;6),1,0),IF(AND(I114&lt;&gt;"",WEEKDAY(H$1,2)&lt;6),1,0),IF(AND(K114&lt;&gt;"",WEEKDAY(J$1,2)&lt;6),1,0),IF(AND(M114&lt;&gt;"",WEEKDAY(L$1,2)&lt;6),1,0),IF(AND(O114&lt;&gt;"",WEEKDAY(N$1,2)&lt;6),1,0),IF(AND(Q114&lt;&gt;"",WEEKDAY(P$1,2)&lt;6),1,0),IF(AND(S114&lt;&gt;"",WEEKDAY(R$1,2)&lt;6),1,0),IF(AND(U114&lt;&gt;"",WEEKDAY(T$1,2)&lt;6),1,0),IF(AND(W114&lt;&gt;"",WEEKDAY(V$1,2)&lt;6),1,0),IF(AND(Y114&lt;&gt;"",WEEKDAY(X$1,2)&lt;6),1,0),IF(AND(AA114&lt;&gt;"",WEEKDAY(Z$1,2)&lt;6),1,0),IF(AND(AC114&lt;&gt;"",WEEKDAY(AB$1,2)&lt;6),1,0),IF(AND(AE114&lt;&gt;"",WEEKDAY(AD$1,2)&lt;6),1,0),IF(AND(AG114&lt;&gt;"",WEEKDAY(AF$1,2)&lt;6),1,0),IF(AND(AI114&lt;&gt;"",WEEKDAY(AH$1,2)&lt;6),1,0),IF(AND(AK114&lt;&gt;"",WEEKDAY(AJ$1,2)&lt;6),1,0),IF(AND(AM114&lt;&gt;"",WEEKDAY(AL$1,2)&lt;6),1,0),IF(AND(AO114&lt;&gt;"",WEEKDAY(AN$1,2)&lt;6),1,0),IF(AND(AQ114&lt;&gt;"",WEEKDAY(AP$1,2)&lt;6),1,0),IF(AND(AS114&lt;&gt;"",WEEKDAY(AR$1,2)&lt;6),1,0),IF(AND(AU114&lt;&gt;"",WEEKDAY(AT$1,2)&lt;6),1,0),IF(AND(AW114&lt;&gt;"",WEEKDAY(AV$1,2)&lt;6),1,0),IF(AND(AY114&lt;&gt;"",WEEKDAY(AX$1,2)&lt;6),1,0),IF(AND(BA114&lt;&gt;"",WEEKDAY(AZ$1,2)&lt;6),1,0),IF(AND(BC114&lt;&gt;"",WEEKDAY(BB$1,2)&lt;6),1,0),IF(AND(BE114&lt;&gt;"",WEEKDAY(BD$1,2)&lt;6),1,0),IF(AND(BG114&lt;&gt;"",WEEKDAY(BF$1,2)&lt;6),1,0),IF(AND(BI114&lt;&gt;"",WEEKDAY(BH$1,2)&lt;6),1,0),IF(AND(BK114&lt;&gt;"",WEEKDAY(BJ$1,2)&lt;6),1,0),IF(AND(BM114&lt;&gt;"",WEEKDAY(BL$1,2)&lt;6),1,0))</f>
        <v>0</v>
      </c>
      <c r="BP114" s="85">
        <f>SUM(IF(AND((D114&lt;&gt;"")+(E114&lt;&gt;""),WEEKDAY(D$1,2)=6),1,0),IF(AND((F114&lt;&gt;"")+(G114&lt;&gt;""),WEEKDAY(F$1,2)=6),1,0),IF(AND((H114&lt;&gt;"")+(I114&lt;&gt;""),WEEKDAY(H$1,2)=6),1,0),IF(AND((J114&lt;&gt;"")+(K114&lt;&gt;""),WEEKDAY(J$1,2)=6),1,0),IF(AND((L114&lt;&gt;"")+(M114&lt;&gt;""),WEEKDAY(L$1,2)=6),1,0),IF(AND((N114&lt;&gt;"")+(O114&lt;&gt;""),WEEKDAY(N$1,2)=6),1,0),IF(AND((P114&lt;&gt;"")+(Q114&lt;&gt;""),WEEKDAY(P$1,2)=6),1,0),IF(AND((R114&lt;&gt;"")+(S114&lt;&gt;""),WEEKDAY(R$1,2)=6),1,0),IF(AND((T114&lt;&gt;"")+(U114&lt;&gt;""),WEEKDAY(T$1,2)=6),1,0),IF(AND((V114&lt;&gt;"")+(W114&lt;&gt;""),WEEKDAY(V$1,2)=6),1,0),IF(AND((X114&lt;&gt;"")+(Y114&lt;&gt;""),WEEKDAY(X$1,2)=6),1,0),IF(AND((Z114&lt;&gt;"")+(AA114&lt;&gt;""),WEEKDAY(Z$1,2)=6),1,0),IF(AND((AB114&lt;&gt;"")+(AC114&lt;&gt;""),WEEKDAY(AB$1,2)=6),1,0),IF(AND((AD114&lt;&gt;"")+(AE114&lt;&gt;""),WEEKDAY(AD$1,2)=6),1,0),IF(AND((AF114&lt;&gt;"")+(AG114&lt;&gt;""),WEEKDAY(AF$1,2)=6),1,0),IF(AND((AH114&lt;&gt;"")+(AI114&lt;&gt;""),WEEKDAY(AH$1,2)=6),1,0),IF(AND((AJ114&lt;&gt;"")+(AK114&lt;&gt;""),WEEKDAY(AJ$1,2)=6),1,0),IF(AND((AL114&lt;&gt;"")+(AM114&lt;&gt;""),WEEKDAY(AL$1,2)=6),1,0),IF(AND((AN114&lt;&gt;"")+(AO114&lt;&gt;""),WEEKDAY(AN$1,2)=6),1,0),IF(AND((AP114&lt;&gt;"")+(AQ114&lt;&gt;""),WEEKDAY(AP$1,2)=6),1,0),IF(AND((AR114&lt;&gt;"")+(AS114&lt;&gt;""),WEEKDAY(AR$1,2)=6),1,0),IF(AND((AT114&lt;&gt;"")+(AU114&lt;&gt;""),WEEKDAY(AT$1,2)=6),1,0),IF(AND((AV114&lt;&gt;"")+(AW114&lt;&gt;""),WEEKDAY(AV$1,2)=6),1,0),IF(AND((AX114&lt;&gt;"")+(AY114&lt;&gt;""),WEEKDAY(AX$1,2)=6),1,0),IF(AND((AZ114&lt;&gt;"")+(BA114&lt;&gt;""),WEEKDAY(AZ$1,2)=6),1,0),IF(AND((BB114&lt;&gt;"")+(BC114&lt;&gt;""),WEEKDAY(BB$1,2)=6),1,0),IF(AND((BD114&lt;&gt;"")+(BE114&lt;&gt;""),WEEKDAY(BD$1,2)=6),1,0),IF(AND((BF114&lt;&gt;"")+(BG114&lt;&gt;""),WEEKDAY(BF$1,2)=6),1,0),IF(AND((BH114&lt;&gt;"")+(BI114&lt;&gt;""),WEEKDAY(BH$1,2)=6),1,0),IF(AND((BJ114&lt;&gt;"")+(BK114&lt;&gt;""),WEEKDAY(BJ$1,2)=6),1,0),IF(AND((BL114&lt;&gt;"")+(BM114&lt;&gt;""),WEEKDAY(BL$1,2)=6),1,0))</f>
        <v>0</v>
      </c>
    </row>
    <row r="115" spans="1:68" ht="16.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>
        <f>SUM(IF(AND(D115&lt;&gt;"",WEEKDAY(D$1,2)&lt;6),1,0),IF(AND(F115&lt;&gt;"",WEEKDAY(F$1,2)&lt;6),1,0),IF(AND(H115&lt;&gt;"",WEEKDAY(H$1,2)&lt;6),1,0),IF(AND(J115&lt;&gt;"",WEEKDAY(J$1,2)&lt;6),1,0),IF(AND(L115&lt;&gt;"",WEEKDAY(L$1,2)&lt;6),1,0),IF(AND(N115&lt;&gt;"",WEEKDAY(N$1,2)&lt;6),1,0),IF(AND(P115&lt;&gt;"",WEEKDAY(P$1,2)&lt;6),1,0),IF(AND(R115&lt;&gt;"",WEEKDAY(R$1,2)&lt;6),1,0),IF(AND(T115&lt;&gt;"",WEEKDAY(T$1,2)&lt;6),1,0),IF(AND(V115&lt;&gt;"",WEEKDAY(V$1,2)&lt;6),1,0),IF(AND(X115&lt;&gt;"",WEEKDAY(X$1,2)&lt;6),1,0),IF(AND(Z115&lt;&gt;"",WEEKDAY(Z$1,2)&lt;6),1,0),IF(AND(AB115&lt;&gt;"",WEEKDAY(AB$1,2)&lt;6),1,0),IF(AND(AD115&lt;&gt;"",WEEKDAY(AD$1,2)&lt;6),1,0),IF(AND(AF115&lt;&gt;"",WEEKDAY(AF$1,2)&lt;6),1,0),IF(AND(AH115&lt;&gt;"",WEEKDAY(AH$1,2)&lt;6),1,0),IF(AND(AJ115&lt;&gt;"",WEEKDAY(AJ$1,2)&lt;6),1,0),IF(AND(AL115&lt;&gt;"",WEEKDAY(AL$1,2)&lt;6),1,0),IF(AND(AN115&lt;&gt;"",WEEKDAY(AN$1,2)&lt;6),1,0),IF(AND(AP115&lt;&gt;"",WEEKDAY(AP$1,2)&lt;6),1,0),IF(AND(AR115&lt;&gt;"",WEEKDAY(AR$1,2)&lt;6),1,0),IF(AND(AT115&lt;&gt;"",WEEKDAY(AT$1,2)&lt;6),1,0),IF(AND(AV115&lt;&gt;"",WEEKDAY(AV$1,2)&lt;6),1,0),IF(AND(AX115&lt;&gt;"",WEEKDAY(AX$1,2)&lt;6),1,0),IF(AND(AZ115&lt;&gt;"",WEEKDAY(AZ$1,2)&lt;6),1,0),IF(AND(BB115&lt;&gt;"",WEEKDAY(BB$1,2)&lt;6),1,0),IF(AND(BD115&lt;&gt;"",WEEKDAY(BD$1,2)&lt;6),1,0),IF(AND(BF115&lt;&gt;"",WEEKDAY(BF$1,2)&lt;6),1,0),IF(AND(BH115&lt;&gt;"",WEEKDAY(BH$1,2)&lt;6),1,0),IF(AND(BJ115&lt;&gt;"",WEEKDAY(BJ$1,2)&lt;6),1,0),IF(AND(BL115&lt;&gt;"",WEEKDAY(BL$1,2)&lt;6),1,0))</f>
        <v>0</v>
      </c>
      <c r="BO115" s="85">
        <f>SUM(IF(AND(E115&lt;&gt;"",WEEKDAY(D$1,2)&lt;6),1,0),IF(AND(G115&lt;&gt;"",WEEKDAY(F$1,2)&lt;6),1,0),IF(AND(I115&lt;&gt;"",WEEKDAY(H$1,2)&lt;6),1,0),IF(AND(K115&lt;&gt;"",WEEKDAY(J$1,2)&lt;6),1,0),IF(AND(M115&lt;&gt;"",WEEKDAY(L$1,2)&lt;6),1,0),IF(AND(O115&lt;&gt;"",WEEKDAY(N$1,2)&lt;6),1,0),IF(AND(Q115&lt;&gt;"",WEEKDAY(P$1,2)&lt;6),1,0),IF(AND(S115&lt;&gt;"",WEEKDAY(R$1,2)&lt;6),1,0),IF(AND(U115&lt;&gt;"",WEEKDAY(T$1,2)&lt;6),1,0),IF(AND(W115&lt;&gt;"",WEEKDAY(V$1,2)&lt;6),1,0),IF(AND(Y115&lt;&gt;"",WEEKDAY(X$1,2)&lt;6),1,0),IF(AND(AA115&lt;&gt;"",WEEKDAY(Z$1,2)&lt;6),1,0),IF(AND(AC115&lt;&gt;"",WEEKDAY(AB$1,2)&lt;6),1,0),IF(AND(AE115&lt;&gt;"",WEEKDAY(AD$1,2)&lt;6),1,0),IF(AND(AG115&lt;&gt;"",WEEKDAY(AF$1,2)&lt;6),1,0),IF(AND(AI115&lt;&gt;"",WEEKDAY(AH$1,2)&lt;6),1,0),IF(AND(AK115&lt;&gt;"",WEEKDAY(AJ$1,2)&lt;6),1,0),IF(AND(AM115&lt;&gt;"",WEEKDAY(AL$1,2)&lt;6),1,0),IF(AND(AO115&lt;&gt;"",WEEKDAY(AN$1,2)&lt;6),1,0),IF(AND(AQ115&lt;&gt;"",WEEKDAY(AP$1,2)&lt;6),1,0),IF(AND(AS115&lt;&gt;"",WEEKDAY(AR$1,2)&lt;6),1,0),IF(AND(AU115&lt;&gt;"",WEEKDAY(AT$1,2)&lt;6),1,0),IF(AND(AW115&lt;&gt;"",WEEKDAY(AV$1,2)&lt;6),1,0),IF(AND(AY115&lt;&gt;"",WEEKDAY(AX$1,2)&lt;6),1,0),IF(AND(BA115&lt;&gt;"",WEEKDAY(AZ$1,2)&lt;6),1,0),IF(AND(BC115&lt;&gt;"",WEEKDAY(BB$1,2)&lt;6),1,0),IF(AND(BE115&lt;&gt;"",WEEKDAY(BD$1,2)&lt;6),1,0),IF(AND(BG115&lt;&gt;"",WEEKDAY(BF$1,2)&lt;6),1,0),IF(AND(BI115&lt;&gt;"",WEEKDAY(BH$1,2)&lt;6),1,0),IF(AND(BK115&lt;&gt;"",WEEKDAY(BJ$1,2)&lt;6),1,0),IF(AND(BM115&lt;&gt;"",WEEKDAY(BL$1,2)&lt;6),1,0))</f>
        <v>0</v>
      </c>
      <c r="BP115" s="85">
        <f>SUM(IF(AND((D115&lt;&gt;"")+(E115&lt;&gt;""),WEEKDAY(D$1,2)=6),1,0),IF(AND((F115&lt;&gt;"")+(G115&lt;&gt;""),WEEKDAY(F$1,2)=6),1,0),IF(AND((H115&lt;&gt;"")+(I115&lt;&gt;""),WEEKDAY(H$1,2)=6),1,0),IF(AND((J115&lt;&gt;"")+(K115&lt;&gt;""),WEEKDAY(J$1,2)=6),1,0),IF(AND((L115&lt;&gt;"")+(M115&lt;&gt;""),WEEKDAY(L$1,2)=6),1,0),IF(AND((N115&lt;&gt;"")+(O115&lt;&gt;""),WEEKDAY(N$1,2)=6),1,0),IF(AND((P115&lt;&gt;"")+(Q115&lt;&gt;""),WEEKDAY(P$1,2)=6),1,0),IF(AND((R115&lt;&gt;"")+(S115&lt;&gt;""),WEEKDAY(R$1,2)=6),1,0),IF(AND((T115&lt;&gt;"")+(U115&lt;&gt;""),WEEKDAY(T$1,2)=6),1,0),IF(AND((V115&lt;&gt;"")+(W115&lt;&gt;""),WEEKDAY(V$1,2)=6),1,0),IF(AND((X115&lt;&gt;"")+(Y115&lt;&gt;""),WEEKDAY(X$1,2)=6),1,0),IF(AND((Z115&lt;&gt;"")+(AA115&lt;&gt;""),WEEKDAY(Z$1,2)=6),1,0),IF(AND((AB115&lt;&gt;"")+(AC115&lt;&gt;""),WEEKDAY(AB$1,2)=6),1,0),IF(AND((AD115&lt;&gt;"")+(AE115&lt;&gt;""),WEEKDAY(AD$1,2)=6),1,0),IF(AND((AF115&lt;&gt;"")+(AG115&lt;&gt;""),WEEKDAY(AF$1,2)=6),1,0),IF(AND((AH115&lt;&gt;"")+(AI115&lt;&gt;""),WEEKDAY(AH$1,2)=6),1,0),IF(AND((AJ115&lt;&gt;"")+(AK115&lt;&gt;""),WEEKDAY(AJ$1,2)=6),1,0),IF(AND((AL115&lt;&gt;"")+(AM115&lt;&gt;""),WEEKDAY(AL$1,2)=6),1,0),IF(AND((AN115&lt;&gt;"")+(AO115&lt;&gt;""),WEEKDAY(AN$1,2)=6),1,0),IF(AND((AP115&lt;&gt;"")+(AQ115&lt;&gt;""),WEEKDAY(AP$1,2)=6),1,0),IF(AND((AR115&lt;&gt;"")+(AS115&lt;&gt;""),WEEKDAY(AR$1,2)=6),1,0),IF(AND((AT115&lt;&gt;"")+(AU115&lt;&gt;""),WEEKDAY(AT$1,2)=6),1,0),IF(AND((AV115&lt;&gt;"")+(AW115&lt;&gt;""),WEEKDAY(AV$1,2)=6),1,0),IF(AND((AX115&lt;&gt;"")+(AY115&lt;&gt;""),WEEKDAY(AX$1,2)=6),1,0),IF(AND((AZ115&lt;&gt;"")+(BA115&lt;&gt;""),WEEKDAY(AZ$1,2)=6),1,0),IF(AND((BB115&lt;&gt;"")+(BC115&lt;&gt;""),WEEKDAY(BB$1,2)=6),1,0),IF(AND((BD115&lt;&gt;"")+(BE115&lt;&gt;""),WEEKDAY(BD$1,2)=6),1,0),IF(AND((BF115&lt;&gt;"")+(BG115&lt;&gt;""),WEEKDAY(BF$1,2)=6),1,0),IF(AND((BH115&lt;&gt;"")+(BI115&lt;&gt;""),WEEKDAY(BH$1,2)=6),1,0),IF(AND((BJ115&lt;&gt;"")+(BK115&lt;&gt;""),WEEKDAY(BJ$1,2)=6),1,0),IF(AND((BL115&lt;&gt;"")+(BM115&lt;&gt;""),WEEKDAY(BL$1,2)=6),1,0))</f>
        <v>0</v>
      </c>
    </row>
    <row r="116" spans="1:68" ht="16.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>
        <f>SUM(IF(AND(D116&lt;&gt;"",WEEKDAY(D$1,2)&lt;6),1,0),IF(AND(F116&lt;&gt;"",WEEKDAY(F$1,2)&lt;6),1,0),IF(AND(H116&lt;&gt;"",WEEKDAY(H$1,2)&lt;6),1,0),IF(AND(J116&lt;&gt;"",WEEKDAY(J$1,2)&lt;6),1,0),IF(AND(L116&lt;&gt;"",WEEKDAY(L$1,2)&lt;6),1,0),IF(AND(N116&lt;&gt;"",WEEKDAY(N$1,2)&lt;6),1,0),IF(AND(P116&lt;&gt;"",WEEKDAY(P$1,2)&lt;6),1,0),IF(AND(R116&lt;&gt;"",WEEKDAY(R$1,2)&lt;6),1,0),IF(AND(T116&lt;&gt;"",WEEKDAY(T$1,2)&lt;6),1,0),IF(AND(V116&lt;&gt;"",WEEKDAY(V$1,2)&lt;6),1,0),IF(AND(X116&lt;&gt;"",WEEKDAY(X$1,2)&lt;6),1,0),IF(AND(Z116&lt;&gt;"",WEEKDAY(Z$1,2)&lt;6),1,0),IF(AND(AB116&lt;&gt;"",WEEKDAY(AB$1,2)&lt;6),1,0),IF(AND(AD116&lt;&gt;"",WEEKDAY(AD$1,2)&lt;6),1,0),IF(AND(AF116&lt;&gt;"",WEEKDAY(AF$1,2)&lt;6),1,0),IF(AND(AH116&lt;&gt;"",WEEKDAY(AH$1,2)&lt;6),1,0),IF(AND(AJ116&lt;&gt;"",WEEKDAY(AJ$1,2)&lt;6),1,0),IF(AND(AL116&lt;&gt;"",WEEKDAY(AL$1,2)&lt;6),1,0),IF(AND(AN116&lt;&gt;"",WEEKDAY(AN$1,2)&lt;6),1,0),IF(AND(AP116&lt;&gt;"",WEEKDAY(AP$1,2)&lt;6),1,0),IF(AND(AR116&lt;&gt;"",WEEKDAY(AR$1,2)&lt;6),1,0),IF(AND(AT116&lt;&gt;"",WEEKDAY(AT$1,2)&lt;6),1,0),IF(AND(AV116&lt;&gt;"",WEEKDAY(AV$1,2)&lt;6),1,0),IF(AND(AX116&lt;&gt;"",WEEKDAY(AX$1,2)&lt;6),1,0),IF(AND(AZ116&lt;&gt;"",WEEKDAY(AZ$1,2)&lt;6),1,0),IF(AND(BB116&lt;&gt;"",WEEKDAY(BB$1,2)&lt;6),1,0),IF(AND(BD116&lt;&gt;"",WEEKDAY(BD$1,2)&lt;6),1,0),IF(AND(BF116&lt;&gt;"",WEEKDAY(BF$1,2)&lt;6),1,0),IF(AND(BH116&lt;&gt;"",WEEKDAY(BH$1,2)&lt;6),1,0),IF(AND(BJ116&lt;&gt;"",WEEKDAY(BJ$1,2)&lt;6),1,0),IF(AND(BL116&lt;&gt;"",WEEKDAY(BL$1,2)&lt;6),1,0))</f>
        <v>0</v>
      </c>
      <c r="BO116" s="85">
        <f>SUM(IF(AND(E116&lt;&gt;"",WEEKDAY(D$1,2)&lt;6),1,0),IF(AND(G116&lt;&gt;"",WEEKDAY(F$1,2)&lt;6),1,0),IF(AND(I116&lt;&gt;"",WEEKDAY(H$1,2)&lt;6),1,0),IF(AND(K116&lt;&gt;"",WEEKDAY(J$1,2)&lt;6),1,0),IF(AND(M116&lt;&gt;"",WEEKDAY(L$1,2)&lt;6),1,0),IF(AND(O116&lt;&gt;"",WEEKDAY(N$1,2)&lt;6),1,0),IF(AND(Q116&lt;&gt;"",WEEKDAY(P$1,2)&lt;6),1,0),IF(AND(S116&lt;&gt;"",WEEKDAY(R$1,2)&lt;6),1,0),IF(AND(U116&lt;&gt;"",WEEKDAY(T$1,2)&lt;6),1,0),IF(AND(W116&lt;&gt;"",WEEKDAY(V$1,2)&lt;6),1,0),IF(AND(Y116&lt;&gt;"",WEEKDAY(X$1,2)&lt;6),1,0),IF(AND(AA116&lt;&gt;"",WEEKDAY(Z$1,2)&lt;6),1,0),IF(AND(AC116&lt;&gt;"",WEEKDAY(AB$1,2)&lt;6),1,0),IF(AND(AE116&lt;&gt;"",WEEKDAY(AD$1,2)&lt;6),1,0),IF(AND(AG116&lt;&gt;"",WEEKDAY(AF$1,2)&lt;6),1,0),IF(AND(AI116&lt;&gt;"",WEEKDAY(AH$1,2)&lt;6),1,0),IF(AND(AK116&lt;&gt;"",WEEKDAY(AJ$1,2)&lt;6),1,0),IF(AND(AM116&lt;&gt;"",WEEKDAY(AL$1,2)&lt;6),1,0),IF(AND(AO116&lt;&gt;"",WEEKDAY(AN$1,2)&lt;6),1,0),IF(AND(AQ116&lt;&gt;"",WEEKDAY(AP$1,2)&lt;6),1,0),IF(AND(AS116&lt;&gt;"",WEEKDAY(AR$1,2)&lt;6),1,0),IF(AND(AU116&lt;&gt;"",WEEKDAY(AT$1,2)&lt;6),1,0),IF(AND(AW116&lt;&gt;"",WEEKDAY(AV$1,2)&lt;6),1,0),IF(AND(AY116&lt;&gt;"",WEEKDAY(AX$1,2)&lt;6),1,0),IF(AND(BA116&lt;&gt;"",WEEKDAY(AZ$1,2)&lt;6),1,0),IF(AND(BC116&lt;&gt;"",WEEKDAY(BB$1,2)&lt;6),1,0),IF(AND(BE116&lt;&gt;"",WEEKDAY(BD$1,2)&lt;6),1,0),IF(AND(BG116&lt;&gt;"",WEEKDAY(BF$1,2)&lt;6),1,0),IF(AND(BI116&lt;&gt;"",WEEKDAY(BH$1,2)&lt;6),1,0),IF(AND(BK116&lt;&gt;"",WEEKDAY(BJ$1,2)&lt;6),1,0),IF(AND(BM116&lt;&gt;"",WEEKDAY(BL$1,2)&lt;6),1,0))</f>
        <v>0</v>
      </c>
      <c r="BP116" s="85">
        <f>SUM(IF(AND((D116&lt;&gt;"")+(E116&lt;&gt;""),WEEKDAY(D$1,2)=6),1,0),IF(AND((F116&lt;&gt;"")+(G116&lt;&gt;""),WEEKDAY(F$1,2)=6),1,0),IF(AND((H116&lt;&gt;"")+(I116&lt;&gt;""),WEEKDAY(H$1,2)=6),1,0),IF(AND((J116&lt;&gt;"")+(K116&lt;&gt;""),WEEKDAY(J$1,2)=6),1,0),IF(AND((L116&lt;&gt;"")+(M116&lt;&gt;""),WEEKDAY(L$1,2)=6),1,0),IF(AND((N116&lt;&gt;"")+(O116&lt;&gt;""),WEEKDAY(N$1,2)=6),1,0),IF(AND((P116&lt;&gt;"")+(Q116&lt;&gt;""),WEEKDAY(P$1,2)=6),1,0),IF(AND((R116&lt;&gt;"")+(S116&lt;&gt;""),WEEKDAY(R$1,2)=6),1,0),IF(AND((T116&lt;&gt;"")+(U116&lt;&gt;""),WEEKDAY(T$1,2)=6),1,0),IF(AND((V116&lt;&gt;"")+(W116&lt;&gt;""),WEEKDAY(V$1,2)=6),1,0),IF(AND((X116&lt;&gt;"")+(Y116&lt;&gt;""),WEEKDAY(X$1,2)=6),1,0),IF(AND((Z116&lt;&gt;"")+(AA116&lt;&gt;""),WEEKDAY(Z$1,2)=6),1,0),IF(AND((AB116&lt;&gt;"")+(AC116&lt;&gt;""),WEEKDAY(AB$1,2)=6),1,0),IF(AND((AD116&lt;&gt;"")+(AE116&lt;&gt;""),WEEKDAY(AD$1,2)=6),1,0),IF(AND((AF116&lt;&gt;"")+(AG116&lt;&gt;""),WEEKDAY(AF$1,2)=6),1,0),IF(AND((AH116&lt;&gt;"")+(AI116&lt;&gt;""),WEEKDAY(AH$1,2)=6),1,0),IF(AND((AJ116&lt;&gt;"")+(AK116&lt;&gt;""),WEEKDAY(AJ$1,2)=6),1,0),IF(AND((AL116&lt;&gt;"")+(AM116&lt;&gt;""),WEEKDAY(AL$1,2)=6),1,0),IF(AND((AN116&lt;&gt;"")+(AO116&lt;&gt;""),WEEKDAY(AN$1,2)=6),1,0),IF(AND((AP116&lt;&gt;"")+(AQ116&lt;&gt;""),WEEKDAY(AP$1,2)=6),1,0),IF(AND((AR116&lt;&gt;"")+(AS116&lt;&gt;""),WEEKDAY(AR$1,2)=6),1,0),IF(AND((AT116&lt;&gt;"")+(AU116&lt;&gt;""),WEEKDAY(AT$1,2)=6),1,0),IF(AND((AV116&lt;&gt;"")+(AW116&lt;&gt;""),WEEKDAY(AV$1,2)=6),1,0),IF(AND((AX116&lt;&gt;"")+(AY116&lt;&gt;""),WEEKDAY(AX$1,2)=6),1,0),IF(AND((AZ116&lt;&gt;"")+(BA116&lt;&gt;""),WEEKDAY(AZ$1,2)=6),1,0),IF(AND((BB116&lt;&gt;"")+(BC116&lt;&gt;""),WEEKDAY(BB$1,2)=6),1,0),IF(AND((BD116&lt;&gt;"")+(BE116&lt;&gt;""),WEEKDAY(BD$1,2)=6),1,0),IF(AND((BF116&lt;&gt;"")+(BG116&lt;&gt;""),WEEKDAY(BF$1,2)=6),1,0),IF(AND((BH116&lt;&gt;"")+(BI116&lt;&gt;""),WEEKDAY(BH$1,2)=6),1,0),IF(AND((BJ116&lt;&gt;"")+(BK116&lt;&gt;""),WEEKDAY(BJ$1,2)=6),1,0),IF(AND((BL116&lt;&gt;"")+(BM116&lt;&gt;""),WEEKDAY(BL$1,2)=6),1,0))</f>
        <v>0</v>
      </c>
    </row>
    <row r="117" spans="1:68" ht="16.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>
        <f>SUM(IF(AND(D117&lt;&gt;"",WEEKDAY(D$1,2)&lt;6),1,0),IF(AND(F117&lt;&gt;"",WEEKDAY(F$1,2)&lt;6),1,0),IF(AND(H117&lt;&gt;"",WEEKDAY(H$1,2)&lt;6),1,0),IF(AND(J117&lt;&gt;"",WEEKDAY(J$1,2)&lt;6),1,0),IF(AND(L117&lt;&gt;"",WEEKDAY(L$1,2)&lt;6),1,0),IF(AND(N117&lt;&gt;"",WEEKDAY(N$1,2)&lt;6),1,0),IF(AND(P117&lt;&gt;"",WEEKDAY(P$1,2)&lt;6),1,0),IF(AND(R117&lt;&gt;"",WEEKDAY(R$1,2)&lt;6),1,0),IF(AND(T117&lt;&gt;"",WEEKDAY(T$1,2)&lt;6),1,0),IF(AND(V117&lt;&gt;"",WEEKDAY(V$1,2)&lt;6),1,0),IF(AND(X117&lt;&gt;"",WEEKDAY(X$1,2)&lt;6),1,0),IF(AND(Z117&lt;&gt;"",WEEKDAY(Z$1,2)&lt;6),1,0),IF(AND(AB117&lt;&gt;"",WEEKDAY(AB$1,2)&lt;6),1,0),IF(AND(AD117&lt;&gt;"",WEEKDAY(AD$1,2)&lt;6),1,0),IF(AND(AF117&lt;&gt;"",WEEKDAY(AF$1,2)&lt;6),1,0),IF(AND(AH117&lt;&gt;"",WEEKDAY(AH$1,2)&lt;6),1,0),IF(AND(AJ117&lt;&gt;"",WEEKDAY(AJ$1,2)&lt;6),1,0),IF(AND(AL117&lt;&gt;"",WEEKDAY(AL$1,2)&lt;6),1,0),IF(AND(AN117&lt;&gt;"",WEEKDAY(AN$1,2)&lt;6),1,0),IF(AND(AP117&lt;&gt;"",WEEKDAY(AP$1,2)&lt;6),1,0),IF(AND(AR117&lt;&gt;"",WEEKDAY(AR$1,2)&lt;6),1,0),IF(AND(AT117&lt;&gt;"",WEEKDAY(AT$1,2)&lt;6),1,0),IF(AND(AV117&lt;&gt;"",WEEKDAY(AV$1,2)&lt;6),1,0),IF(AND(AX117&lt;&gt;"",WEEKDAY(AX$1,2)&lt;6),1,0),IF(AND(AZ117&lt;&gt;"",WEEKDAY(AZ$1,2)&lt;6),1,0),IF(AND(BB117&lt;&gt;"",WEEKDAY(BB$1,2)&lt;6),1,0),IF(AND(BD117&lt;&gt;"",WEEKDAY(BD$1,2)&lt;6),1,0),IF(AND(BF117&lt;&gt;"",WEEKDAY(BF$1,2)&lt;6),1,0),IF(AND(BH117&lt;&gt;"",WEEKDAY(BH$1,2)&lt;6),1,0),IF(AND(BJ117&lt;&gt;"",WEEKDAY(BJ$1,2)&lt;6),1,0),IF(AND(BL117&lt;&gt;"",WEEKDAY(BL$1,2)&lt;6),1,0))</f>
        <v>0</v>
      </c>
      <c r="BO117" s="85">
        <f>SUM(IF(AND(E117&lt;&gt;"",WEEKDAY(D$1,2)&lt;6),1,0),IF(AND(G117&lt;&gt;"",WEEKDAY(F$1,2)&lt;6),1,0),IF(AND(I117&lt;&gt;"",WEEKDAY(H$1,2)&lt;6),1,0),IF(AND(K117&lt;&gt;"",WEEKDAY(J$1,2)&lt;6),1,0),IF(AND(M117&lt;&gt;"",WEEKDAY(L$1,2)&lt;6),1,0),IF(AND(O117&lt;&gt;"",WEEKDAY(N$1,2)&lt;6),1,0),IF(AND(Q117&lt;&gt;"",WEEKDAY(P$1,2)&lt;6),1,0),IF(AND(S117&lt;&gt;"",WEEKDAY(R$1,2)&lt;6),1,0),IF(AND(U117&lt;&gt;"",WEEKDAY(T$1,2)&lt;6),1,0),IF(AND(W117&lt;&gt;"",WEEKDAY(V$1,2)&lt;6),1,0),IF(AND(Y117&lt;&gt;"",WEEKDAY(X$1,2)&lt;6),1,0),IF(AND(AA117&lt;&gt;"",WEEKDAY(Z$1,2)&lt;6),1,0),IF(AND(AC117&lt;&gt;"",WEEKDAY(AB$1,2)&lt;6),1,0),IF(AND(AE117&lt;&gt;"",WEEKDAY(AD$1,2)&lt;6),1,0),IF(AND(AG117&lt;&gt;"",WEEKDAY(AF$1,2)&lt;6),1,0),IF(AND(AI117&lt;&gt;"",WEEKDAY(AH$1,2)&lt;6),1,0),IF(AND(AK117&lt;&gt;"",WEEKDAY(AJ$1,2)&lt;6),1,0),IF(AND(AM117&lt;&gt;"",WEEKDAY(AL$1,2)&lt;6),1,0),IF(AND(AO117&lt;&gt;"",WEEKDAY(AN$1,2)&lt;6),1,0),IF(AND(AQ117&lt;&gt;"",WEEKDAY(AP$1,2)&lt;6),1,0),IF(AND(AS117&lt;&gt;"",WEEKDAY(AR$1,2)&lt;6),1,0),IF(AND(AU117&lt;&gt;"",WEEKDAY(AT$1,2)&lt;6),1,0),IF(AND(AW117&lt;&gt;"",WEEKDAY(AV$1,2)&lt;6),1,0),IF(AND(AY117&lt;&gt;"",WEEKDAY(AX$1,2)&lt;6),1,0),IF(AND(BA117&lt;&gt;"",WEEKDAY(AZ$1,2)&lt;6),1,0),IF(AND(BC117&lt;&gt;"",WEEKDAY(BB$1,2)&lt;6),1,0),IF(AND(BE117&lt;&gt;"",WEEKDAY(BD$1,2)&lt;6),1,0),IF(AND(BG117&lt;&gt;"",WEEKDAY(BF$1,2)&lt;6),1,0),IF(AND(BI117&lt;&gt;"",WEEKDAY(BH$1,2)&lt;6),1,0),IF(AND(BK117&lt;&gt;"",WEEKDAY(BJ$1,2)&lt;6),1,0),IF(AND(BM117&lt;&gt;"",WEEKDAY(BL$1,2)&lt;6),1,0))</f>
        <v>0</v>
      </c>
      <c r="BP117" s="85">
        <f>SUM(IF(AND((D117&lt;&gt;"")+(E117&lt;&gt;""),WEEKDAY(D$1,2)=6),1,0),IF(AND((F117&lt;&gt;"")+(G117&lt;&gt;""),WEEKDAY(F$1,2)=6),1,0),IF(AND((H117&lt;&gt;"")+(I117&lt;&gt;""),WEEKDAY(H$1,2)=6),1,0),IF(AND((J117&lt;&gt;"")+(K117&lt;&gt;""),WEEKDAY(J$1,2)=6),1,0),IF(AND((L117&lt;&gt;"")+(M117&lt;&gt;""),WEEKDAY(L$1,2)=6),1,0),IF(AND((N117&lt;&gt;"")+(O117&lt;&gt;""),WEEKDAY(N$1,2)=6),1,0),IF(AND((P117&lt;&gt;"")+(Q117&lt;&gt;""),WEEKDAY(P$1,2)=6),1,0),IF(AND((R117&lt;&gt;"")+(S117&lt;&gt;""),WEEKDAY(R$1,2)=6),1,0),IF(AND((T117&lt;&gt;"")+(U117&lt;&gt;""),WEEKDAY(T$1,2)=6),1,0),IF(AND((V117&lt;&gt;"")+(W117&lt;&gt;""),WEEKDAY(V$1,2)=6),1,0),IF(AND((X117&lt;&gt;"")+(Y117&lt;&gt;""),WEEKDAY(X$1,2)=6),1,0),IF(AND((Z117&lt;&gt;"")+(AA117&lt;&gt;""),WEEKDAY(Z$1,2)=6),1,0),IF(AND((AB117&lt;&gt;"")+(AC117&lt;&gt;""),WEEKDAY(AB$1,2)=6),1,0),IF(AND((AD117&lt;&gt;"")+(AE117&lt;&gt;""),WEEKDAY(AD$1,2)=6),1,0),IF(AND((AF117&lt;&gt;"")+(AG117&lt;&gt;""),WEEKDAY(AF$1,2)=6),1,0),IF(AND((AH117&lt;&gt;"")+(AI117&lt;&gt;""),WEEKDAY(AH$1,2)=6),1,0),IF(AND((AJ117&lt;&gt;"")+(AK117&lt;&gt;""),WEEKDAY(AJ$1,2)=6),1,0),IF(AND((AL117&lt;&gt;"")+(AM117&lt;&gt;""),WEEKDAY(AL$1,2)=6),1,0),IF(AND((AN117&lt;&gt;"")+(AO117&lt;&gt;""),WEEKDAY(AN$1,2)=6),1,0),IF(AND((AP117&lt;&gt;"")+(AQ117&lt;&gt;""),WEEKDAY(AP$1,2)=6),1,0),IF(AND((AR117&lt;&gt;"")+(AS117&lt;&gt;""),WEEKDAY(AR$1,2)=6),1,0),IF(AND((AT117&lt;&gt;"")+(AU117&lt;&gt;""),WEEKDAY(AT$1,2)=6),1,0),IF(AND((AV117&lt;&gt;"")+(AW117&lt;&gt;""),WEEKDAY(AV$1,2)=6),1,0),IF(AND((AX117&lt;&gt;"")+(AY117&lt;&gt;""),WEEKDAY(AX$1,2)=6),1,0),IF(AND((AZ117&lt;&gt;"")+(BA117&lt;&gt;""),WEEKDAY(AZ$1,2)=6),1,0),IF(AND((BB117&lt;&gt;"")+(BC117&lt;&gt;""),WEEKDAY(BB$1,2)=6),1,0),IF(AND((BD117&lt;&gt;"")+(BE117&lt;&gt;""),WEEKDAY(BD$1,2)=6),1,0),IF(AND((BF117&lt;&gt;"")+(BG117&lt;&gt;""),WEEKDAY(BF$1,2)=6),1,0),IF(AND((BH117&lt;&gt;"")+(BI117&lt;&gt;""),WEEKDAY(BH$1,2)=6),1,0),IF(AND((BJ117&lt;&gt;"")+(BK117&lt;&gt;""),WEEKDAY(BJ$1,2)=6),1,0),IF(AND((BL117&lt;&gt;"")+(BM117&lt;&gt;""),WEEKDAY(BL$1,2)=6),1,0))</f>
        <v>0</v>
      </c>
    </row>
    <row r="118" spans="1:68" ht="16.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>
        <f>SUM(IF(AND(D118&lt;&gt;"",WEEKDAY(D$1,2)&lt;6),1,0),IF(AND(F118&lt;&gt;"",WEEKDAY(F$1,2)&lt;6),1,0),IF(AND(H118&lt;&gt;"",WEEKDAY(H$1,2)&lt;6),1,0),IF(AND(J118&lt;&gt;"",WEEKDAY(J$1,2)&lt;6),1,0),IF(AND(L118&lt;&gt;"",WEEKDAY(L$1,2)&lt;6),1,0),IF(AND(N118&lt;&gt;"",WEEKDAY(N$1,2)&lt;6),1,0),IF(AND(P118&lt;&gt;"",WEEKDAY(P$1,2)&lt;6),1,0),IF(AND(R118&lt;&gt;"",WEEKDAY(R$1,2)&lt;6),1,0),IF(AND(T118&lt;&gt;"",WEEKDAY(T$1,2)&lt;6),1,0),IF(AND(V118&lt;&gt;"",WEEKDAY(V$1,2)&lt;6),1,0),IF(AND(X118&lt;&gt;"",WEEKDAY(X$1,2)&lt;6),1,0),IF(AND(Z118&lt;&gt;"",WEEKDAY(Z$1,2)&lt;6),1,0),IF(AND(AB118&lt;&gt;"",WEEKDAY(AB$1,2)&lt;6),1,0),IF(AND(AD118&lt;&gt;"",WEEKDAY(AD$1,2)&lt;6),1,0),IF(AND(AF118&lt;&gt;"",WEEKDAY(AF$1,2)&lt;6),1,0),IF(AND(AH118&lt;&gt;"",WEEKDAY(AH$1,2)&lt;6),1,0),IF(AND(AJ118&lt;&gt;"",WEEKDAY(AJ$1,2)&lt;6),1,0),IF(AND(AL118&lt;&gt;"",WEEKDAY(AL$1,2)&lt;6),1,0),IF(AND(AN118&lt;&gt;"",WEEKDAY(AN$1,2)&lt;6),1,0),IF(AND(AP118&lt;&gt;"",WEEKDAY(AP$1,2)&lt;6),1,0),IF(AND(AR118&lt;&gt;"",WEEKDAY(AR$1,2)&lt;6),1,0),IF(AND(AT118&lt;&gt;"",WEEKDAY(AT$1,2)&lt;6),1,0),IF(AND(AV118&lt;&gt;"",WEEKDAY(AV$1,2)&lt;6),1,0),IF(AND(AX118&lt;&gt;"",WEEKDAY(AX$1,2)&lt;6),1,0),IF(AND(AZ118&lt;&gt;"",WEEKDAY(AZ$1,2)&lt;6),1,0),IF(AND(BB118&lt;&gt;"",WEEKDAY(BB$1,2)&lt;6),1,0),IF(AND(BD118&lt;&gt;"",WEEKDAY(BD$1,2)&lt;6),1,0),IF(AND(BF118&lt;&gt;"",WEEKDAY(BF$1,2)&lt;6),1,0),IF(AND(BH118&lt;&gt;"",WEEKDAY(BH$1,2)&lt;6),1,0),IF(AND(BJ118&lt;&gt;"",WEEKDAY(BJ$1,2)&lt;6),1,0),IF(AND(BL118&lt;&gt;"",WEEKDAY(BL$1,2)&lt;6),1,0))</f>
        <v>0</v>
      </c>
      <c r="BO118" s="85">
        <f>SUM(IF(AND(E118&lt;&gt;"",WEEKDAY(D$1,2)&lt;6),1,0),IF(AND(G118&lt;&gt;"",WEEKDAY(F$1,2)&lt;6),1,0),IF(AND(I118&lt;&gt;"",WEEKDAY(H$1,2)&lt;6),1,0),IF(AND(K118&lt;&gt;"",WEEKDAY(J$1,2)&lt;6),1,0),IF(AND(M118&lt;&gt;"",WEEKDAY(L$1,2)&lt;6),1,0),IF(AND(O118&lt;&gt;"",WEEKDAY(N$1,2)&lt;6),1,0),IF(AND(Q118&lt;&gt;"",WEEKDAY(P$1,2)&lt;6),1,0),IF(AND(S118&lt;&gt;"",WEEKDAY(R$1,2)&lt;6),1,0),IF(AND(U118&lt;&gt;"",WEEKDAY(T$1,2)&lt;6),1,0),IF(AND(W118&lt;&gt;"",WEEKDAY(V$1,2)&lt;6),1,0),IF(AND(Y118&lt;&gt;"",WEEKDAY(X$1,2)&lt;6),1,0),IF(AND(AA118&lt;&gt;"",WEEKDAY(Z$1,2)&lt;6),1,0),IF(AND(AC118&lt;&gt;"",WEEKDAY(AB$1,2)&lt;6),1,0),IF(AND(AE118&lt;&gt;"",WEEKDAY(AD$1,2)&lt;6),1,0),IF(AND(AG118&lt;&gt;"",WEEKDAY(AF$1,2)&lt;6),1,0),IF(AND(AI118&lt;&gt;"",WEEKDAY(AH$1,2)&lt;6),1,0),IF(AND(AK118&lt;&gt;"",WEEKDAY(AJ$1,2)&lt;6),1,0),IF(AND(AM118&lt;&gt;"",WEEKDAY(AL$1,2)&lt;6),1,0),IF(AND(AO118&lt;&gt;"",WEEKDAY(AN$1,2)&lt;6),1,0),IF(AND(AQ118&lt;&gt;"",WEEKDAY(AP$1,2)&lt;6),1,0),IF(AND(AS118&lt;&gt;"",WEEKDAY(AR$1,2)&lt;6),1,0),IF(AND(AU118&lt;&gt;"",WEEKDAY(AT$1,2)&lt;6),1,0),IF(AND(AW118&lt;&gt;"",WEEKDAY(AV$1,2)&lt;6),1,0),IF(AND(AY118&lt;&gt;"",WEEKDAY(AX$1,2)&lt;6),1,0),IF(AND(BA118&lt;&gt;"",WEEKDAY(AZ$1,2)&lt;6),1,0),IF(AND(BC118&lt;&gt;"",WEEKDAY(BB$1,2)&lt;6),1,0),IF(AND(BE118&lt;&gt;"",WEEKDAY(BD$1,2)&lt;6),1,0),IF(AND(BG118&lt;&gt;"",WEEKDAY(BF$1,2)&lt;6),1,0),IF(AND(BI118&lt;&gt;"",WEEKDAY(BH$1,2)&lt;6),1,0),IF(AND(BK118&lt;&gt;"",WEEKDAY(BJ$1,2)&lt;6),1,0),IF(AND(BM118&lt;&gt;"",WEEKDAY(BL$1,2)&lt;6),1,0))</f>
        <v>0</v>
      </c>
      <c r="BP118" s="85">
        <f>SUM(IF(AND((D118&lt;&gt;"")+(E118&lt;&gt;""),WEEKDAY(D$1,2)=6),1,0),IF(AND((F118&lt;&gt;"")+(G118&lt;&gt;""),WEEKDAY(F$1,2)=6),1,0),IF(AND((H118&lt;&gt;"")+(I118&lt;&gt;""),WEEKDAY(H$1,2)=6),1,0),IF(AND((J118&lt;&gt;"")+(K118&lt;&gt;""),WEEKDAY(J$1,2)=6),1,0),IF(AND((L118&lt;&gt;"")+(M118&lt;&gt;""),WEEKDAY(L$1,2)=6),1,0),IF(AND((N118&lt;&gt;"")+(O118&lt;&gt;""),WEEKDAY(N$1,2)=6),1,0),IF(AND((P118&lt;&gt;"")+(Q118&lt;&gt;""),WEEKDAY(P$1,2)=6),1,0),IF(AND((R118&lt;&gt;"")+(S118&lt;&gt;""),WEEKDAY(R$1,2)=6),1,0),IF(AND((T118&lt;&gt;"")+(U118&lt;&gt;""),WEEKDAY(T$1,2)=6),1,0),IF(AND((V118&lt;&gt;"")+(W118&lt;&gt;""),WEEKDAY(V$1,2)=6),1,0),IF(AND((X118&lt;&gt;"")+(Y118&lt;&gt;""),WEEKDAY(X$1,2)=6),1,0),IF(AND((Z118&lt;&gt;"")+(AA118&lt;&gt;""),WEEKDAY(Z$1,2)=6),1,0),IF(AND((AB118&lt;&gt;"")+(AC118&lt;&gt;""),WEEKDAY(AB$1,2)=6),1,0),IF(AND((AD118&lt;&gt;"")+(AE118&lt;&gt;""),WEEKDAY(AD$1,2)=6),1,0),IF(AND((AF118&lt;&gt;"")+(AG118&lt;&gt;""),WEEKDAY(AF$1,2)=6),1,0),IF(AND((AH118&lt;&gt;"")+(AI118&lt;&gt;""),WEEKDAY(AH$1,2)=6),1,0),IF(AND((AJ118&lt;&gt;"")+(AK118&lt;&gt;""),WEEKDAY(AJ$1,2)=6),1,0),IF(AND((AL118&lt;&gt;"")+(AM118&lt;&gt;""),WEEKDAY(AL$1,2)=6),1,0),IF(AND((AN118&lt;&gt;"")+(AO118&lt;&gt;""),WEEKDAY(AN$1,2)=6),1,0),IF(AND((AP118&lt;&gt;"")+(AQ118&lt;&gt;""),WEEKDAY(AP$1,2)=6),1,0),IF(AND((AR118&lt;&gt;"")+(AS118&lt;&gt;""),WEEKDAY(AR$1,2)=6),1,0),IF(AND((AT118&lt;&gt;"")+(AU118&lt;&gt;""),WEEKDAY(AT$1,2)=6),1,0),IF(AND((AV118&lt;&gt;"")+(AW118&lt;&gt;""),WEEKDAY(AV$1,2)=6),1,0),IF(AND((AX118&lt;&gt;"")+(AY118&lt;&gt;""),WEEKDAY(AX$1,2)=6),1,0),IF(AND((AZ118&lt;&gt;"")+(BA118&lt;&gt;""),WEEKDAY(AZ$1,2)=6),1,0),IF(AND((BB118&lt;&gt;"")+(BC118&lt;&gt;""),WEEKDAY(BB$1,2)=6),1,0),IF(AND((BD118&lt;&gt;"")+(BE118&lt;&gt;""),WEEKDAY(BD$1,2)=6),1,0),IF(AND((BF118&lt;&gt;"")+(BG118&lt;&gt;""),WEEKDAY(BF$1,2)=6),1,0),IF(AND((BH118&lt;&gt;"")+(BI118&lt;&gt;""),WEEKDAY(BH$1,2)=6),1,0),IF(AND((BJ118&lt;&gt;"")+(BK118&lt;&gt;""),WEEKDAY(BJ$1,2)=6),1,0),IF(AND((BL118&lt;&gt;"")+(BM118&lt;&gt;""),WEEKDAY(BL$1,2)=6),1,0))</f>
        <v>0</v>
      </c>
    </row>
    <row r="119" spans="1:68" ht="16.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>
        <f>SUM(IF(AND(D119&lt;&gt;"",WEEKDAY(D$1,2)&lt;6),1,0),IF(AND(F119&lt;&gt;"",WEEKDAY(F$1,2)&lt;6),1,0),IF(AND(H119&lt;&gt;"",WEEKDAY(H$1,2)&lt;6),1,0),IF(AND(J119&lt;&gt;"",WEEKDAY(J$1,2)&lt;6),1,0),IF(AND(L119&lt;&gt;"",WEEKDAY(L$1,2)&lt;6),1,0),IF(AND(N119&lt;&gt;"",WEEKDAY(N$1,2)&lt;6),1,0),IF(AND(P119&lt;&gt;"",WEEKDAY(P$1,2)&lt;6),1,0),IF(AND(R119&lt;&gt;"",WEEKDAY(R$1,2)&lt;6),1,0),IF(AND(T119&lt;&gt;"",WEEKDAY(T$1,2)&lt;6),1,0),IF(AND(V119&lt;&gt;"",WEEKDAY(V$1,2)&lt;6),1,0),IF(AND(X119&lt;&gt;"",WEEKDAY(X$1,2)&lt;6),1,0),IF(AND(Z119&lt;&gt;"",WEEKDAY(Z$1,2)&lt;6),1,0),IF(AND(AB119&lt;&gt;"",WEEKDAY(AB$1,2)&lt;6),1,0),IF(AND(AD119&lt;&gt;"",WEEKDAY(AD$1,2)&lt;6),1,0),IF(AND(AF119&lt;&gt;"",WEEKDAY(AF$1,2)&lt;6),1,0),IF(AND(AH119&lt;&gt;"",WEEKDAY(AH$1,2)&lt;6),1,0),IF(AND(AJ119&lt;&gt;"",WEEKDAY(AJ$1,2)&lt;6),1,0),IF(AND(AL119&lt;&gt;"",WEEKDAY(AL$1,2)&lt;6),1,0),IF(AND(AN119&lt;&gt;"",WEEKDAY(AN$1,2)&lt;6),1,0),IF(AND(AP119&lt;&gt;"",WEEKDAY(AP$1,2)&lt;6),1,0),IF(AND(AR119&lt;&gt;"",WEEKDAY(AR$1,2)&lt;6),1,0),IF(AND(AT119&lt;&gt;"",WEEKDAY(AT$1,2)&lt;6),1,0),IF(AND(AV119&lt;&gt;"",WEEKDAY(AV$1,2)&lt;6),1,0),IF(AND(AX119&lt;&gt;"",WEEKDAY(AX$1,2)&lt;6),1,0),IF(AND(AZ119&lt;&gt;"",WEEKDAY(AZ$1,2)&lt;6),1,0),IF(AND(BB119&lt;&gt;"",WEEKDAY(BB$1,2)&lt;6),1,0),IF(AND(BD119&lt;&gt;"",WEEKDAY(BD$1,2)&lt;6),1,0),IF(AND(BF119&lt;&gt;"",WEEKDAY(BF$1,2)&lt;6),1,0),IF(AND(BH119&lt;&gt;"",WEEKDAY(BH$1,2)&lt;6),1,0),IF(AND(BJ119&lt;&gt;"",WEEKDAY(BJ$1,2)&lt;6),1,0),IF(AND(BL119&lt;&gt;"",WEEKDAY(BL$1,2)&lt;6),1,0))</f>
        <v>0</v>
      </c>
      <c r="BO119" s="85">
        <f>SUM(IF(AND(E119&lt;&gt;"",WEEKDAY(D$1,2)&lt;6),1,0),IF(AND(G119&lt;&gt;"",WEEKDAY(F$1,2)&lt;6),1,0),IF(AND(I119&lt;&gt;"",WEEKDAY(H$1,2)&lt;6),1,0),IF(AND(K119&lt;&gt;"",WEEKDAY(J$1,2)&lt;6),1,0),IF(AND(M119&lt;&gt;"",WEEKDAY(L$1,2)&lt;6),1,0),IF(AND(O119&lt;&gt;"",WEEKDAY(N$1,2)&lt;6),1,0),IF(AND(Q119&lt;&gt;"",WEEKDAY(P$1,2)&lt;6),1,0),IF(AND(S119&lt;&gt;"",WEEKDAY(R$1,2)&lt;6),1,0),IF(AND(U119&lt;&gt;"",WEEKDAY(T$1,2)&lt;6),1,0),IF(AND(W119&lt;&gt;"",WEEKDAY(V$1,2)&lt;6),1,0),IF(AND(Y119&lt;&gt;"",WEEKDAY(X$1,2)&lt;6),1,0),IF(AND(AA119&lt;&gt;"",WEEKDAY(Z$1,2)&lt;6),1,0),IF(AND(AC119&lt;&gt;"",WEEKDAY(AB$1,2)&lt;6),1,0),IF(AND(AE119&lt;&gt;"",WEEKDAY(AD$1,2)&lt;6),1,0),IF(AND(AG119&lt;&gt;"",WEEKDAY(AF$1,2)&lt;6),1,0),IF(AND(AI119&lt;&gt;"",WEEKDAY(AH$1,2)&lt;6),1,0),IF(AND(AK119&lt;&gt;"",WEEKDAY(AJ$1,2)&lt;6),1,0),IF(AND(AM119&lt;&gt;"",WEEKDAY(AL$1,2)&lt;6),1,0),IF(AND(AO119&lt;&gt;"",WEEKDAY(AN$1,2)&lt;6),1,0),IF(AND(AQ119&lt;&gt;"",WEEKDAY(AP$1,2)&lt;6),1,0),IF(AND(AS119&lt;&gt;"",WEEKDAY(AR$1,2)&lt;6),1,0),IF(AND(AU119&lt;&gt;"",WEEKDAY(AT$1,2)&lt;6),1,0),IF(AND(AW119&lt;&gt;"",WEEKDAY(AV$1,2)&lt;6),1,0),IF(AND(AY119&lt;&gt;"",WEEKDAY(AX$1,2)&lt;6),1,0),IF(AND(BA119&lt;&gt;"",WEEKDAY(AZ$1,2)&lt;6),1,0),IF(AND(BC119&lt;&gt;"",WEEKDAY(BB$1,2)&lt;6),1,0),IF(AND(BE119&lt;&gt;"",WEEKDAY(BD$1,2)&lt;6),1,0),IF(AND(BG119&lt;&gt;"",WEEKDAY(BF$1,2)&lt;6),1,0),IF(AND(BI119&lt;&gt;"",WEEKDAY(BH$1,2)&lt;6),1,0),IF(AND(BK119&lt;&gt;"",WEEKDAY(BJ$1,2)&lt;6),1,0),IF(AND(BM119&lt;&gt;"",WEEKDAY(BL$1,2)&lt;6),1,0))</f>
        <v>0</v>
      </c>
      <c r="BP119" s="85">
        <f>SUM(IF(AND((D119&lt;&gt;"")+(E119&lt;&gt;""),WEEKDAY(D$1,2)=6),1,0),IF(AND((F119&lt;&gt;"")+(G119&lt;&gt;""),WEEKDAY(F$1,2)=6),1,0),IF(AND((H119&lt;&gt;"")+(I119&lt;&gt;""),WEEKDAY(H$1,2)=6),1,0),IF(AND((J119&lt;&gt;"")+(K119&lt;&gt;""),WEEKDAY(J$1,2)=6),1,0),IF(AND((L119&lt;&gt;"")+(M119&lt;&gt;""),WEEKDAY(L$1,2)=6),1,0),IF(AND((N119&lt;&gt;"")+(O119&lt;&gt;""),WEEKDAY(N$1,2)=6),1,0),IF(AND((P119&lt;&gt;"")+(Q119&lt;&gt;""),WEEKDAY(P$1,2)=6),1,0),IF(AND((R119&lt;&gt;"")+(S119&lt;&gt;""),WEEKDAY(R$1,2)=6),1,0),IF(AND((T119&lt;&gt;"")+(U119&lt;&gt;""),WEEKDAY(T$1,2)=6),1,0),IF(AND((V119&lt;&gt;"")+(W119&lt;&gt;""),WEEKDAY(V$1,2)=6),1,0),IF(AND((X119&lt;&gt;"")+(Y119&lt;&gt;""),WEEKDAY(X$1,2)=6),1,0),IF(AND((Z119&lt;&gt;"")+(AA119&lt;&gt;""),WEEKDAY(Z$1,2)=6),1,0),IF(AND((AB119&lt;&gt;"")+(AC119&lt;&gt;""),WEEKDAY(AB$1,2)=6),1,0),IF(AND((AD119&lt;&gt;"")+(AE119&lt;&gt;""),WEEKDAY(AD$1,2)=6),1,0),IF(AND((AF119&lt;&gt;"")+(AG119&lt;&gt;""),WEEKDAY(AF$1,2)=6),1,0),IF(AND((AH119&lt;&gt;"")+(AI119&lt;&gt;""),WEEKDAY(AH$1,2)=6),1,0),IF(AND((AJ119&lt;&gt;"")+(AK119&lt;&gt;""),WEEKDAY(AJ$1,2)=6),1,0),IF(AND((AL119&lt;&gt;"")+(AM119&lt;&gt;""),WEEKDAY(AL$1,2)=6),1,0),IF(AND((AN119&lt;&gt;"")+(AO119&lt;&gt;""),WEEKDAY(AN$1,2)=6),1,0),IF(AND((AP119&lt;&gt;"")+(AQ119&lt;&gt;""),WEEKDAY(AP$1,2)=6),1,0),IF(AND((AR119&lt;&gt;"")+(AS119&lt;&gt;""),WEEKDAY(AR$1,2)=6),1,0),IF(AND((AT119&lt;&gt;"")+(AU119&lt;&gt;""),WEEKDAY(AT$1,2)=6),1,0),IF(AND((AV119&lt;&gt;"")+(AW119&lt;&gt;""),WEEKDAY(AV$1,2)=6),1,0),IF(AND((AX119&lt;&gt;"")+(AY119&lt;&gt;""),WEEKDAY(AX$1,2)=6),1,0),IF(AND((AZ119&lt;&gt;"")+(BA119&lt;&gt;""),WEEKDAY(AZ$1,2)=6),1,0),IF(AND((BB119&lt;&gt;"")+(BC119&lt;&gt;""),WEEKDAY(BB$1,2)=6),1,0),IF(AND((BD119&lt;&gt;"")+(BE119&lt;&gt;""),WEEKDAY(BD$1,2)=6),1,0),IF(AND((BF119&lt;&gt;"")+(BG119&lt;&gt;""),WEEKDAY(BF$1,2)=6),1,0),IF(AND((BH119&lt;&gt;"")+(BI119&lt;&gt;""),WEEKDAY(BH$1,2)=6),1,0),IF(AND((BJ119&lt;&gt;"")+(BK119&lt;&gt;""),WEEKDAY(BJ$1,2)=6),1,0),IF(AND((BL119&lt;&gt;"")+(BM119&lt;&gt;""),WEEKDAY(BL$1,2)=6),1,0))</f>
        <v>0</v>
      </c>
    </row>
    <row r="120" spans="1:68" ht="16.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>
        <f>SUM(IF(AND(D120&lt;&gt;"",WEEKDAY(D$1,2)&lt;6),1,0),IF(AND(F120&lt;&gt;"",WEEKDAY(F$1,2)&lt;6),1,0),IF(AND(H120&lt;&gt;"",WEEKDAY(H$1,2)&lt;6),1,0),IF(AND(J120&lt;&gt;"",WEEKDAY(J$1,2)&lt;6),1,0),IF(AND(L120&lt;&gt;"",WEEKDAY(L$1,2)&lt;6),1,0),IF(AND(N120&lt;&gt;"",WEEKDAY(N$1,2)&lt;6),1,0),IF(AND(P120&lt;&gt;"",WEEKDAY(P$1,2)&lt;6),1,0),IF(AND(R120&lt;&gt;"",WEEKDAY(R$1,2)&lt;6),1,0),IF(AND(T120&lt;&gt;"",WEEKDAY(T$1,2)&lt;6),1,0),IF(AND(V120&lt;&gt;"",WEEKDAY(V$1,2)&lt;6),1,0),IF(AND(X120&lt;&gt;"",WEEKDAY(X$1,2)&lt;6),1,0),IF(AND(Z120&lt;&gt;"",WEEKDAY(Z$1,2)&lt;6),1,0),IF(AND(AB120&lt;&gt;"",WEEKDAY(AB$1,2)&lt;6),1,0),IF(AND(AD120&lt;&gt;"",WEEKDAY(AD$1,2)&lt;6),1,0),IF(AND(AF120&lt;&gt;"",WEEKDAY(AF$1,2)&lt;6),1,0),IF(AND(AH120&lt;&gt;"",WEEKDAY(AH$1,2)&lt;6),1,0),IF(AND(AJ120&lt;&gt;"",WEEKDAY(AJ$1,2)&lt;6),1,0),IF(AND(AL120&lt;&gt;"",WEEKDAY(AL$1,2)&lt;6),1,0),IF(AND(AN120&lt;&gt;"",WEEKDAY(AN$1,2)&lt;6),1,0),IF(AND(AP120&lt;&gt;"",WEEKDAY(AP$1,2)&lt;6),1,0),IF(AND(AR120&lt;&gt;"",WEEKDAY(AR$1,2)&lt;6),1,0),IF(AND(AT120&lt;&gt;"",WEEKDAY(AT$1,2)&lt;6),1,0),IF(AND(AV120&lt;&gt;"",WEEKDAY(AV$1,2)&lt;6),1,0),IF(AND(AX120&lt;&gt;"",WEEKDAY(AX$1,2)&lt;6),1,0),IF(AND(AZ120&lt;&gt;"",WEEKDAY(AZ$1,2)&lt;6),1,0),IF(AND(BB120&lt;&gt;"",WEEKDAY(BB$1,2)&lt;6),1,0),IF(AND(BD120&lt;&gt;"",WEEKDAY(BD$1,2)&lt;6),1,0),IF(AND(BF120&lt;&gt;"",WEEKDAY(BF$1,2)&lt;6),1,0),IF(AND(BH120&lt;&gt;"",WEEKDAY(BH$1,2)&lt;6),1,0),IF(AND(BJ120&lt;&gt;"",WEEKDAY(BJ$1,2)&lt;6),1,0),IF(AND(BL120&lt;&gt;"",WEEKDAY(BL$1,2)&lt;6),1,0))</f>
        <v>0</v>
      </c>
      <c r="BO120" s="85">
        <f>SUM(IF(AND(E120&lt;&gt;"",WEEKDAY(D$1,2)&lt;6),1,0),IF(AND(G120&lt;&gt;"",WEEKDAY(F$1,2)&lt;6),1,0),IF(AND(I120&lt;&gt;"",WEEKDAY(H$1,2)&lt;6),1,0),IF(AND(K120&lt;&gt;"",WEEKDAY(J$1,2)&lt;6),1,0),IF(AND(M120&lt;&gt;"",WEEKDAY(L$1,2)&lt;6),1,0),IF(AND(O120&lt;&gt;"",WEEKDAY(N$1,2)&lt;6),1,0),IF(AND(Q120&lt;&gt;"",WEEKDAY(P$1,2)&lt;6),1,0),IF(AND(S120&lt;&gt;"",WEEKDAY(R$1,2)&lt;6),1,0),IF(AND(U120&lt;&gt;"",WEEKDAY(T$1,2)&lt;6),1,0),IF(AND(W120&lt;&gt;"",WEEKDAY(V$1,2)&lt;6),1,0),IF(AND(Y120&lt;&gt;"",WEEKDAY(X$1,2)&lt;6),1,0),IF(AND(AA120&lt;&gt;"",WEEKDAY(Z$1,2)&lt;6),1,0),IF(AND(AC120&lt;&gt;"",WEEKDAY(AB$1,2)&lt;6),1,0),IF(AND(AE120&lt;&gt;"",WEEKDAY(AD$1,2)&lt;6),1,0),IF(AND(AG120&lt;&gt;"",WEEKDAY(AF$1,2)&lt;6),1,0),IF(AND(AI120&lt;&gt;"",WEEKDAY(AH$1,2)&lt;6),1,0),IF(AND(AK120&lt;&gt;"",WEEKDAY(AJ$1,2)&lt;6),1,0),IF(AND(AM120&lt;&gt;"",WEEKDAY(AL$1,2)&lt;6),1,0),IF(AND(AO120&lt;&gt;"",WEEKDAY(AN$1,2)&lt;6),1,0),IF(AND(AQ120&lt;&gt;"",WEEKDAY(AP$1,2)&lt;6),1,0),IF(AND(AS120&lt;&gt;"",WEEKDAY(AR$1,2)&lt;6),1,0),IF(AND(AU120&lt;&gt;"",WEEKDAY(AT$1,2)&lt;6),1,0),IF(AND(AW120&lt;&gt;"",WEEKDAY(AV$1,2)&lt;6),1,0),IF(AND(AY120&lt;&gt;"",WEEKDAY(AX$1,2)&lt;6),1,0),IF(AND(BA120&lt;&gt;"",WEEKDAY(AZ$1,2)&lt;6),1,0),IF(AND(BC120&lt;&gt;"",WEEKDAY(BB$1,2)&lt;6),1,0),IF(AND(BE120&lt;&gt;"",WEEKDAY(BD$1,2)&lt;6),1,0),IF(AND(BG120&lt;&gt;"",WEEKDAY(BF$1,2)&lt;6),1,0),IF(AND(BI120&lt;&gt;"",WEEKDAY(BH$1,2)&lt;6),1,0),IF(AND(BK120&lt;&gt;"",WEEKDAY(BJ$1,2)&lt;6),1,0),IF(AND(BM120&lt;&gt;"",WEEKDAY(BL$1,2)&lt;6),1,0))</f>
        <v>0</v>
      </c>
      <c r="BP120" s="85">
        <f>SUM(IF(AND((D120&lt;&gt;"")+(E120&lt;&gt;""),WEEKDAY(D$1,2)=6),1,0),IF(AND((F120&lt;&gt;"")+(G120&lt;&gt;""),WEEKDAY(F$1,2)=6),1,0),IF(AND((H120&lt;&gt;"")+(I120&lt;&gt;""),WEEKDAY(H$1,2)=6),1,0),IF(AND((J120&lt;&gt;"")+(K120&lt;&gt;""),WEEKDAY(J$1,2)=6),1,0),IF(AND((L120&lt;&gt;"")+(M120&lt;&gt;""),WEEKDAY(L$1,2)=6),1,0),IF(AND((N120&lt;&gt;"")+(O120&lt;&gt;""),WEEKDAY(N$1,2)=6),1,0),IF(AND((P120&lt;&gt;"")+(Q120&lt;&gt;""),WEEKDAY(P$1,2)=6),1,0),IF(AND((R120&lt;&gt;"")+(S120&lt;&gt;""),WEEKDAY(R$1,2)=6),1,0),IF(AND((T120&lt;&gt;"")+(U120&lt;&gt;""),WEEKDAY(T$1,2)=6),1,0),IF(AND((V120&lt;&gt;"")+(W120&lt;&gt;""),WEEKDAY(V$1,2)=6),1,0),IF(AND((X120&lt;&gt;"")+(Y120&lt;&gt;""),WEEKDAY(X$1,2)=6),1,0),IF(AND((Z120&lt;&gt;"")+(AA120&lt;&gt;""),WEEKDAY(Z$1,2)=6),1,0),IF(AND((AB120&lt;&gt;"")+(AC120&lt;&gt;""),WEEKDAY(AB$1,2)=6),1,0),IF(AND((AD120&lt;&gt;"")+(AE120&lt;&gt;""),WEEKDAY(AD$1,2)=6),1,0),IF(AND((AF120&lt;&gt;"")+(AG120&lt;&gt;""),WEEKDAY(AF$1,2)=6),1,0),IF(AND((AH120&lt;&gt;"")+(AI120&lt;&gt;""),WEEKDAY(AH$1,2)=6),1,0),IF(AND((AJ120&lt;&gt;"")+(AK120&lt;&gt;""),WEEKDAY(AJ$1,2)=6),1,0),IF(AND((AL120&lt;&gt;"")+(AM120&lt;&gt;""),WEEKDAY(AL$1,2)=6),1,0),IF(AND((AN120&lt;&gt;"")+(AO120&lt;&gt;""),WEEKDAY(AN$1,2)=6),1,0),IF(AND((AP120&lt;&gt;"")+(AQ120&lt;&gt;""),WEEKDAY(AP$1,2)=6),1,0),IF(AND((AR120&lt;&gt;"")+(AS120&lt;&gt;""),WEEKDAY(AR$1,2)=6),1,0),IF(AND((AT120&lt;&gt;"")+(AU120&lt;&gt;""),WEEKDAY(AT$1,2)=6),1,0),IF(AND((AV120&lt;&gt;"")+(AW120&lt;&gt;""),WEEKDAY(AV$1,2)=6),1,0),IF(AND((AX120&lt;&gt;"")+(AY120&lt;&gt;""),WEEKDAY(AX$1,2)=6),1,0),IF(AND((AZ120&lt;&gt;"")+(BA120&lt;&gt;""),WEEKDAY(AZ$1,2)=6),1,0),IF(AND((BB120&lt;&gt;"")+(BC120&lt;&gt;""),WEEKDAY(BB$1,2)=6),1,0),IF(AND((BD120&lt;&gt;"")+(BE120&lt;&gt;""),WEEKDAY(BD$1,2)=6),1,0),IF(AND((BF120&lt;&gt;"")+(BG120&lt;&gt;""),WEEKDAY(BF$1,2)=6),1,0),IF(AND((BH120&lt;&gt;"")+(BI120&lt;&gt;""),WEEKDAY(BH$1,2)=6),1,0),IF(AND((BJ120&lt;&gt;"")+(BK120&lt;&gt;""),WEEKDAY(BJ$1,2)=6),1,0),IF(AND((BL120&lt;&gt;"")+(BM120&lt;&gt;""),WEEKDAY(BL$1,2)=6),1,0))</f>
        <v>0</v>
      </c>
    </row>
    <row r="121" spans="1:68" ht="16.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>
        <f>SUM(IF(AND(D121&lt;&gt;"",WEEKDAY(D$1,2)&lt;6),1,0),IF(AND(F121&lt;&gt;"",WEEKDAY(F$1,2)&lt;6),1,0),IF(AND(H121&lt;&gt;"",WEEKDAY(H$1,2)&lt;6),1,0),IF(AND(J121&lt;&gt;"",WEEKDAY(J$1,2)&lt;6),1,0),IF(AND(L121&lt;&gt;"",WEEKDAY(L$1,2)&lt;6),1,0),IF(AND(N121&lt;&gt;"",WEEKDAY(N$1,2)&lt;6),1,0),IF(AND(P121&lt;&gt;"",WEEKDAY(P$1,2)&lt;6),1,0),IF(AND(R121&lt;&gt;"",WEEKDAY(R$1,2)&lt;6),1,0),IF(AND(T121&lt;&gt;"",WEEKDAY(T$1,2)&lt;6),1,0),IF(AND(V121&lt;&gt;"",WEEKDAY(V$1,2)&lt;6),1,0),IF(AND(X121&lt;&gt;"",WEEKDAY(X$1,2)&lt;6),1,0),IF(AND(Z121&lt;&gt;"",WEEKDAY(Z$1,2)&lt;6),1,0),IF(AND(AB121&lt;&gt;"",WEEKDAY(AB$1,2)&lt;6),1,0),IF(AND(AD121&lt;&gt;"",WEEKDAY(AD$1,2)&lt;6),1,0),IF(AND(AF121&lt;&gt;"",WEEKDAY(AF$1,2)&lt;6),1,0),IF(AND(AH121&lt;&gt;"",WEEKDAY(AH$1,2)&lt;6),1,0),IF(AND(AJ121&lt;&gt;"",WEEKDAY(AJ$1,2)&lt;6),1,0),IF(AND(AL121&lt;&gt;"",WEEKDAY(AL$1,2)&lt;6),1,0),IF(AND(AN121&lt;&gt;"",WEEKDAY(AN$1,2)&lt;6),1,0),IF(AND(AP121&lt;&gt;"",WEEKDAY(AP$1,2)&lt;6),1,0),IF(AND(AR121&lt;&gt;"",WEEKDAY(AR$1,2)&lt;6),1,0),IF(AND(AT121&lt;&gt;"",WEEKDAY(AT$1,2)&lt;6),1,0),IF(AND(AV121&lt;&gt;"",WEEKDAY(AV$1,2)&lt;6),1,0),IF(AND(AX121&lt;&gt;"",WEEKDAY(AX$1,2)&lt;6),1,0),IF(AND(AZ121&lt;&gt;"",WEEKDAY(AZ$1,2)&lt;6),1,0),IF(AND(BB121&lt;&gt;"",WEEKDAY(BB$1,2)&lt;6),1,0),IF(AND(BD121&lt;&gt;"",WEEKDAY(BD$1,2)&lt;6),1,0),IF(AND(BF121&lt;&gt;"",WEEKDAY(BF$1,2)&lt;6),1,0),IF(AND(BH121&lt;&gt;"",WEEKDAY(BH$1,2)&lt;6),1,0),IF(AND(BJ121&lt;&gt;"",WEEKDAY(BJ$1,2)&lt;6),1,0),IF(AND(BL121&lt;&gt;"",WEEKDAY(BL$1,2)&lt;6),1,0))</f>
        <v>0</v>
      </c>
      <c r="BO121" s="85">
        <f>SUM(IF(AND(E121&lt;&gt;"",WEEKDAY(D$1,2)&lt;6),1,0),IF(AND(G121&lt;&gt;"",WEEKDAY(F$1,2)&lt;6),1,0),IF(AND(I121&lt;&gt;"",WEEKDAY(H$1,2)&lt;6),1,0),IF(AND(K121&lt;&gt;"",WEEKDAY(J$1,2)&lt;6),1,0),IF(AND(M121&lt;&gt;"",WEEKDAY(L$1,2)&lt;6),1,0),IF(AND(O121&lt;&gt;"",WEEKDAY(N$1,2)&lt;6),1,0),IF(AND(Q121&lt;&gt;"",WEEKDAY(P$1,2)&lt;6),1,0),IF(AND(S121&lt;&gt;"",WEEKDAY(R$1,2)&lt;6),1,0),IF(AND(U121&lt;&gt;"",WEEKDAY(T$1,2)&lt;6),1,0),IF(AND(W121&lt;&gt;"",WEEKDAY(V$1,2)&lt;6),1,0),IF(AND(Y121&lt;&gt;"",WEEKDAY(X$1,2)&lt;6),1,0),IF(AND(AA121&lt;&gt;"",WEEKDAY(Z$1,2)&lt;6),1,0),IF(AND(AC121&lt;&gt;"",WEEKDAY(AB$1,2)&lt;6),1,0),IF(AND(AE121&lt;&gt;"",WEEKDAY(AD$1,2)&lt;6),1,0),IF(AND(AG121&lt;&gt;"",WEEKDAY(AF$1,2)&lt;6),1,0),IF(AND(AI121&lt;&gt;"",WEEKDAY(AH$1,2)&lt;6),1,0),IF(AND(AK121&lt;&gt;"",WEEKDAY(AJ$1,2)&lt;6),1,0),IF(AND(AM121&lt;&gt;"",WEEKDAY(AL$1,2)&lt;6),1,0),IF(AND(AO121&lt;&gt;"",WEEKDAY(AN$1,2)&lt;6),1,0),IF(AND(AQ121&lt;&gt;"",WEEKDAY(AP$1,2)&lt;6),1,0),IF(AND(AS121&lt;&gt;"",WEEKDAY(AR$1,2)&lt;6),1,0),IF(AND(AU121&lt;&gt;"",WEEKDAY(AT$1,2)&lt;6),1,0),IF(AND(AW121&lt;&gt;"",WEEKDAY(AV$1,2)&lt;6),1,0),IF(AND(AY121&lt;&gt;"",WEEKDAY(AX$1,2)&lt;6),1,0),IF(AND(BA121&lt;&gt;"",WEEKDAY(AZ$1,2)&lt;6),1,0),IF(AND(BC121&lt;&gt;"",WEEKDAY(BB$1,2)&lt;6),1,0),IF(AND(BE121&lt;&gt;"",WEEKDAY(BD$1,2)&lt;6),1,0),IF(AND(BG121&lt;&gt;"",WEEKDAY(BF$1,2)&lt;6),1,0),IF(AND(BI121&lt;&gt;"",WEEKDAY(BH$1,2)&lt;6),1,0),IF(AND(BK121&lt;&gt;"",WEEKDAY(BJ$1,2)&lt;6),1,0),IF(AND(BM121&lt;&gt;"",WEEKDAY(BL$1,2)&lt;6),1,0))</f>
        <v>0</v>
      </c>
      <c r="BP121" s="85">
        <f>SUM(IF(AND((D121&lt;&gt;"")+(E121&lt;&gt;""),WEEKDAY(D$1,2)=6),1,0),IF(AND((F121&lt;&gt;"")+(G121&lt;&gt;""),WEEKDAY(F$1,2)=6),1,0),IF(AND((H121&lt;&gt;"")+(I121&lt;&gt;""),WEEKDAY(H$1,2)=6),1,0),IF(AND((J121&lt;&gt;"")+(K121&lt;&gt;""),WEEKDAY(J$1,2)=6),1,0),IF(AND((L121&lt;&gt;"")+(M121&lt;&gt;""),WEEKDAY(L$1,2)=6),1,0),IF(AND((N121&lt;&gt;"")+(O121&lt;&gt;""),WEEKDAY(N$1,2)=6),1,0),IF(AND((P121&lt;&gt;"")+(Q121&lt;&gt;""),WEEKDAY(P$1,2)=6),1,0),IF(AND((R121&lt;&gt;"")+(S121&lt;&gt;""),WEEKDAY(R$1,2)=6),1,0),IF(AND((T121&lt;&gt;"")+(U121&lt;&gt;""),WEEKDAY(T$1,2)=6),1,0),IF(AND((V121&lt;&gt;"")+(W121&lt;&gt;""),WEEKDAY(V$1,2)=6),1,0),IF(AND((X121&lt;&gt;"")+(Y121&lt;&gt;""),WEEKDAY(X$1,2)=6),1,0),IF(AND((Z121&lt;&gt;"")+(AA121&lt;&gt;""),WEEKDAY(Z$1,2)=6),1,0),IF(AND((AB121&lt;&gt;"")+(AC121&lt;&gt;""),WEEKDAY(AB$1,2)=6),1,0),IF(AND((AD121&lt;&gt;"")+(AE121&lt;&gt;""),WEEKDAY(AD$1,2)=6),1,0),IF(AND((AF121&lt;&gt;"")+(AG121&lt;&gt;""),WEEKDAY(AF$1,2)=6),1,0),IF(AND((AH121&lt;&gt;"")+(AI121&lt;&gt;""),WEEKDAY(AH$1,2)=6),1,0),IF(AND((AJ121&lt;&gt;"")+(AK121&lt;&gt;""),WEEKDAY(AJ$1,2)=6),1,0),IF(AND((AL121&lt;&gt;"")+(AM121&lt;&gt;""),WEEKDAY(AL$1,2)=6),1,0),IF(AND((AN121&lt;&gt;"")+(AO121&lt;&gt;""),WEEKDAY(AN$1,2)=6),1,0),IF(AND((AP121&lt;&gt;"")+(AQ121&lt;&gt;""),WEEKDAY(AP$1,2)=6),1,0),IF(AND((AR121&lt;&gt;"")+(AS121&lt;&gt;""),WEEKDAY(AR$1,2)=6),1,0),IF(AND((AT121&lt;&gt;"")+(AU121&lt;&gt;""),WEEKDAY(AT$1,2)=6),1,0),IF(AND((AV121&lt;&gt;"")+(AW121&lt;&gt;""),WEEKDAY(AV$1,2)=6),1,0),IF(AND((AX121&lt;&gt;"")+(AY121&lt;&gt;""),WEEKDAY(AX$1,2)=6),1,0),IF(AND((AZ121&lt;&gt;"")+(BA121&lt;&gt;""),WEEKDAY(AZ$1,2)=6),1,0),IF(AND((BB121&lt;&gt;"")+(BC121&lt;&gt;""),WEEKDAY(BB$1,2)=6),1,0),IF(AND((BD121&lt;&gt;"")+(BE121&lt;&gt;""),WEEKDAY(BD$1,2)=6),1,0),IF(AND((BF121&lt;&gt;"")+(BG121&lt;&gt;""),WEEKDAY(BF$1,2)=6),1,0),IF(AND((BH121&lt;&gt;"")+(BI121&lt;&gt;""),WEEKDAY(BH$1,2)=6),1,0),IF(AND((BJ121&lt;&gt;"")+(BK121&lt;&gt;""),WEEKDAY(BJ$1,2)=6),1,0),IF(AND((BL121&lt;&gt;"")+(BM121&lt;&gt;""),WEEKDAY(BL$1,2)=6),1,0))</f>
        <v>0</v>
      </c>
    </row>
    <row r="122" spans="1:68" ht="16.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>
        <f>SUM(IF(AND(D122&lt;&gt;"",WEEKDAY(D$1,2)&lt;6),1,0),IF(AND(F122&lt;&gt;"",WEEKDAY(F$1,2)&lt;6),1,0),IF(AND(H122&lt;&gt;"",WEEKDAY(H$1,2)&lt;6),1,0),IF(AND(J122&lt;&gt;"",WEEKDAY(J$1,2)&lt;6),1,0),IF(AND(L122&lt;&gt;"",WEEKDAY(L$1,2)&lt;6),1,0),IF(AND(N122&lt;&gt;"",WEEKDAY(N$1,2)&lt;6),1,0),IF(AND(P122&lt;&gt;"",WEEKDAY(P$1,2)&lt;6),1,0),IF(AND(R122&lt;&gt;"",WEEKDAY(R$1,2)&lt;6),1,0),IF(AND(T122&lt;&gt;"",WEEKDAY(T$1,2)&lt;6),1,0),IF(AND(V122&lt;&gt;"",WEEKDAY(V$1,2)&lt;6),1,0),IF(AND(X122&lt;&gt;"",WEEKDAY(X$1,2)&lt;6),1,0),IF(AND(Z122&lt;&gt;"",WEEKDAY(Z$1,2)&lt;6),1,0),IF(AND(AB122&lt;&gt;"",WEEKDAY(AB$1,2)&lt;6),1,0),IF(AND(AD122&lt;&gt;"",WEEKDAY(AD$1,2)&lt;6),1,0),IF(AND(AF122&lt;&gt;"",WEEKDAY(AF$1,2)&lt;6),1,0),IF(AND(AH122&lt;&gt;"",WEEKDAY(AH$1,2)&lt;6),1,0),IF(AND(AJ122&lt;&gt;"",WEEKDAY(AJ$1,2)&lt;6),1,0),IF(AND(AL122&lt;&gt;"",WEEKDAY(AL$1,2)&lt;6),1,0),IF(AND(AN122&lt;&gt;"",WEEKDAY(AN$1,2)&lt;6),1,0),IF(AND(AP122&lt;&gt;"",WEEKDAY(AP$1,2)&lt;6),1,0),IF(AND(AR122&lt;&gt;"",WEEKDAY(AR$1,2)&lt;6),1,0),IF(AND(AT122&lt;&gt;"",WEEKDAY(AT$1,2)&lt;6),1,0),IF(AND(AV122&lt;&gt;"",WEEKDAY(AV$1,2)&lt;6),1,0),IF(AND(AX122&lt;&gt;"",WEEKDAY(AX$1,2)&lt;6),1,0),IF(AND(AZ122&lt;&gt;"",WEEKDAY(AZ$1,2)&lt;6),1,0),IF(AND(BB122&lt;&gt;"",WEEKDAY(BB$1,2)&lt;6),1,0),IF(AND(BD122&lt;&gt;"",WEEKDAY(BD$1,2)&lt;6),1,0),IF(AND(BF122&lt;&gt;"",WEEKDAY(BF$1,2)&lt;6),1,0),IF(AND(BH122&lt;&gt;"",WEEKDAY(BH$1,2)&lt;6),1,0),IF(AND(BJ122&lt;&gt;"",WEEKDAY(BJ$1,2)&lt;6),1,0),IF(AND(BL122&lt;&gt;"",WEEKDAY(BL$1,2)&lt;6),1,0))</f>
        <v>0</v>
      </c>
      <c r="BO122" s="85">
        <f>SUM(IF(AND(E122&lt;&gt;"",WEEKDAY(D$1,2)&lt;6),1,0),IF(AND(G122&lt;&gt;"",WEEKDAY(F$1,2)&lt;6),1,0),IF(AND(I122&lt;&gt;"",WEEKDAY(H$1,2)&lt;6),1,0),IF(AND(K122&lt;&gt;"",WEEKDAY(J$1,2)&lt;6),1,0),IF(AND(M122&lt;&gt;"",WEEKDAY(L$1,2)&lt;6),1,0),IF(AND(O122&lt;&gt;"",WEEKDAY(N$1,2)&lt;6),1,0),IF(AND(Q122&lt;&gt;"",WEEKDAY(P$1,2)&lt;6),1,0),IF(AND(S122&lt;&gt;"",WEEKDAY(R$1,2)&lt;6),1,0),IF(AND(U122&lt;&gt;"",WEEKDAY(T$1,2)&lt;6),1,0),IF(AND(W122&lt;&gt;"",WEEKDAY(V$1,2)&lt;6),1,0),IF(AND(Y122&lt;&gt;"",WEEKDAY(X$1,2)&lt;6),1,0),IF(AND(AA122&lt;&gt;"",WEEKDAY(Z$1,2)&lt;6),1,0),IF(AND(AC122&lt;&gt;"",WEEKDAY(AB$1,2)&lt;6),1,0),IF(AND(AE122&lt;&gt;"",WEEKDAY(AD$1,2)&lt;6),1,0),IF(AND(AG122&lt;&gt;"",WEEKDAY(AF$1,2)&lt;6),1,0),IF(AND(AI122&lt;&gt;"",WEEKDAY(AH$1,2)&lt;6),1,0),IF(AND(AK122&lt;&gt;"",WEEKDAY(AJ$1,2)&lt;6),1,0),IF(AND(AM122&lt;&gt;"",WEEKDAY(AL$1,2)&lt;6),1,0),IF(AND(AO122&lt;&gt;"",WEEKDAY(AN$1,2)&lt;6),1,0),IF(AND(AQ122&lt;&gt;"",WEEKDAY(AP$1,2)&lt;6),1,0),IF(AND(AS122&lt;&gt;"",WEEKDAY(AR$1,2)&lt;6),1,0),IF(AND(AU122&lt;&gt;"",WEEKDAY(AT$1,2)&lt;6),1,0),IF(AND(AW122&lt;&gt;"",WEEKDAY(AV$1,2)&lt;6),1,0),IF(AND(AY122&lt;&gt;"",WEEKDAY(AX$1,2)&lt;6),1,0),IF(AND(BA122&lt;&gt;"",WEEKDAY(AZ$1,2)&lt;6),1,0),IF(AND(BC122&lt;&gt;"",WEEKDAY(BB$1,2)&lt;6),1,0),IF(AND(BE122&lt;&gt;"",WEEKDAY(BD$1,2)&lt;6),1,0),IF(AND(BG122&lt;&gt;"",WEEKDAY(BF$1,2)&lt;6),1,0),IF(AND(BI122&lt;&gt;"",WEEKDAY(BH$1,2)&lt;6),1,0),IF(AND(BK122&lt;&gt;"",WEEKDAY(BJ$1,2)&lt;6),1,0),IF(AND(BM122&lt;&gt;"",WEEKDAY(BL$1,2)&lt;6),1,0))</f>
        <v>0</v>
      </c>
      <c r="BP122" s="85">
        <f>SUM(IF(AND((D122&lt;&gt;"")+(E122&lt;&gt;""),WEEKDAY(D$1,2)=6),1,0),IF(AND((F122&lt;&gt;"")+(G122&lt;&gt;""),WEEKDAY(F$1,2)=6),1,0),IF(AND((H122&lt;&gt;"")+(I122&lt;&gt;""),WEEKDAY(H$1,2)=6),1,0),IF(AND((J122&lt;&gt;"")+(K122&lt;&gt;""),WEEKDAY(J$1,2)=6),1,0),IF(AND((L122&lt;&gt;"")+(M122&lt;&gt;""),WEEKDAY(L$1,2)=6),1,0),IF(AND((N122&lt;&gt;"")+(O122&lt;&gt;""),WEEKDAY(N$1,2)=6),1,0),IF(AND((P122&lt;&gt;"")+(Q122&lt;&gt;""),WEEKDAY(P$1,2)=6),1,0),IF(AND((R122&lt;&gt;"")+(S122&lt;&gt;""),WEEKDAY(R$1,2)=6),1,0),IF(AND((T122&lt;&gt;"")+(U122&lt;&gt;""),WEEKDAY(T$1,2)=6),1,0),IF(AND((V122&lt;&gt;"")+(W122&lt;&gt;""),WEEKDAY(V$1,2)=6),1,0),IF(AND((X122&lt;&gt;"")+(Y122&lt;&gt;""),WEEKDAY(X$1,2)=6),1,0),IF(AND((Z122&lt;&gt;"")+(AA122&lt;&gt;""),WEEKDAY(Z$1,2)=6),1,0),IF(AND((AB122&lt;&gt;"")+(AC122&lt;&gt;""),WEEKDAY(AB$1,2)=6),1,0),IF(AND((AD122&lt;&gt;"")+(AE122&lt;&gt;""),WEEKDAY(AD$1,2)=6),1,0),IF(AND((AF122&lt;&gt;"")+(AG122&lt;&gt;""),WEEKDAY(AF$1,2)=6),1,0),IF(AND((AH122&lt;&gt;"")+(AI122&lt;&gt;""),WEEKDAY(AH$1,2)=6),1,0),IF(AND((AJ122&lt;&gt;"")+(AK122&lt;&gt;""),WEEKDAY(AJ$1,2)=6),1,0),IF(AND((AL122&lt;&gt;"")+(AM122&lt;&gt;""),WEEKDAY(AL$1,2)=6),1,0),IF(AND((AN122&lt;&gt;"")+(AO122&lt;&gt;""),WEEKDAY(AN$1,2)=6),1,0),IF(AND((AP122&lt;&gt;"")+(AQ122&lt;&gt;""),WEEKDAY(AP$1,2)=6),1,0),IF(AND((AR122&lt;&gt;"")+(AS122&lt;&gt;""),WEEKDAY(AR$1,2)=6),1,0),IF(AND((AT122&lt;&gt;"")+(AU122&lt;&gt;""),WEEKDAY(AT$1,2)=6),1,0),IF(AND((AV122&lt;&gt;"")+(AW122&lt;&gt;""),WEEKDAY(AV$1,2)=6),1,0),IF(AND((AX122&lt;&gt;"")+(AY122&lt;&gt;""),WEEKDAY(AX$1,2)=6),1,0),IF(AND((AZ122&lt;&gt;"")+(BA122&lt;&gt;""),WEEKDAY(AZ$1,2)=6),1,0),IF(AND((BB122&lt;&gt;"")+(BC122&lt;&gt;""),WEEKDAY(BB$1,2)=6),1,0),IF(AND((BD122&lt;&gt;"")+(BE122&lt;&gt;""),WEEKDAY(BD$1,2)=6),1,0),IF(AND((BF122&lt;&gt;"")+(BG122&lt;&gt;""),WEEKDAY(BF$1,2)=6),1,0),IF(AND((BH122&lt;&gt;"")+(BI122&lt;&gt;""),WEEKDAY(BH$1,2)=6),1,0),IF(AND((BJ122&lt;&gt;"")+(BK122&lt;&gt;""),WEEKDAY(BJ$1,2)=6),1,0),IF(AND((BL122&lt;&gt;"")+(BM122&lt;&gt;""),WEEKDAY(BL$1,2)=6),1,0))</f>
        <v>0</v>
      </c>
    </row>
    <row r="123" spans="1:68" ht="16.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>
        <f>SUM(IF(AND(D123&lt;&gt;"",WEEKDAY(D$1,2)&lt;6),1,0),IF(AND(F123&lt;&gt;"",WEEKDAY(F$1,2)&lt;6),1,0),IF(AND(H123&lt;&gt;"",WEEKDAY(H$1,2)&lt;6),1,0),IF(AND(J123&lt;&gt;"",WEEKDAY(J$1,2)&lt;6),1,0),IF(AND(L123&lt;&gt;"",WEEKDAY(L$1,2)&lt;6),1,0),IF(AND(N123&lt;&gt;"",WEEKDAY(N$1,2)&lt;6),1,0),IF(AND(P123&lt;&gt;"",WEEKDAY(P$1,2)&lt;6),1,0),IF(AND(R123&lt;&gt;"",WEEKDAY(R$1,2)&lt;6),1,0),IF(AND(T123&lt;&gt;"",WEEKDAY(T$1,2)&lt;6),1,0),IF(AND(V123&lt;&gt;"",WEEKDAY(V$1,2)&lt;6),1,0),IF(AND(X123&lt;&gt;"",WEEKDAY(X$1,2)&lt;6),1,0),IF(AND(Z123&lt;&gt;"",WEEKDAY(Z$1,2)&lt;6),1,0),IF(AND(AB123&lt;&gt;"",WEEKDAY(AB$1,2)&lt;6),1,0),IF(AND(AD123&lt;&gt;"",WEEKDAY(AD$1,2)&lt;6),1,0),IF(AND(AF123&lt;&gt;"",WEEKDAY(AF$1,2)&lt;6),1,0),IF(AND(AH123&lt;&gt;"",WEEKDAY(AH$1,2)&lt;6),1,0),IF(AND(AJ123&lt;&gt;"",WEEKDAY(AJ$1,2)&lt;6),1,0),IF(AND(AL123&lt;&gt;"",WEEKDAY(AL$1,2)&lt;6),1,0),IF(AND(AN123&lt;&gt;"",WEEKDAY(AN$1,2)&lt;6),1,0),IF(AND(AP123&lt;&gt;"",WEEKDAY(AP$1,2)&lt;6),1,0),IF(AND(AR123&lt;&gt;"",WEEKDAY(AR$1,2)&lt;6),1,0),IF(AND(AT123&lt;&gt;"",WEEKDAY(AT$1,2)&lt;6),1,0),IF(AND(AV123&lt;&gt;"",WEEKDAY(AV$1,2)&lt;6),1,0),IF(AND(AX123&lt;&gt;"",WEEKDAY(AX$1,2)&lt;6),1,0),IF(AND(AZ123&lt;&gt;"",WEEKDAY(AZ$1,2)&lt;6),1,0),IF(AND(BB123&lt;&gt;"",WEEKDAY(BB$1,2)&lt;6),1,0),IF(AND(BD123&lt;&gt;"",WEEKDAY(BD$1,2)&lt;6),1,0),IF(AND(BF123&lt;&gt;"",WEEKDAY(BF$1,2)&lt;6),1,0),IF(AND(BH123&lt;&gt;"",WEEKDAY(BH$1,2)&lt;6),1,0),IF(AND(BJ123&lt;&gt;"",WEEKDAY(BJ$1,2)&lt;6),1,0),IF(AND(BL123&lt;&gt;"",WEEKDAY(BL$1,2)&lt;6),1,0))</f>
        <v>0</v>
      </c>
      <c r="BO123" s="85">
        <f>SUM(IF(AND(E123&lt;&gt;"",WEEKDAY(D$1,2)&lt;6),1,0),IF(AND(G123&lt;&gt;"",WEEKDAY(F$1,2)&lt;6),1,0),IF(AND(I123&lt;&gt;"",WEEKDAY(H$1,2)&lt;6),1,0),IF(AND(K123&lt;&gt;"",WEEKDAY(J$1,2)&lt;6),1,0),IF(AND(M123&lt;&gt;"",WEEKDAY(L$1,2)&lt;6),1,0),IF(AND(O123&lt;&gt;"",WEEKDAY(N$1,2)&lt;6),1,0),IF(AND(Q123&lt;&gt;"",WEEKDAY(P$1,2)&lt;6),1,0),IF(AND(S123&lt;&gt;"",WEEKDAY(R$1,2)&lt;6),1,0),IF(AND(U123&lt;&gt;"",WEEKDAY(T$1,2)&lt;6),1,0),IF(AND(W123&lt;&gt;"",WEEKDAY(V$1,2)&lt;6),1,0),IF(AND(Y123&lt;&gt;"",WEEKDAY(X$1,2)&lt;6),1,0),IF(AND(AA123&lt;&gt;"",WEEKDAY(Z$1,2)&lt;6),1,0),IF(AND(AC123&lt;&gt;"",WEEKDAY(AB$1,2)&lt;6),1,0),IF(AND(AE123&lt;&gt;"",WEEKDAY(AD$1,2)&lt;6),1,0),IF(AND(AG123&lt;&gt;"",WEEKDAY(AF$1,2)&lt;6),1,0),IF(AND(AI123&lt;&gt;"",WEEKDAY(AH$1,2)&lt;6),1,0),IF(AND(AK123&lt;&gt;"",WEEKDAY(AJ$1,2)&lt;6),1,0),IF(AND(AM123&lt;&gt;"",WEEKDAY(AL$1,2)&lt;6),1,0),IF(AND(AO123&lt;&gt;"",WEEKDAY(AN$1,2)&lt;6),1,0),IF(AND(AQ123&lt;&gt;"",WEEKDAY(AP$1,2)&lt;6),1,0),IF(AND(AS123&lt;&gt;"",WEEKDAY(AR$1,2)&lt;6),1,0),IF(AND(AU123&lt;&gt;"",WEEKDAY(AT$1,2)&lt;6),1,0),IF(AND(AW123&lt;&gt;"",WEEKDAY(AV$1,2)&lt;6),1,0),IF(AND(AY123&lt;&gt;"",WEEKDAY(AX$1,2)&lt;6),1,0),IF(AND(BA123&lt;&gt;"",WEEKDAY(AZ$1,2)&lt;6),1,0),IF(AND(BC123&lt;&gt;"",WEEKDAY(BB$1,2)&lt;6),1,0),IF(AND(BE123&lt;&gt;"",WEEKDAY(BD$1,2)&lt;6),1,0),IF(AND(BG123&lt;&gt;"",WEEKDAY(BF$1,2)&lt;6),1,0),IF(AND(BI123&lt;&gt;"",WEEKDAY(BH$1,2)&lt;6),1,0),IF(AND(BK123&lt;&gt;"",WEEKDAY(BJ$1,2)&lt;6),1,0),IF(AND(BM123&lt;&gt;"",WEEKDAY(BL$1,2)&lt;6),1,0))</f>
        <v>0</v>
      </c>
      <c r="BP123" s="85">
        <f>SUM(IF(AND((D123&lt;&gt;"")+(E123&lt;&gt;""),WEEKDAY(D$1,2)=6),1,0),IF(AND((F123&lt;&gt;"")+(G123&lt;&gt;""),WEEKDAY(F$1,2)=6),1,0),IF(AND((H123&lt;&gt;"")+(I123&lt;&gt;""),WEEKDAY(H$1,2)=6),1,0),IF(AND((J123&lt;&gt;"")+(K123&lt;&gt;""),WEEKDAY(J$1,2)=6),1,0),IF(AND((L123&lt;&gt;"")+(M123&lt;&gt;""),WEEKDAY(L$1,2)=6),1,0),IF(AND((N123&lt;&gt;"")+(O123&lt;&gt;""),WEEKDAY(N$1,2)=6),1,0),IF(AND((P123&lt;&gt;"")+(Q123&lt;&gt;""),WEEKDAY(P$1,2)=6),1,0),IF(AND((R123&lt;&gt;"")+(S123&lt;&gt;""),WEEKDAY(R$1,2)=6),1,0),IF(AND((T123&lt;&gt;"")+(U123&lt;&gt;""),WEEKDAY(T$1,2)=6),1,0),IF(AND((V123&lt;&gt;"")+(W123&lt;&gt;""),WEEKDAY(V$1,2)=6),1,0),IF(AND((X123&lt;&gt;"")+(Y123&lt;&gt;""),WEEKDAY(X$1,2)=6),1,0),IF(AND((Z123&lt;&gt;"")+(AA123&lt;&gt;""),WEEKDAY(Z$1,2)=6),1,0),IF(AND((AB123&lt;&gt;"")+(AC123&lt;&gt;""),WEEKDAY(AB$1,2)=6),1,0),IF(AND((AD123&lt;&gt;"")+(AE123&lt;&gt;""),WEEKDAY(AD$1,2)=6),1,0),IF(AND((AF123&lt;&gt;"")+(AG123&lt;&gt;""),WEEKDAY(AF$1,2)=6),1,0),IF(AND((AH123&lt;&gt;"")+(AI123&lt;&gt;""),WEEKDAY(AH$1,2)=6),1,0),IF(AND((AJ123&lt;&gt;"")+(AK123&lt;&gt;""),WEEKDAY(AJ$1,2)=6),1,0),IF(AND((AL123&lt;&gt;"")+(AM123&lt;&gt;""),WEEKDAY(AL$1,2)=6),1,0),IF(AND((AN123&lt;&gt;"")+(AO123&lt;&gt;""),WEEKDAY(AN$1,2)=6),1,0),IF(AND((AP123&lt;&gt;"")+(AQ123&lt;&gt;""),WEEKDAY(AP$1,2)=6),1,0),IF(AND((AR123&lt;&gt;"")+(AS123&lt;&gt;""),WEEKDAY(AR$1,2)=6),1,0),IF(AND((AT123&lt;&gt;"")+(AU123&lt;&gt;""),WEEKDAY(AT$1,2)=6),1,0),IF(AND((AV123&lt;&gt;"")+(AW123&lt;&gt;""),WEEKDAY(AV$1,2)=6),1,0),IF(AND((AX123&lt;&gt;"")+(AY123&lt;&gt;""),WEEKDAY(AX$1,2)=6),1,0),IF(AND((AZ123&lt;&gt;"")+(BA123&lt;&gt;""),WEEKDAY(AZ$1,2)=6),1,0),IF(AND((BB123&lt;&gt;"")+(BC123&lt;&gt;""),WEEKDAY(BB$1,2)=6),1,0),IF(AND((BD123&lt;&gt;"")+(BE123&lt;&gt;""),WEEKDAY(BD$1,2)=6),1,0),IF(AND((BF123&lt;&gt;"")+(BG123&lt;&gt;""),WEEKDAY(BF$1,2)=6),1,0),IF(AND((BH123&lt;&gt;"")+(BI123&lt;&gt;""),WEEKDAY(BH$1,2)=6),1,0),IF(AND((BJ123&lt;&gt;"")+(BK123&lt;&gt;""),WEEKDAY(BJ$1,2)=6),1,0),IF(AND((BL123&lt;&gt;"")+(BM123&lt;&gt;""),WEEKDAY(BL$1,2)=6),1,0))</f>
        <v>0</v>
      </c>
    </row>
    <row r="124" spans="1:68" ht="16.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>
        <f>SUM(IF(AND(D124&lt;&gt;"",WEEKDAY(D$1,2)&lt;6),1,0),IF(AND(F124&lt;&gt;"",WEEKDAY(F$1,2)&lt;6),1,0),IF(AND(H124&lt;&gt;"",WEEKDAY(H$1,2)&lt;6),1,0),IF(AND(J124&lt;&gt;"",WEEKDAY(J$1,2)&lt;6),1,0),IF(AND(L124&lt;&gt;"",WEEKDAY(L$1,2)&lt;6),1,0),IF(AND(N124&lt;&gt;"",WEEKDAY(N$1,2)&lt;6),1,0),IF(AND(P124&lt;&gt;"",WEEKDAY(P$1,2)&lt;6),1,0),IF(AND(R124&lt;&gt;"",WEEKDAY(R$1,2)&lt;6),1,0),IF(AND(T124&lt;&gt;"",WEEKDAY(T$1,2)&lt;6),1,0),IF(AND(V124&lt;&gt;"",WEEKDAY(V$1,2)&lt;6),1,0),IF(AND(X124&lt;&gt;"",WEEKDAY(X$1,2)&lt;6),1,0),IF(AND(Z124&lt;&gt;"",WEEKDAY(Z$1,2)&lt;6),1,0),IF(AND(AB124&lt;&gt;"",WEEKDAY(AB$1,2)&lt;6),1,0),IF(AND(AD124&lt;&gt;"",WEEKDAY(AD$1,2)&lt;6),1,0),IF(AND(AF124&lt;&gt;"",WEEKDAY(AF$1,2)&lt;6),1,0),IF(AND(AH124&lt;&gt;"",WEEKDAY(AH$1,2)&lt;6),1,0),IF(AND(AJ124&lt;&gt;"",WEEKDAY(AJ$1,2)&lt;6),1,0),IF(AND(AL124&lt;&gt;"",WEEKDAY(AL$1,2)&lt;6),1,0),IF(AND(AN124&lt;&gt;"",WEEKDAY(AN$1,2)&lt;6),1,0),IF(AND(AP124&lt;&gt;"",WEEKDAY(AP$1,2)&lt;6),1,0),IF(AND(AR124&lt;&gt;"",WEEKDAY(AR$1,2)&lt;6),1,0),IF(AND(AT124&lt;&gt;"",WEEKDAY(AT$1,2)&lt;6),1,0),IF(AND(AV124&lt;&gt;"",WEEKDAY(AV$1,2)&lt;6),1,0),IF(AND(AX124&lt;&gt;"",WEEKDAY(AX$1,2)&lt;6),1,0),IF(AND(AZ124&lt;&gt;"",WEEKDAY(AZ$1,2)&lt;6),1,0),IF(AND(BB124&lt;&gt;"",WEEKDAY(BB$1,2)&lt;6),1,0),IF(AND(BD124&lt;&gt;"",WEEKDAY(BD$1,2)&lt;6),1,0),IF(AND(BF124&lt;&gt;"",WEEKDAY(BF$1,2)&lt;6),1,0),IF(AND(BH124&lt;&gt;"",WEEKDAY(BH$1,2)&lt;6),1,0),IF(AND(BJ124&lt;&gt;"",WEEKDAY(BJ$1,2)&lt;6),1,0),IF(AND(BL124&lt;&gt;"",WEEKDAY(BL$1,2)&lt;6),1,0))</f>
        <v>0</v>
      </c>
      <c r="BO124" s="85">
        <f>SUM(IF(AND(E124&lt;&gt;"",WEEKDAY(D$1,2)&lt;6),1,0),IF(AND(G124&lt;&gt;"",WEEKDAY(F$1,2)&lt;6),1,0),IF(AND(I124&lt;&gt;"",WEEKDAY(H$1,2)&lt;6),1,0),IF(AND(K124&lt;&gt;"",WEEKDAY(J$1,2)&lt;6),1,0),IF(AND(M124&lt;&gt;"",WEEKDAY(L$1,2)&lt;6),1,0),IF(AND(O124&lt;&gt;"",WEEKDAY(N$1,2)&lt;6),1,0),IF(AND(Q124&lt;&gt;"",WEEKDAY(P$1,2)&lt;6),1,0),IF(AND(S124&lt;&gt;"",WEEKDAY(R$1,2)&lt;6),1,0),IF(AND(U124&lt;&gt;"",WEEKDAY(T$1,2)&lt;6),1,0),IF(AND(W124&lt;&gt;"",WEEKDAY(V$1,2)&lt;6),1,0),IF(AND(Y124&lt;&gt;"",WEEKDAY(X$1,2)&lt;6),1,0),IF(AND(AA124&lt;&gt;"",WEEKDAY(Z$1,2)&lt;6),1,0),IF(AND(AC124&lt;&gt;"",WEEKDAY(AB$1,2)&lt;6),1,0),IF(AND(AE124&lt;&gt;"",WEEKDAY(AD$1,2)&lt;6),1,0),IF(AND(AG124&lt;&gt;"",WEEKDAY(AF$1,2)&lt;6),1,0),IF(AND(AI124&lt;&gt;"",WEEKDAY(AH$1,2)&lt;6),1,0),IF(AND(AK124&lt;&gt;"",WEEKDAY(AJ$1,2)&lt;6),1,0),IF(AND(AM124&lt;&gt;"",WEEKDAY(AL$1,2)&lt;6),1,0),IF(AND(AO124&lt;&gt;"",WEEKDAY(AN$1,2)&lt;6),1,0),IF(AND(AQ124&lt;&gt;"",WEEKDAY(AP$1,2)&lt;6),1,0),IF(AND(AS124&lt;&gt;"",WEEKDAY(AR$1,2)&lt;6),1,0),IF(AND(AU124&lt;&gt;"",WEEKDAY(AT$1,2)&lt;6),1,0),IF(AND(AW124&lt;&gt;"",WEEKDAY(AV$1,2)&lt;6),1,0),IF(AND(AY124&lt;&gt;"",WEEKDAY(AX$1,2)&lt;6),1,0),IF(AND(BA124&lt;&gt;"",WEEKDAY(AZ$1,2)&lt;6),1,0),IF(AND(BC124&lt;&gt;"",WEEKDAY(BB$1,2)&lt;6),1,0),IF(AND(BE124&lt;&gt;"",WEEKDAY(BD$1,2)&lt;6),1,0),IF(AND(BG124&lt;&gt;"",WEEKDAY(BF$1,2)&lt;6),1,0),IF(AND(BI124&lt;&gt;"",WEEKDAY(BH$1,2)&lt;6),1,0),IF(AND(BK124&lt;&gt;"",WEEKDAY(BJ$1,2)&lt;6),1,0),IF(AND(BM124&lt;&gt;"",WEEKDAY(BL$1,2)&lt;6),1,0))</f>
        <v>0</v>
      </c>
      <c r="BP124" s="85">
        <f>SUM(IF(AND((D124&lt;&gt;"")+(E124&lt;&gt;""),WEEKDAY(D$1,2)=6),1,0),IF(AND((F124&lt;&gt;"")+(G124&lt;&gt;""),WEEKDAY(F$1,2)=6),1,0),IF(AND((H124&lt;&gt;"")+(I124&lt;&gt;""),WEEKDAY(H$1,2)=6),1,0),IF(AND((J124&lt;&gt;"")+(K124&lt;&gt;""),WEEKDAY(J$1,2)=6),1,0),IF(AND((L124&lt;&gt;"")+(M124&lt;&gt;""),WEEKDAY(L$1,2)=6),1,0),IF(AND((N124&lt;&gt;"")+(O124&lt;&gt;""),WEEKDAY(N$1,2)=6),1,0),IF(AND((P124&lt;&gt;"")+(Q124&lt;&gt;""),WEEKDAY(P$1,2)=6),1,0),IF(AND((R124&lt;&gt;"")+(S124&lt;&gt;""),WEEKDAY(R$1,2)=6),1,0),IF(AND((T124&lt;&gt;"")+(U124&lt;&gt;""),WEEKDAY(T$1,2)=6),1,0),IF(AND((V124&lt;&gt;"")+(W124&lt;&gt;""),WEEKDAY(V$1,2)=6),1,0),IF(AND((X124&lt;&gt;"")+(Y124&lt;&gt;""),WEEKDAY(X$1,2)=6),1,0),IF(AND((Z124&lt;&gt;"")+(AA124&lt;&gt;""),WEEKDAY(Z$1,2)=6),1,0),IF(AND((AB124&lt;&gt;"")+(AC124&lt;&gt;""),WEEKDAY(AB$1,2)=6),1,0),IF(AND((AD124&lt;&gt;"")+(AE124&lt;&gt;""),WEEKDAY(AD$1,2)=6),1,0),IF(AND((AF124&lt;&gt;"")+(AG124&lt;&gt;""),WEEKDAY(AF$1,2)=6),1,0),IF(AND((AH124&lt;&gt;"")+(AI124&lt;&gt;""),WEEKDAY(AH$1,2)=6),1,0),IF(AND((AJ124&lt;&gt;"")+(AK124&lt;&gt;""),WEEKDAY(AJ$1,2)=6),1,0),IF(AND((AL124&lt;&gt;"")+(AM124&lt;&gt;""),WEEKDAY(AL$1,2)=6),1,0),IF(AND((AN124&lt;&gt;"")+(AO124&lt;&gt;""),WEEKDAY(AN$1,2)=6),1,0),IF(AND((AP124&lt;&gt;"")+(AQ124&lt;&gt;""),WEEKDAY(AP$1,2)=6),1,0),IF(AND((AR124&lt;&gt;"")+(AS124&lt;&gt;""),WEEKDAY(AR$1,2)=6),1,0),IF(AND((AT124&lt;&gt;"")+(AU124&lt;&gt;""),WEEKDAY(AT$1,2)=6),1,0),IF(AND((AV124&lt;&gt;"")+(AW124&lt;&gt;""),WEEKDAY(AV$1,2)=6),1,0),IF(AND((AX124&lt;&gt;"")+(AY124&lt;&gt;""),WEEKDAY(AX$1,2)=6),1,0),IF(AND((AZ124&lt;&gt;"")+(BA124&lt;&gt;""),WEEKDAY(AZ$1,2)=6),1,0),IF(AND((BB124&lt;&gt;"")+(BC124&lt;&gt;""),WEEKDAY(BB$1,2)=6),1,0),IF(AND((BD124&lt;&gt;"")+(BE124&lt;&gt;""),WEEKDAY(BD$1,2)=6),1,0),IF(AND((BF124&lt;&gt;"")+(BG124&lt;&gt;""),WEEKDAY(BF$1,2)=6),1,0),IF(AND((BH124&lt;&gt;"")+(BI124&lt;&gt;""),WEEKDAY(BH$1,2)=6),1,0),IF(AND((BJ124&lt;&gt;"")+(BK124&lt;&gt;""),WEEKDAY(BJ$1,2)=6),1,0),IF(AND((BL124&lt;&gt;"")+(BM124&lt;&gt;""),WEEKDAY(BL$1,2)=6),1,0))</f>
        <v>0</v>
      </c>
    </row>
    <row r="125" spans="1:68" ht="16.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>
        <f>SUM(IF(AND(D125&lt;&gt;"",WEEKDAY(D$1,2)&lt;6),1,0),IF(AND(F125&lt;&gt;"",WEEKDAY(F$1,2)&lt;6),1,0),IF(AND(H125&lt;&gt;"",WEEKDAY(H$1,2)&lt;6),1,0),IF(AND(J125&lt;&gt;"",WEEKDAY(J$1,2)&lt;6),1,0),IF(AND(L125&lt;&gt;"",WEEKDAY(L$1,2)&lt;6),1,0),IF(AND(N125&lt;&gt;"",WEEKDAY(N$1,2)&lt;6),1,0),IF(AND(P125&lt;&gt;"",WEEKDAY(P$1,2)&lt;6),1,0),IF(AND(R125&lt;&gt;"",WEEKDAY(R$1,2)&lt;6),1,0),IF(AND(T125&lt;&gt;"",WEEKDAY(T$1,2)&lt;6),1,0),IF(AND(V125&lt;&gt;"",WEEKDAY(V$1,2)&lt;6),1,0),IF(AND(X125&lt;&gt;"",WEEKDAY(X$1,2)&lt;6),1,0),IF(AND(Z125&lt;&gt;"",WEEKDAY(Z$1,2)&lt;6),1,0),IF(AND(AB125&lt;&gt;"",WEEKDAY(AB$1,2)&lt;6),1,0),IF(AND(AD125&lt;&gt;"",WEEKDAY(AD$1,2)&lt;6),1,0),IF(AND(AF125&lt;&gt;"",WEEKDAY(AF$1,2)&lt;6),1,0),IF(AND(AH125&lt;&gt;"",WEEKDAY(AH$1,2)&lt;6),1,0),IF(AND(AJ125&lt;&gt;"",WEEKDAY(AJ$1,2)&lt;6),1,0),IF(AND(AL125&lt;&gt;"",WEEKDAY(AL$1,2)&lt;6),1,0),IF(AND(AN125&lt;&gt;"",WEEKDAY(AN$1,2)&lt;6),1,0),IF(AND(AP125&lt;&gt;"",WEEKDAY(AP$1,2)&lt;6),1,0),IF(AND(AR125&lt;&gt;"",WEEKDAY(AR$1,2)&lt;6),1,0),IF(AND(AT125&lt;&gt;"",WEEKDAY(AT$1,2)&lt;6),1,0),IF(AND(AV125&lt;&gt;"",WEEKDAY(AV$1,2)&lt;6),1,0),IF(AND(AX125&lt;&gt;"",WEEKDAY(AX$1,2)&lt;6),1,0),IF(AND(AZ125&lt;&gt;"",WEEKDAY(AZ$1,2)&lt;6),1,0),IF(AND(BB125&lt;&gt;"",WEEKDAY(BB$1,2)&lt;6),1,0),IF(AND(BD125&lt;&gt;"",WEEKDAY(BD$1,2)&lt;6),1,0),IF(AND(BF125&lt;&gt;"",WEEKDAY(BF$1,2)&lt;6),1,0),IF(AND(BH125&lt;&gt;"",WEEKDAY(BH$1,2)&lt;6),1,0),IF(AND(BJ125&lt;&gt;"",WEEKDAY(BJ$1,2)&lt;6),1,0),IF(AND(BL125&lt;&gt;"",WEEKDAY(BL$1,2)&lt;6),1,0))</f>
        <v>0</v>
      </c>
      <c r="BO125" s="85">
        <f>SUM(IF(AND(E125&lt;&gt;"",WEEKDAY(D$1,2)&lt;6),1,0),IF(AND(G125&lt;&gt;"",WEEKDAY(F$1,2)&lt;6),1,0),IF(AND(I125&lt;&gt;"",WEEKDAY(H$1,2)&lt;6),1,0),IF(AND(K125&lt;&gt;"",WEEKDAY(J$1,2)&lt;6),1,0),IF(AND(M125&lt;&gt;"",WEEKDAY(L$1,2)&lt;6),1,0),IF(AND(O125&lt;&gt;"",WEEKDAY(N$1,2)&lt;6),1,0),IF(AND(Q125&lt;&gt;"",WEEKDAY(P$1,2)&lt;6),1,0),IF(AND(S125&lt;&gt;"",WEEKDAY(R$1,2)&lt;6),1,0),IF(AND(U125&lt;&gt;"",WEEKDAY(T$1,2)&lt;6),1,0),IF(AND(W125&lt;&gt;"",WEEKDAY(V$1,2)&lt;6),1,0),IF(AND(Y125&lt;&gt;"",WEEKDAY(X$1,2)&lt;6),1,0),IF(AND(AA125&lt;&gt;"",WEEKDAY(Z$1,2)&lt;6),1,0),IF(AND(AC125&lt;&gt;"",WEEKDAY(AB$1,2)&lt;6),1,0),IF(AND(AE125&lt;&gt;"",WEEKDAY(AD$1,2)&lt;6),1,0),IF(AND(AG125&lt;&gt;"",WEEKDAY(AF$1,2)&lt;6),1,0),IF(AND(AI125&lt;&gt;"",WEEKDAY(AH$1,2)&lt;6),1,0),IF(AND(AK125&lt;&gt;"",WEEKDAY(AJ$1,2)&lt;6),1,0),IF(AND(AM125&lt;&gt;"",WEEKDAY(AL$1,2)&lt;6),1,0),IF(AND(AO125&lt;&gt;"",WEEKDAY(AN$1,2)&lt;6),1,0),IF(AND(AQ125&lt;&gt;"",WEEKDAY(AP$1,2)&lt;6),1,0),IF(AND(AS125&lt;&gt;"",WEEKDAY(AR$1,2)&lt;6),1,0),IF(AND(AU125&lt;&gt;"",WEEKDAY(AT$1,2)&lt;6),1,0),IF(AND(AW125&lt;&gt;"",WEEKDAY(AV$1,2)&lt;6),1,0),IF(AND(AY125&lt;&gt;"",WEEKDAY(AX$1,2)&lt;6),1,0),IF(AND(BA125&lt;&gt;"",WEEKDAY(AZ$1,2)&lt;6),1,0),IF(AND(BC125&lt;&gt;"",WEEKDAY(BB$1,2)&lt;6),1,0),IF(AND(BE125&lt;&gt;"",WEEKDAY(BD$1,2)&lt;6),1,0),IF(AND(BG125&lt;&gt;"",WEEKDAY(BF$1,2)&lt;6),1,0),IF(AND(BI125&lt;&gt;"",WEEKDAY(BH$1,2)&lt;6),1,0),IF(AND(BK125&lt;&gt;"",WEEKDAY(BJ$1,2)&lt;6),1,0),IF(AND(BM125&lt;&gt;"",WEEKDAY(BL$1,2)&lt;6),1,0))</f>
        <v>0</v>
      </c>
      <c r="BP125" s="85">
        <f>SUM(IF(AND((D125&lt;&gt;"")+(E125&lt;&gt;""),WEEKDAY(D$1,2)=6),1,0),IF(AND((F125&lt;&gt;"")+(G125&lt;&gt;""),WEEKDAY(F$1,2)=6),1,0),IF(AND((H125&lt;&gt;"")+(I125&lt;&gt;""),WEEKDAY(H$1,2)=6),1,0),IF(AND((J125&lt;&gt;"")+(K125&lt;&gt;""),WEEKDAY(J$1,2)=6),1,0),IF(AND((L125&lt;&gt;"")+(M125&lt;&gt;""),WEEKDAY(L$1,2)=6),1,0),IF(AND((N125&lt;&gt;"")+(O125&lt;&gt;""),WEEKDAY(N$1,2)=6),1,0),IF(AND((P125&lt;&gt;"")+(Q125&lt;&gt;""),WEEKDAY(P$1,2)=6),1,0),IF(AND((R125&lt;&gt;"")+(S125&lt;&gt;""),WEEKDAY(R$1,2)=6),1,0),IF(AND((T125&lt;&gt;"")+(U125&lt;&gt;""),WEEKDAY(T$1,2)=6),1,0),IF(AND((V125&lt;&gt;"")+(W125&lt;&gt;""),WEEKDAY(V$1,2)=6),1,0),IF(AND((X125&lt;&gt;"")+(Y125&lt;&gt;""),WEEKDAY(X$1,2)=6),1,0),IF(AND((Z125&lt;&gt;"")+(AA125&lt;&gt;""),WEEKDAY(Z$1,2)=6),1,0),IF(AND((AB125&lt;&gt;"")+(AC125&lt;&gt;""),WEEKDAY(AB$1,2)=6),1,0),IF(AND((AD125&lt;&gt;"")+(AE125&lt;&gt;""),WEEKDAY(AD$1,2)=6),1,0),IF(AND((AF125&lt;&gt;"")+(AG125&lt;&gt;""),WEEKDAY(AF$1,2)=6),1,0),IF(AND((AH125&lt;&gt;"")+(AI125&lt;&gt;""),WEEKDAY(AH$1,2)=6),1,0),IF(AND((AJ125&lt;&gt;"")+(AK125&lt;&gt;""),WEEKDAY(AJ$1,2)=6),1,0),IF(AND((AL125&lt;&gt;"")+(AM125&lt;&gt;""),WEEKDAY(AL$1,2)=6),1,0),IF(AND((AN125&lt;&gt;"")+(AO125&lt;&gt;""),WEEKDAY(AN$1,2)=6),1,0),IF(AND((AP125&lt;&gt;"")+(AQ125&lt;&gt;""),WEEKDAY(AP$1,2)=6),1,0),IF(AND((AR125&lt;&gt;"")+(AS125&lt;&gt;""),WEEKDAY(AR$1,2)=6),1,0),IF(AND((AT125&lt;&gt;"")+(AU125&lt;&gt;""),WEEKDAY(AT$1,2)=6),1,0),IF(AND((AV125&lt;&gt;"")+(AW125&lt;&gt;""),WEEKDAY(AV$1,2)=6),1,0),IF(AND((AX125&lt;&gt;"")+(AY125&lt;&gt;""),WEEKDAY(AX$1,2)=6),1,0),IF(AND((AZ125&lt;&gt;"")+(BA125&lt;&gt;""),WEEKDAY(AZ$1,2)=6),1,0),IF(AND((BB125&lt;&gt;"")+(BC125&lt;&gt;""),WEEKDAY(BB$1,2)=6),1,0),IF(AND((BD125&lt;&gt;"")+(BE125&lt;&gt;""),WEEKDAY(BD$1,2)=6),1,0),IF(AND((BF125&lt;&gt;"")+(BG125&lt;&gt;""),WEEKDAY(BF$1,2)=6),1,0),IF(AND((BH125&lt;&gt;"")+(BI125&lt;&gt;""),WEEKDAY(BH$1,2)=6),1,0),IF(AND((BJ125&lt;&gt;"")+(BK125&lt;&gt;""),WEEKDAY(BJ$1,2)=6),1,0),IF(AND((BL125&lt;&gt;"")+(BM125&lt;&gt;""),WEEKDAY(BL$1,2)=6),1,0))</f>
        <v>0</v>
      </c>
    </row>
    <row r="126" spans="1:68" ht="16.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>
        <f>SUM(IF(AND(D126&lt;&gt;"",WEEKDAY(D$1,2)&lt;6),1,0),IF(AND(F126&lt;&gt;"",WEEKDAY(F$1,2)&lt;6),1,0),IF(AND(H126&lt;&gt;"",WEEKDAY(H$1,2)&lt;6),1,0),IF(AND(J126&lt;&gt;"",WEEKDAY(J$1,2)&lt;6),1,0),IF(AND(L126&lt;&gt;"",WEEKDAY(L$1,2)&lt;6),1,0),IF(AND(N126&lt;&gt;"",WEEKDAY(N$1,2)&lt;6),1,0),IF(AND(P126&lt;&gt;"",WEEKDAY(P$1,2)&lt;6),1,0),IF(AND(R126&lt;&gt;"",WEEKDAY(R$1,2)&lt;6),1,0),IF(AND(T126&lt;&gt;"",WEEKDAY(T$1,2)&lt;6),1,0),IF(AND(V126&lt;&gt;"",WEEKDAY(V$1,2)&lt;6),1,0),IF(AND(X126&lt;&gt;"",WEEKDAY(X$1,2)&lt;6),1,0),IF(AND(Z126&lt;&gt;"",WEEKDAY(Z$1,2)&lt;6),1,0),IF(AND(AB126&lt;&gt;"",WEEKDAY(AB$1,2)&lt;6),1,0),IF(AND(AD126&lt;&gt;"",WEEKDAY(AD$1,2)&lt;6),1,0),IF(AND(AF126&lt;&gt;"",WEEKDAY(AF$1,2)&lt;6),1,0),IF(AND(AH126&lt;&gt;"",WEEKDAY(AH$1,2)&lt;6),1,0),IF(AND(AJ126&lt;&gt;"",WEEKDAY(AJ$1,2)&lt;6),1,0),IF(AND(AL126&lt;&gt;"",WEEKDAY(AL$1,2)&lt;6),1,0),IF(AND(AN126&lt;&gt;"",WEEKDAY(AN$1,2)&lt;6),1,0),IF(AND(AP126&lt;&gt;"",WEEKDAY(AP$1,2)&lt;6),1,0),IF(AND(AR126&lt;&gt;"",WEEKDAY(AR$1,2)&lt;6),1,0),IF(AND(AT126&lt;&gt;"",WEEKDAY(AT$1,2)&lt;6),1,0),IF(AND(AV126&lt;&gt;"",WEEKDAY(AV$1,2)&lt;6),1,0),IF(AND(AX126&lt;&gt;"",WEEKDAY(AX$1,2)&lt;6),1,0),IF(AND(AZ126&lt;&gt;"",WEEKDAY(AZ$1,2)&lt;6),1,0),IF(AND(BB126&lt;&gt;"",WEEKDAY(BB$1,2)&lt;6),1,0),IF(AND(BD126&lt;&gt;"",WEEKDAY(BD$1,2)&lt;6),1,0),IF(AND(BF126&lt;&gt;"",WEEKDAY(BF$1,2)&lt;6),1,0),IF(AND(BH126&lt;&gt;"",WEEKDAY(BH$1,2)&lt;6),1,0),IF(AND(BJ126&lt;&gt;"",WEEKDAY(BJ$1,2)&lt;6),1,0),IF(AND(BL126&lt;&gt;"",WEEKDAY(BL$1,2)&lt;6),1,0))</f>
        <v>0</v>
      </c>
      <c r="BO126" s="85">
        <f>SUM(IF(AND(E126&lt;&gt;"",WEEKDAY(D$1,2)&lt;6),1,0),IF(AND(G126&lt;&gt;"",WEEKDAY(F$1,2)&lt;6),1,0),IF(AND(I126&lt;&gt;"",WEEKDAY(H$1,2)&lt;6),1,0),IF(AND(K126&lt;&gt;"",WEEKDAY(J$1,2)&lt;6),1,0),IF(AND(M126&lt;&gt;"",WEEKDAY(L$1,2)&lt;6),1,0),IF(AND(O126&lt;&gt;"",WEEKDAY(N$1,2)&lt;6),1,0),IF(AND(Q126&lt;&gt;"",WEEKDAY(P$1,2)&lt;6),1,0),IF(AND(S126&lt;&gt;"",WEEKDAY(R$1,2)&lt;6),1,0),IF(AND(U126&lt;&gt;"",WEEKDAY(T$1,2)&lt;6),1,0),IF(AND(W126&lt;&gt;"",WEEKDAY(V$1,2)&lt;6),1,0),IF(AND(Y126&lt;&gt;"",WEEKDAY(X$1,2)&lt;6),1,0),IF(AND(AA126&lt;&gt;"",WEEKDAY(Z$1,2)&lt;6),1,0),IF(AND(AC126&lt;&gt;"",WEEKDAY(AB$1,2)&lt;6),1,0),IF(AND(AE126&lt;&gt;"",WEEKDAY(AD$1,2)&lt;6),1,0),IF(AND(AG126&lt;&gt;"",WEEKDAY(AF$1,2)&lt;6),1,0),IF(AND(AI126&lt;&gt;"",WEEKDAY(AH$1,2)&lt;6),1,0),IF(AND(AK126&lt;&gt;"",WEEKDAY(AJ$1,2)&lt;6),1,0),IF(AND(AM126&lt;&gt;"",WEEKDAY(AL$1,2)&lt;6),1,0),IF(AND(AO126&lt;&gt;"",WEEKDAY(AN$1,2)&lt;6),1,0),IF(AND(AQ126&lt;&gt;"",WEEKDAY(AP$1,2)&lt;6),1,0),IF(AND(AS126&lt;&gt;"",WEEKDAY(AR$1,2)&lt;6),1,0),IF(AND(AU126&lt;&gt;"",WEEKDAY(AT$1,2)&lt;6),1,0),IF(AND(AW126&lt;&gt;"",WEEKDAY(AV$1,2)&lt;6),1,0),IF(AND(AY126&lt;&gt;"",WEEKDAY(AX$1,2)&lt;6),1,0),IF(AND(BA126&lt;&gt;"",WEEKDAY(AZ$1,2)&lt;6),1,0),IF(AND(BC126&lt;&gt;"",WEEKDAY(BB$1,2)&lt;6),1,0),IF(AND(BE126&lt;&gt;"",WEEKDAY(BD$1,2)&lt;6),1,0),IF(AND(BG126&lt;&gt;"",WEEKDAY(BF$1,2)&lt;6),1,0),IF(AND(BI126&lt;&gt;"",WEEKDAY(BH$1,2)&lt;6),1,0),IF(AND(BK126&lt;&gt;"",WEEKDAY(BJ$1,2)&lt;6),1,0),IF(AND(BM126&lt;&gt;"",WEEKDAY(BL$1,2)&lt;6),1,0))</f>
        <v>0</v>
      </c>
      <c r="BP126" s="85">
        <f>SUM(IF(AND((D126&lt;&gt;"")+(E126&lt;&gt;""),WEEKDAY(D$1,2)=6),1,0),IF(AND((F126&lt;&gt;"")+(G126&lt;&gt;""),WEEKDAY(F$1,2)=6),1,0),IF(AND((H126&lt;&gt;"")+(I126&lt;&gt;""),WEEKDAY(H$1,2)=6),1,0),IF(AND((J126&lt;&gt;"")+(K126&lt;&gt;""),WEEKDAY(J$1,2)=6),1,0),IF(AND((L126&lt;&gt;"")+(M126&lt;&gt;""),WEEKDAY(L$1,2)=6),1,0),IF(AND((N126&lt;&gt;"")+(O126&lt;&gt;""),WEEKDAY(N$1,2)=6),1,0),IF(AND((P126&lt;&gt;"")+(Q126&lt;&gt;""),WEEKDAY(P$1,2)=6),1,0),IF(AND((R126&lt;&gt;"")+(S126&lt;&gt;""),WEEKDAY(R$1,2)=6),1,0),IF(AND((T126&lt;&gt;"")+(U126&lt;&gt;""),WEEKDAY(T$1,2)=6),1,0),IF(AND((V126&lt;&gt;"")+(W126&lt;&gt;""),WEEKDAY(V$1,2)=6),1,0),IF(AND((X126&lt;&gt;"")+(Y126&lt;&gt;""),WEEKDAY(X$1,2)=6),1,0),IF(AND((Z126&lt;&gt;"")+(AA126&lt;&gt;""),WEEKDAY(Z$1,2)=6),1,0),IF(AND((AB126&lt;&gt;"")+(AC126&lt;&gt;""),WEEKDAY(AB$1,2)=6),1,0),IF(AND((AD126&lt;&gt;"")+(AE126&lt;&gt;""),WEEKDAY(AD$1,2)=6),1,0),IF(AND((AF126&lt;&gt;"")+(AG126&lt;&gt;""),WEEKDAY(AF$1,2)=6),1,0),IF(AND((AH126&lt;&gt;"")+(AI126&lt;&gt;""),WEEKDAY(AH$1,2)=6),1,0),IF(AND((AJ126&lt;&gt;"")+(AK126&lt;&gt;""),WEEKDAY(AJ$1,2)=6),1,0),IF(AND((AL126&lt;&gt;"")+(AM126&lt;&gt;""),WEEKDAY(AL$1,2)=6),1,0),IF(AND((AN126&lt;&gt;"")+(AO126&lt;&gt;""),WEEKDAY(AN$1,2)=6),1,0),IF(AND((AP126&lt;&gt;"")+(AQ126&lt;&gt;""),WEEKDAY(AP$1,2)=6),1,0),IF(AND((AR126&lt;&gt;"")+(AS126&lt;&gt;""),WEEKDAY(AR$1,2)=6),1,0),IF(AND((AT126&lt;&gt;"")+(AU126&lt;&gt;""),WEEKDAY(AT$1,2)=6),1,0),IF(AND((AV126&lt;&gt;"")+(AW126&lt;&gt;""),WEEKDAY(AV$1,2)=6),1,0),IF(AND((AX126&lt;&gt;"")+(AY126&lt;&gt;""),WEEKDAY(AX$1,2)=6),1,0),IF(AND((AZ126&lt;&gt;"")+(BA126&lt;&gt;""),WEEKDAY(AZ$1,2)=6),1,0),IF(AND((BB126&lt;&gt;"")+(BC126&lt;&gt;""),WEEKDAY(BB$1,2)=6),1,0),IF(AND((BD126&lt;&gt;"")+(BE126&lt;&gt;""),WEEKDAY(BD$1,2)=6),1,0),IF(AND((BF126&lt;&gt;"")+(BG126&lt;&gt;""),WEEKDAY(BF$1,2)=6),1,0),IF(AND((BH126&lt;&gt;"")+(BI126&lt;&gt;""),WEEKDAY(BH$1,2)=6),1,0),IF(AND((BJ126&lt;&gt;"")+(BK126&lt;&gt;""),WEEKDAY(BJ$1,2)=6),1,0),IF(AND((BL126&lt;&gt;"")+(BM126&lt;&gt;""),WEEKDAY(BL$1,2)=6),1,0))</f>
        <v>0</v>
      </c>
    </row>
    <row r="127" spans="1:68" ht="16.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>
        <f>SUM(IF(AND(D127&lt;&gt;"",WEEKDAY(D$1,2)&lt;6),1,0),IF(AND(F127&lt;&gt;"",WEEKDAY(F$1,2)&lt;6),1,0),IF(AND(H127&lt;&gt;"",WEEKDAY(H$1,2)&lt;6),1,0),IF(AND(J127&lt;&gt;"",WEEKDAY(J$1,2)&lt;6),1,0),IF(AND(L127&lt;&gt;"",WEEKDAY(L$1,2)&lt;6),1,0),IF(AND(N127&lt;&gt;"",WEEKDAY(N$1,2)&lt;6),1,0),IF(AND(P127&lt;&gt;"",WEEKDAY(P$1,2)&lt;6),1,0),IF(AND(R127&lt;&gt;"",WEEKDAY(R$1,2)&lt;6),1,0),IF(AND(T127&lt;&gt;"",WEEKDAY(T$1,2)&lt;6),1,0),IF(AND(V127&lt;&gt;"",WEEKDAY(V$1,2)&lt;6),1,0),IF(AND(X127&lt;&gt;"",WEEKDAY(X$1,2)&lt;6),1,0),IF(AND(Z127&lt;&gt;"",WEEKDAY(Z$1,2)&lt;6),1,0),IF(AND(AB127&lt;&gt;"",WEEKDAY(AB$1,2)&lt;6),1,0),IF(AND(AD127&lt;&gt;"",WEEKDAY(AD$1,2)&lt;6),1,0),IF(AND(AF127&lt;&gt;"",WEEKDAY(AF$1,2)&lt;6),1,0),IF(AND(AH127&lt;&gt;"",WEEKDAY(AH$1,2)&lt;6),1,0),IF(AND(AJ127&lt;&gt;"",WEEKDAY(AJ$1,2)&lt;6),1,0),IF(AND(AL127&lt;&gt;"",WEEKDAY(AL$1,2)&lt;6),1,0),IF(AND(AN127&lt;&gt;"",WEEKDAY(AN$1,2)&lt;6),1,0),IF(AND(AP127&lt;&gt;"",WEEKDAY(AP$1,2)&lt;6),1,0),IF(AND(AR127&lt;&gt;"",WEEKDAY(AR$1,2)&lt;6),1,0),IF(AND(AT127&lt;&gt;"",WEEKDAY(AT$1,2)&lt;6),1,0),IF(AND(AV127&lt;&gt;"",WEEKDAY(AV$1,2)&lt;6),1,0),IF(AND(AX127&lt;&gt;"",WEEKDAY(AX$1,2)&lt;6),1,0),IF(AND(AZ127&lt;&gt;"",WEEKDAY(AZ$1,2)&lt;6),1,0),IF(AND(BB127&lt;&gt;"",WEEKDAY(BB$1,2)&lt;6),1,0),IF(AND(BD127&lt;&gt;"",WEEKDAY(BD$1,2)&lt;6),1,0),IF(AND(BF127&lt;&gt;"",WEEKDAY(BF$1,2)&lt;6),1,0),IF(AND(BH127&lt;&gt;"",WEEKDAY(BH$1,2)&lt;6),1,0),IF(AND(BJ127&lt;&gt;"",WEEKDAY(BJ$1,2)&lt;6),1,0),IF(AND(BL127&lt;&gt;"",WEEKDAY(BL$1,2)&lt;6),1,0))</f>
        <v>0</v>
      </c>
      <c r="BO127" s="85">
        <f>SUM(IF(AND(E127&lt;&gt;"",WEEKDAY(D$1,2)&lt;6),1,0),IF(AND(G127&lt;&gt;"",WEEKDAY(F$1,2)&lt;6),1,0),IF(AND(I127&lt;&gt;"",WEEKDAY(H$1,2)&lt;6),1,0),IF(AND(K127&lt;&gt;"",WEEKDAY(J$1,2)&lt;6),1,0),IF(AND(M127&lt;&gt;"",WEEKDAY(L$1,2)&lt;6),1,0),IF(AND(O127&lt;&gt;"",WEEKDAY(N$1,2)&lt;6),1,0),IF(AND(Q127&lt;&gt;"",WEEKDAY(P$1,2)&lt;6),1,0),IF(AND(S127&lt;&gt;"",WEEKDAY(R$1,2)&lt;6),1,0),IF(AND(U127&lt;&gt;"",WEEKDAY(T$1,2)&lt;6),1,0),IF(AND(W127&lt;&gt;"",WEEKDAY(V$1,2)&lt;6),1,0),IF(AND(Y127&lt;&gt;"",WEEKDAY(X$1,2)&lt;6),1,0),IF(AND(AA127&lt;&gt;"",WEEKDAY(Z$1,2)&lt;6),1,0),IF(AND(AC127&lt;&gt;"",WEEKDAY(AB$1,2)&lt;6),1,0),IF(AND(AE127&lt;&gt;"",WEEKDAY(AD$1,2)&lt;6),1,0),IF(AND(AG127&lt;&gt;"",WEEKDAY(AF$1,2)&lt;6),1,0),IF(AND(AI127&lt;&gt;"",WEEKDAY(AH$1,2)&lt;6),1,0),IF(AND(AK127&lt;&gt;"",WEEKDAY(AJ$1,2)&lt;6),1,0),IF(AND(AM127&lt;&gt;"",WEEKDAY(AL$1,2)&lt;6),1,0),IF(AND(AO127&lt;&gt;"",WEEKDAY(AN$1,2)&lt;6),1,0),IF(AND(AQ127&lt;&gt;"",WEEKDAY(AP$1,2)&lt;6),1,0),IF(AND(AS127&lt;&gt;"",WEEKDAY(AR$1,2)&lt;6),1,0),IF(AND(AU127&lt;&gt;"",WEEKDAY(AT$1,2)&lt;6),1,0),IF(AND(AW127&lt;&gt;"",WEEKDAY(AV$1,2)&lt;6),1,0),IF(AND(AY127&lt;&gt;"",WEEKDAY(AX$1,2)&lt;6),1,0),IF(AND(BA127&lt;&gt;"",WEEKDAY(AZ$1,2)&lt;6),1,0),IF(AND(BC127&lt;&gt;"",WEEKDAY(BB$1,2)&lt;6),1,0),IF(AND(BE127&lt;&gt;"",WEEKDAY(BD$1,2)&lt;6),1,0),IF(AND(BG127&lt;&gt;"",WEEKDAY(BF$1,2)&lt;6),1,0),IF(AND(BI127&lt;&gt;"",WEEKDAY(BH$1,2)&lt;6),1,0),IF(AND(BK127&lt;&gt;"",WEEKDAY(BJ$1,2)&lt;6),1,0),IF(AND(BM127&lt;&gt;"",WEEKDAY(BL$1,2)&lt;6),1,0))</f>
        <v>0</v>
      </c>
      <c r="BP127" s="85">
        <f>SUM(IF(AND((D127&lt;&gt;"")+(E127&lt;&gt;""),WEEKDAY(D$1,2)=6),1,0),IF(AND((F127&lt;&gt;"")+(G127&lt;&gt;""),WEEKDAY(F$1,2)=6),1,0),IF(AND((H127&lt;&gt;"")+(I127&lt;&gt;""),WEEKDAY(H$1,2)=6),1,0),IF(AND((J127&lt;&gt;"")+(K127&lt;&gt;""),WEEKDAY(J$1,2)=6),1,0),IF(AND((L127&lt;&gt;"")+(M127&lt;&gt;""),WEEKDAY(L$1,2)=6),1,0),IF(AND((N127&lt;&gt;"")+(O127&lt;&gt;""),WEEKDAY(N$1,2)=6),1,0),IF(AND((P127&lt;&gt;"")+(Q127&lt;&gt;""),WEEKDAY(P$1,2)=6),1,0),IF(AND((R127&lt;&gt;"")+(S127&lt;&gt;""),WEEKDAY(R$1,2)=6),1,0),IF(AND((T127&lt;&gt;"")+(U127&lt;&gt;""),WEEKDAY(T$1,2)=6),1,0),IF(AND((V127&lt;&gt;"")+(W127&lt;&gt;""),WEEKDAY(V$1,2)=6),1,0),IF(AND((X127&lt;&gt;"")+(Y127&lt;&gt;""),WEEKDAY(X$1,2)=6),1,0),IF(AND((Z127&lt;&gt;"")+(AA127&lt;&gt;""),WEEKDAY(Z$1,2)=6),1,0),IF(AND((AB127&lt;&gt;"")+(AC127&lt;&gt;""),WEEKDAY(AB$1,2)=6),1,0),IF(AND((AD127&lt;&gt;"")+(AE127&lt;&gt;""),WEEKDAY(AD$1,2)=6),1,0),IF(AND((AF127&lt;&gt;"")+(AG127&lt;&gt;""),WEEKDAY(AF$1,2)=6),1,0),IF(AND((AH127&lt;&gt;"")+(AI127&lt;&gt;""),WEEKDAY(AH$1,2)=6),1,0),IF(AND((AJ127&lt;&gt;"")+(AK127&lt;&gt;""),WEEKDAY(AJ$1,2)=6),1,0),IF(AND((AL127&lt;&gt;"")+(AM127&lt;&gt;""),WEEKDAY(AL$1,2)=6),1,0),IF(AND((AN127&lt;&gt;"")+(AO127&lt;&gt;""),WEEKDAY(AN$1,2)=6),1,0),IF(AND((AP127&lt;&gt;"")+(AQ127&lt;&gt;""),WEEKDAY(AP$1,2)=6),1,0),IF(AND((AR127&lt;&gt;"")+(AS127&lt;&gt;""),WEEKDAY(AR$1,2)=6),1,0),IF(AND((AT127&lt;&gt;"")+(AU127&lt;&gt;""),WEEKDAY(AT$1,2)=6),1,0),IF(AND((AV127&lt;&gt;"")+(AW127&lt;&gt;""),WEEKDAY(AV$1,2)=6),1,0),IF(AND((AX127&lt;&gt;"")+(AY127&lt;&gt;""),WEEKDAY(AX$1,2)=6),1,0),IF(AND((AZ127&lt;&gt;"")+(BA127&lt;&gt;""),WEEKDAY(AZ$1,2)=6),1,0),IF(AND((BB127&lt;&gt;"")+(BC127&lt;&gt;""),WEEKDAY(BB$1,2)=6),1,0),IF(AND((BD127&lt;&gt;"")+(BE127&lt;&gt;""),WEEKDAY(BD$1,2)=6),1,0),IF(AND((BF127&lt;&gt;"")+(BG127&lt;&gt;""),WEEKDAY(BF$1,2)=6),1,0),IF(AND((BH127&lt;&gt;"")+(BI127&lt;&gt;""),WEEKDAY(BH$1,2)=6),1,0),IF(AND((BJ127&lt;&gt;"")+(BK127&lt;&gt;""),WEEKDAY(BJ$1,2)=6),1,0),IF(AND((BL127&lt;&gt;"")+(BM127&lt;&gt;""),WEEKDAY(BL$1,2)=6),1,0))</f>
        <v>0</v>
      </c>
    </row>
    <row r="128" spans="1:68" ht="16.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>
        <f>SUM(IF(AND(D128&lt;&gt;"",WEEKDAY(D$1,2)&lt;6),1,0),IF(AND(F128&lt;&gt;"",WEEKDAY(F$1,2)&lt;6),1,0),IF(AND(H128&lt;&gt;"",WEEKDAY(H$1,2)&lt;6),1,0),IF(AND(J128&lt;&gt;"",WEEKDAY(J$1,2)&lt;6),1,0),IF(AND(L128&lt;&gt;"",WEEKDAY(L$1,2)&lt;6),1,0),IF(AND(N128&lt;&gt;"",WEEKDAY(N$1,2)&lt;6),1,0),IF(AND(P128&lt;&gt;"",WEEKDAY(P$1,2)&lt;6),1,0),IF(AND(R128&lt;&gt;"",WEEKDAY(R$1,2)&lt;6),1,0),IF(AND(T128&lt;&gt;"",WEEKDAY(T$1,2)&lt;6),1,0),IF(AND(V128&lt;&gt;"",WEEKDAY(V$1,2)&lt;6),1,0),IF(AND(X128&lt;&gt;"",WEEKDAY(X$1,2)&lt;6),1,0),IF(AND(Z128&lt;&gt;"",WEEKDAY(Z$1,2)&lt;6),1,0),IF(AND(AB128&lt;&gt;"",WEEKDAY(AB$1,2)&lt;6),1,0),IF(AND(AD128&lt;&gt;"",WEEKDAY(AD$1,2)&lt;6),1,0),IF(AND(AF128&lt;&gt;"",WEEKDAY(AF$1,2)&lt;6),1,0),IF(AND(AH128&lt;&gt;"",WEEKDAY(AH$1,2)&lt;6),1,0),IF(AND(AJ128&lt;&gt;"",WEEKDAY(AJ$1,2)&lt;6),1,0),IF(AND(AL128&lt;&gt;"",WEEKDAY(AL$1,2)&lt;6),1,0),IF(AND(AN128&lt;&gt;"",WEEKDAY(AN$1,2)&lt;6),1,0),IF(AND(AP128&lt;&gt;"",WEEKDAY(AP$1,2)&lt;6),1,0),IF(AND(AR128&lt;&gt;"",WEEKDAY(AR$1,2)&lt;6),1,0),IF(AND(AT128&lt;&gt;"",WEEKDAY(AT$1,2)&lt;6),1,0),IF(AND(AV128&lt;&gt;"",WEEKDAY(AV$1,2)&lt;6),1,0),IF(AND(AX128&lt;&gt;"",WEEKDAY(AX$1,2)&lt;6),1,0),IF(AND(AZ128&lt;&gt;"",WEEKDAY(AZ$1,2)&lt;6),1,0),IF(AND(BB128&lt;&gt;"",WEEKDAY(BB$1,2)&lt;6),1,0),IF(AND(BD128&lt;&gt;"",WEEKDAY(BD$1,2)&lt;6),1,0),IF(AND(BF128&lt;&gt;"",WEEKDAY(BF$1,2)&lt;6),1,0),IF(AND(BH128&lt;&gt;"",WEEKDAY(BH$1,2)&lt;6),1,0),IF(AND(BJ128&lt;&gt;"",WEEKDAY(BJ$1,2)&lt;6),1,0),IF(AND(BL128&lt;&gt;"",WEEKDAY(BL$1,2)&lt;6),1,0))</f>
        <v>0</v>
      </c>
      <c r="BO128" s="85">
        <f>SUM(IF(AND(E128&lt;&gt;"",WEEKDAY(D$1,2)&lt;6),1,0),IF(AND(G128&lt;&gt;"",WEEKDAY(F$1,2)&lt;6),1,0),IF(AND(I128&lt;&gt;"",WEEKDAY(H$1,2)&lt;6),1,0),IF(AND(K128&lt;&gt;"",WEEKDAY(J$1,2)&lt;6),1,0),IF(AND(M128&lt;&gt;"",WEEKDAY(L$1,2)&lt;6),1,0),IF(AND(O128&lt;&gt;"",WEEKDAY(N$1,2)&lt;6),1,0),IF(AND(Q128&lt;&gt;"",WEEKDAY(P$1,2)&lt;6),1,0),IF(AND(S128&lt;&gt;"",WEEKDAY(R$1,2)&lt;6),1,0),IF(AND(U128&lt;&gt;"",WEEKDAY(T$1,2)&lt;6),1,0),IF(AND(W128&lt;&gt;"",WEEKDAY(V$1,2)&lt;6),1,0),IF(AND(Y128&lt;&gt;"",WEEKDAY(X$1,2)&lt;6),1,0),IF(AND(AA128&lt;&gt;"",WEEKDAY(Z$1,2)&lt;6),1,0),IF(AND(AC128&lt;&gt;"",WEEKDAY(AB$1,2)&lt;6),1,0),IF(AND(AE128&lt;&gt;"",WEEKDAY(AD$1,2)&lt;6),1,0),IF(AND(AG128&lt;&gt;"",WEEKDAY(AF$1,2)&lt;6),1,0),IF(AND(AI128&lt;&gt;"",WEEKDAY(AH$1,2)&lt;6),1,0),IF(AND(AK128&lt;&gt;"",WEEKDAY(AJ$1,2)&lt;6),1,0),IF(AND(AM128&lt;&gt;"",WEEKDAY(AL$1,2)&lt;6),1,0),IF(AND(AO128&lt;&gt;"",WEEKDAY(AN$1,2)&lt;6),1,0),IF(AND(AQ128&lt;&gt;"",WEEKDAY(AP$1,2)&lt;6),1,0),IF(AND(AS128&lt;&gt;"",WEEKDAY(AR$1,2)&lt;6),1,0),IF(AND(AU128&lt;&gt;"",WEEKDAY(AT$1,2)&lt;6),1,0),IF(AND(AW128&lt;&gt;"",WEEKDAY(AV$1,2)&lt;6),1,0),IF(AND(AY128&lt;&gt;"",WEEKDAY(AX$1,2)&lt;6),1,0),IF(AND(BA128&lt;&gt;"",WEEKDAY(AZ$1,2)&lt;6),1,0),IF(AND(BC128&lt;&gt;"",WEEKDAY(BB$1,2)&lt;6),1,0),IF(AND(BE128&lt;&gt;"",WEEKDAY(BD$1,2)&lt;6),1,0),IF(AND(BG128&lt;&gt;"",WEEKDAY(BF$1,2)&lt;6),1,0),IF(AND(BI128&lt;&gt;"",WEEKDAY(BH$1,2)&lt;6),1,0),IF(AND(BK128&lt;&gt;"",WEEKDAY(BJ$1,2)&lt;6),1,0),IF(AND(BM128&lt;&gt;"",WEEKDAY(BL$1,2)&lt;6),1,0))</f>
        <v>0</v>
      </c>
      <c r="BP128" s="85">
        <f>SUM(IF(AND((D128&lt;&gt;"")+(E128&lt;&gt;""),WEEKDAY(D$1,2)=6),1,0),IF(AND((F128&lt;&gt;"")+(G128&lt;&gt;""),WEEKDAY(F$1,2)=6),1,0),IF(AND((H128&lt;&gt;"")+(I128&lt;&gt;""),WEEKDAY(H$1,2)=6),1,0),IF(AND((J128&lt;&gt;"")+(K128&lt;&gt;""),WEEKDAY(J$1,2)=6),1,0),IF(AND((L128&lt;&gt;"")+(M128&lt;&gt;""),WEEKDAY(L$1,2)=6),1,0),IF(AND((N128&lt;&gt;"")+(O128&lt;&gt;""),WEEKDAY(N$1,2)=6),1,0),IF(AND((P128&lt;&gt;"")+(Q128&lt;&gt;""),WEEKDAY(P$1,2)=6),1,0),IF(AND((R128&lt;&gt;"")+(S128&lt;&gt;""),WEEKDAY(R$1,2)=6),1,0),IF(AND((T128&lt;&gt;"")+(U128&lt;&gt;""),WEEKDAY(T$1,2)=6),1,0),IF(AND((V128&lt;&gt;"")+(W128&lt;&gt;""),WEEKDAY(V$1,2)=6),1,0),IF(AND((X128&lt;&gt;"")+(Y128&lt;&gt;""),WEEKDAY(X$1,2)=6),1,0),IF(AND((Z128&lt;&gt;"")+(AA128&lt;&gt;""),WEEKDAY(Z$1,2)=6),1,0),IF(AND((AB128&lt;&gt;"")+(AC128&lt;&gt;""),WEEKDAY(AB$1,2)=6),1,0),IF(AND((AD128&lt;&gt;"")+(AE128&lt;&gt;""),WEEKDAY(AD$1,2)=6),1,0),IF(AND((AF128&lt;&gt;"")+(AG128&lt;&gt;""),WEEKDAY(AF$1,2)=6),1,0),IF(AND((AH128&lt;&gt;"")+(AI128&lt;&gt;""),WEEKDAY(AH$1,2)=6),1,0),IF(AND((AJ128&lt;&gt;"")+(AK128&lt;&gt;""),WEEKDAY(AJ$1,2)=6),1,0),IF(AND((AL128&lt;&gt;"")+(AM128&lt;&gt;""),WEEKDAY(AL$1,2)=6),1,0),IF(AND((AN128&lt;&gt;"")+(AO128&lt;&gt;""),WEEKDAY(AN$1,2)=6),1,0),IF(AND((AP128&lt;&gt;"")+(AQ128&lt;&gt;""),WEEKDAY(AP$1,2)=6),1,0),IF(AND((AR128&lt;&gt;"")+(AS128&lt;&gt;""),WEEKDAY(AR$1,2)=6),1,0),IF(AND((AT128&lt;&gt;"")+(AU128&lt;&gt;""),WEEKDAY(AT$1,2)=6),1,0),IF(AND((AV128&lt;&gt;"")+(AW128&lt;&gt;""),WEEKDAY(AV$1,2)=6),1,0),IF(AND((AX128&lt;&gt;"")+(AY128&lt;&gt;""),WEEKDAY(AX$1,2)=6),1,0),IF(AND((AZ128&lt;&gt;"")+(BA128&lt;&gt;""),WEEKDAY(AZ$1,2)=6),1,0),IF(AND((BB128&lt;&gt;"")+(BC128&lt;&gt;""),WEEKDAY(BB$1,2)=6),1,0),IF(AND((BD128&lt;&gt;"")+(BE128&lt;&gt;""),WEEKDAY(BD$1,2)=6),1,0),IF(AND((BF128&lt;&gt;"")+(BG128&lt;&gt;""),WEEKDAY(BF$1,2)=6),1,0),IF(AND((BH128&lt;&gt;"")+(BI128&lt;&gt;""),WEEKDAY(BH$1,2)=6),1,0),IF(AND((BJ128&lt;&gt;"")+(BK128&lt;&gt;""),WEEKDAY(BJ$1,2)=6),1,0),IF(AND((BL128&lt;&gt;"")+(BM128&lt;&gt;""),WEEKDAY(BL$1,2)=6),1,0))</f>
        <v>0</v>
      </c>
    </row>
    <row r="129" spans="1:68" ht="16.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>
        <f>SUM(IF(AND(D129&lt;&gt;"",WEEKDAY(D$1,2)&lt;6),1,0),IF(AND(F129&lt;&gt;"",WEEKDAY(F$1,2)&lt;6),1,0),IF(AND(H129&lt;&gt;"",WEEKDAY(H$1,2)&lt;6),1,0),IF(AND(J129&lt;&gt;"",WEEKDAY(J$1,2)&lt;6),1,0),IF(AND(L129&lt;&gt;"",WEEKDAY(L$1,2)&lt;6),1,0),IF(AND(N129&lt;&gt;"",WEEKDAY(N$1,2)&lt;6),1,0),IF(AND(P129&lt;&gt;"",WEEKDAY(P$1,2)&lt;6),1,0),IF(AND(R129&lt;&gt;"",WEEKDAY(R$1,2)&lt;6),1,0),IF(AND(T129&lt;&gt;"",WEEKDAY(T$1,2)&lt;6),1,0),IF(AND(V129&lt;&gt;"",WEEKDAY(V$1,2)&lt;6),1,0),IF(AND(X129&lt;&gt;"",WEEKDAY(X$1,2)&lt;6),1,0),IF(AND(Z129&lt;&gt;"",WEEKDAY(Z$1,2)&lt;6),1,0),IF(AND(AB129&lt;&gt;"",WEEKDAY(AB$1,2)&lt;6),1,0),IF(AND(AD129&lt;&gt;"",WEEKDAY(AD$1,2)&lt;6),1,0),IF(AND(AF129&lt;&gt;"",WEEKDAY(AF$1,2)&lt;6),1,0),IF(AND(AH129&lt;&gt;"",WEEKDAY(AH$1,2)&lt;6),1,0),IF(AND(AJ129&lt;&gt;"",WEEKDAY(AJ$1,2)&lt;6),1,0),IF(AND(AL129&lt;&gt;"",WEEKDAY(AL$1,2)&lt;6),1,0),IF(AND(AN129&lt;&gt;"",WEEKDAY(AN$1,2)&lt;6),1,0),IF(AND(AP129&lt;&gt;"",WEEKDAY(AP$1,2)&lt;6),1,0),IF(AND(AR129&lt;&gt;"",WEEKDAY(AR$1,2)&lt;6),1,0),IF(AND(AT129&lt;&gt;"",WEEKDAY(AT$1,2)&lt;6),1,0),IF(AND(AV129&lt;&gt;"",WEEKDAY(AV$1,2)&lt;6),1,0),IF(AND(AX129&lt;&gt;"",WEEKDAY(AX$1,2)&lt;6),1,0),IF(AND(AZ129&lt;&gt;"",WEEKDAY(AZ$1,2)&lt;6),1,0),IF(AND(BB129&lt;&gt;"",WEEKDAY(BB$1,2)&lt;6),1,0),IF(AND(BD129&lt;&gt;"",WEEKDAY(BD$1,2)&lt;6),1,0),IF(AND(BF129&lt;&gt;"",WEEKDAY(BF$1,2)&lt;6),1,0),IF(AND(BH129&lt;&gt;"",WEEKDAY(BH$1,2)&lt;6),1,0),IF(AND(BJ129&lt;&gt;"",WEEKDAY(BJ$1,2)&lt;6),1,0),IF(AND(BL129&lt;&gt;"",WEEKDAY(BL$1,2)&lt;6),1,0))</f>
        <v>0</v>
      </c>
      <c r="BO129" s="85">
        <f>SUM(IF(AND(E129&lt;&gt;"",WEEKDAY(D$1,2)&lt;6),1,0),IF(AND(G129&lt;&gt;"",WEEKDAY(F$1,2)&lt;6),1,0),IF(AND(I129&lt;&gt;"",WEEKDAY(H$1,2)&lt;6),1,0),IF(AND(K129&lt;&gt;"",WEEKDAY(J$1,2)&lt;6),1,0),IF(AND(M129&lt;&gt;"",WEEKDAY(L$1,2)&lt;6),1,0),IF(AND(O129&lt;&gt;"",WEEKDAY(N$1,2)&lt;6),1,0),IF(AND(Q129&lt;&gt;"",WEEKDAY(P$1,2)&lt;6),1,0),IF(AND(S129&lt;&gt;"",WEEKDAY(R$1,2)&lt;6),1,0),IF(AND(U129&lt;&gt;"",WEEKDAY(T$1,2)&lt;6),1,0),IF(AND(W129&lt;&gt;"",WEEKDAY(V$1,2)&lt;6),1,0),IF(AND(Y129&lt;&gt;"",WEEKDAY(X$1,2)&lt;6),1,0),IF(AND(AA129&lt;&gt;"",WEEKDAY(Z$1,2)&lt;6),1,0),IF(AND(AC129&lt;&gt;"",WEEKDAY(AB$1,2)&lt;6),1,0),IF(AND(AE129&lt;&gt;"",WEEKDAY(AD$1,2)&lt;6),1,0),IF(AND(AG129&lt;&gt;"",WEEKDAY(AF$1,2)&lt;6),1,0),IF(AND(AI129&lt;&gt;"",WEEKDAY(AH$1,2)&lt;6),1,0),IF(AND(AK129&lt;&gt;"",WEEKDAY(AJ$1,2)&lt;6),1,0),IF(AND(AM129&lt;&gt;"",WEEKDAY(AL$1,2)&lt;6),1,0),IF(AND(AO129&lt;&gt;"",WEEKDAY(AN$1,2)&lt;6),1,0),IF(AND(AQ129&lt;&gt;"",WEEKDAY(AP$1,2)&lt;6),1,0),IF(AND(AS129&lt;&gt;"",WEEKDAY(AR$1,2)&lt;6),1,0),IF(AND(AU129&lt;&gt;"",WEEKDAY(AT$1,2)&lt;6),1,0),IF(AND(AW129&lt;&gt;"",WEEKDAY(AV$1,2)&lt;6),1,0),IF(AND(AY129&lt;&gt;"",WEEKDAY(AX$1,2)&lt;6),1,0),IF(AND(BA129&lt;&gt;"",WEEKDAY(AZ$1,2)&lt;6),1,0),IF(AND(BC129&lt;&gt;"",WEEKDAY(BB$1,2)&lt;6),1,0),IF(AND(BE129&lt;&gt;"",WEEKDAY(BD$1,2)&lt;6),1,0),IF(AND(BG129&lt;&gt;"",WEEKDAY(BF$1,2)&lt;6),1,0),IF(AND(BI129&lt;&gt;"",WEEKDAY(BH$1,2)&lt;6),1,0),IF(AND(BK129&lt;&gt;"",WEEKDAY(BJ$1,2)&lt;6),1,0),IF(AND(BM129&lt;&gt;"",WEEKDAY(BL$1,2)&lt;6),1,0))</f>
        <v>0</v>
      </c>
      <c r="BP129" s="85">
        <f>SUM(IF(AND((D129&lt;&gt;"")+(E129&lt;&gt;""),WEEKDAY(D$1,2)=6),1,0),IF(AND((F129&lt;&gt;"")+(G129&lt;&gt;""),WEEKDAY(F$1,2)=6),1,0),IF(AND((H129&lt;&gt;"")+(I129&lt;&gt;""),WEEKDAY(H$1,2)=6),1,0),IF(AND((J129&lt;&gt;"")+(K129&lt;&gt;""),WEEKDAY(J$1,2)=6),1,0),IF(AND((L129&lt;&gt;"")+(M129&lt;&gt;""),WEEKDAY(L$1,2)=6),1,0),IF(AND((N129&lt;&gt;"")+(O129&lt;&gt;""),WEEKDAY(N$1,2)=6),1,0),IF(AND((P129&lt;&gt;"")+(Q129&lt;&gt;""),WEEKDAY(P$1,2)=6),1,0),IF(AND((R129&lt;&gt;"")+(S129&lt;&gt;""),WEEKDAY(R$1,2)=6),1,0),IF(AND((T129&lt;&gt;"")+(U129&lt;&gt;""),WEEKDAY(T$1,2)=6),1,0),IF(AND((V129&lt;&gt;"")+(W129&lt;&gt;""),WEEKDAY(V$1,2)=6),1,0),IF(AND((X129&lt;&gt;"")+(Y129&lt;&gt;""),WEEKDAY(X$1,2)=6),1,0),IF(AND((Z129&lt;&gt;"")+(AA129&lt;&gt;""),WEEKDAY(Z$1,2)=6),1,0),IF(AND((AB129&lt;&gt;"")+(AC129&lt;&gt;""),WEEKDAY(AB$1,2)=6),1,0),IF(AND((AD129&lt;&gt;"")+(AE129&lt;&gt;""),WEEKDAY(AD$1,2)=6),1,0),IF(AND((AF129&lt;&gt;"")+(AG129&lt;&gt;""),WEEKDAY(AF$1,2)=6),1,0),IF(AND((AH129&lt;&gt;"")+(AI129&lt;&gt;""),WEEKDAY(AH$1,2)=6),1,0),IF(AND((AJ129&lt;&gt;"")+(AK129&lt;&gt;""),WEEKDAY(AJ$1,2)=6),1,0),IF(AND((AL129&lt;&gt;"")+(AM129&lt;&gt;""),WEEKDAY(AL$1,2)=6),1,0),IF(AND((AN129&lt;&gt;"")+(AO129&lt;&gt;""),WEEKDAY(AN$1,2)=6),1,0),IF(AND((AP129&lt;&gt;"")+(AQ129&lt;&gt;""),WEEKDAY(AP$1,2)=6),1,0),IF(AND((AR129&lt;&gt;"")+(AS129&lt;&gt;""),WEEKDAY(AR$1,2)=6),1,0),IF(AND((AT129&lt;&gt;"")+(AU129&lt;&gt;""),WEEKDAY(AT$1,2)=6),1,0),IF(AND((AV129&lt;&gt;"")+(AW129&lt;&gt;""),WEEKDAY(AV$1,2)=6),1,0),IF(AND((AX129&lt;&gt;"")+(AY129&lt;&gt;""),WEEKDAY(AX$1,2)=6),1,0),IF(AND((AZ129&lt;&gt;"")+(BA129&lt;&gt;""),WEEKDAY(AZ$1,2)=6),1,0),IF(AND((BB129&lt;&gt;"")+(BC129&lt;&gt;""),WEEKDAY(BB$1,2)=6),1,0),IF(AND((BD129&lt;&gt;"")+(BE129&lt;&gt;""),WEEKDAY(BD$1,2)=6),1,0),IF(AND((BF129&lt;&gt;"")+(BG129&lt;&gt;""),WEEKDAY(BF$1,2)=6),1,0),IF(AND((BH129&lt;&gt;"")+(BI129&lt;&gt;""),WEEKDAY(BH$1,2)=6),1,0),IF(AND((BJ129&lt;&gt;"")+(BK129&lt;&gt;""),WEEKDAY(BJ$1,2)=6),1,0),IF(AND((BL129&lt;&gt;"")+(BM129&lt;&gt;""),WEEKDAY(BL$1,2)=6),1,0))</f>
        <v>0</v>
      </c>
    </row>
    <row r="130" spans="1:68" ht="16.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>
        <f>SUM(IF(AND(D130&lt;&gt;"",WEEKDAY(D$1,2)&lt;6),1,0),IF(AND(F130&lt;&gt;"",WEEKDAY(F$1,2)&lt;6),1,0),IF(AND(H130&lt;&gt;"",WEEKDAY(H$1,2)&lt;6),1,0),IF(AND(J130&lt;&gt;"",WEEKDAY(J$1,2)&lt;6),1,0),IF(AND(L130&lt;&gt;"",WEEKDAY(L$1,2)&lt;6),1,0),IF(AND(N130&lt;&gt;"",WEEKDAY(N$1,2)&lt;6),1,0),IF(AND(P130&lt;&gt;"",WEEKDAY(P$1,2)&lt;6),1,0),IF(AND(R130&lt;&gt;"",WEEKDAY(R$1,2)&lt;6),1,0),IF(AND(T130&lt;&gt;"",WEEKDAY(T$1,2)&lt;6),1,0),IF(AND(V130&lt;&gt;"",WEEKDAY(V$1,2)&lt;6),1,0),IF(AND(X130&lt;&gt;"",WEEKDAY(X$1,2)&lt;6),1,0),IF(AND(Z130&lt;&gt;"",WEEKDAY(Z$1,2)&lt;6),1,0),IF(AND(AB130&lt;&gt;"",WEEKDAY(AB$1,2)&lt;6),1,0),IF(AND(AD130&lt;&gt;"",WEEKDAY(AD$1,2)&lt;6),1,0),IF(AND(AF130&lt;&gt;"",WEEKDAY(AF$1,2)&lt;6),1,0),IF(AND(AH130&lt;&gt;"",WEEKDAY(AH$1,2)&lt;6),1,0),IF(AND(AJ130&lt;&gt;"",WEEKDAY(AJ$1,2)&lt;6),1,0),IF(AND(AL130&lt;&gt;"",WEEKDAY(AL$1,2)&lt;6),1,0),IF(AND(AN130&lt;&gt;"",WEEKDAY(AN$1,2)&lt;6),1,0),IF(AND(AP130&lt;&gt;"",WEEKDAY(AP$1,2)&lt;6),1,0),IF(AND(AR130&lt;&gt;"",WEEKDAY(AR$1,2)&lt;6),1,0),IF(AND(AT130&lt;&gt;"",WEEKDAY(AT$1,2)&lt;6),1,0),IF(AND(AV130&lt;&gt;"",WEEKDAY(AV$1,2)&lt;6),1,0),IF(AND(AX130&lt;&gt;"",WEEKDAY(AX$1,2)&lt;6),1,0),IF(AND(AZ130&lt;&gt;"",WEEKDAY(AZ$1,2)&lt;6),1,0),IF(AND(BB130&lt;&gt;"",WEEKDAY(BB$1,2)&lt;6),1,0),IF(AND(BD130&lt;&gt;"",WEEKDAY(BD$1,2)&lt;6),1,0),IF(AND(BF130&lt;&gt;"",WEEKDAY(BF$1,2)&lt;6),1,0),IF(AND(BH130&lt;&gt;"",WEEKDAY(BH$1,2)&lt;6),1,0),IF(AND(BJ130&lt;&gt;"",WEEKDAY(BJ$1,2)&lt;6),1,0),IF(AND(BL130&lt;&gt;"",WEEKDAY(BL$1,2)&lt;6),1,0))</f>
        <v>0</v>
      </c>
      <c r="BO130" s="85">
        <f>SUM(IF(AND(E130&lt;&gt;"",WEEKDAY(D$1,2)&lt;6),1,0),IF(AND(G130&lt;&gt;"",WEEKDAY(F$1,2)&lt;6),1,0),IF(AND(I130&lt;&gt;"",WEEKDAY(H$1,2)&lt;6),1,0),IF(AND(K130&lt;&gt;"",WEEKDAY(J$1,2)&lt;6),1,0),IF(AND(M130&lt;&gt;"",WEEKDAY(L$1,2)&lt;6),1,0),IF(AND(O130&lt;&gt;"",WEEKDAY(N$1,2)&lt;6),1,0),IF(AND(Q130&lt;&gt;"",WEEKDAY(P$1,2)&lt;6),1,0),IF(AND(S130&lt;&gt;"",WEEKDAY(R$1,2)&lt;6),1,0),IF(AND(U130&lt;&gt;"",WEEKDAY(T$1,2)&lt;6),1,0),IF(AND(W130&lt;&gt;"",WEEKDAY(V$1,2)&lt;6),1,0),IF(AND(Y130&lt;&gt;"",WEEKDAY(X$1,2)&lt;6),1,0),IF(AND(AA130&lt;&gt;"",WEEKDAY(Z$1,2)&lt;6),1,0),IF(AND(AC130&lt;&gt;"",WEEKDAY(AB$1,2)&lt;6),1,0),IF(AND(AE130&lt;&gt;"",WEEKDAY(AD$1,2)&lt;6),1,0),IF(AND(AG130&lt;&gt;"",WEEKDAY(AF$1,2)&lt;6),1,0),IF(AND(AI130&lt;&gt;"",WEEKDAY(AH$1,2)&lt;6),1,0),IF(AND(AK130&lt;&gt;"",WEEKDAY(AJ$1,2)&lt;6),1,0),IF(AND(AM130&lt;&gt;"",WEEKDAY(AL$1,2)&lt;6),1,0),IF(AND(AO130&lt;&gt;"",WEEKDAY(AN$1,2)&lt;6),1,0),IF(AND(AQ130&lt;&gt;"",WEEKDAY(AP$1,2)&lt;6),1,0),IF(AND(AS130&lt;&gt;"",WEEKDAY(AR$1,2)&lt;6),1,0),IF(AND(AU130&lt;&gt;"",WEEKDAY(AT$1,2)&lt;6),1,0),IF(AND(AW130&lt;&gt;"",WEEKDAY(AV$1,2)&lt;6),1,0),IF(AND(AY130&lt;&gt;"",WEEKDAY(AX$1,2)&lt;6),1,0),IF(AND(BA130&lt;&gt;"",WEEKDAY(AZ$1,2)&lt;6),1,0),IF(AND(BC130&lt;&gt;"",WEEKDAY(BB$1,2)&lt;6),1,0),IF(AND(BE130&lt;&gt;"",WEEKDAY(BD$1,2)&lt;6),1,0),IF(AND(BG130&lt;&gt;"",WEEKDAY(BF$1,2)&lt;6),1,0),IF(AND(BI130&lt;&gt;"",WEEKDAY(BH$1,2)&lt;6),1,0),IF(AND(BK130&lt;&gt;"",WEEKDAY(BJ$1,2)&lt;6),1,0),IF(AND(BM130&lt;&gt;"",WEEKDAY(BL$1,2)&lt;6),1,0))</f>
        <v>0</v>
      </c>
      <c r="BP130" s="85">
        <f>SUM(IF(AND((D130&lt;&gt;"")+(E130&lt;&gt;""),WEEKDAY(D$1,2)=6),1,0),IF(AND((F130&lt;&gt;"")+(G130&lt;&gt;""),WEEKDAY(F$1,2)=6),1,0),IF(AND((H130&lt;&gt;"")+(I130&lt;&gt;""),WEEKDAY(H$1,2)=6),1,0),IF(AND((J130&lt;&gt;"")+(K130&lt;&gt;""),WEEKDAY(J$1,2)=6),1,0),IF(AND((L130&lt;&gt;"")+(M130&lt;&gt;""),WEEKDAY(L$1,2)=6),1,0),IF(AND((N130&lt;&gt;"")+(O130&lt;&gt;""),WEEKDAY(N$1,2)=6),1,0),IF(AND((P130&lt;&gt;"")+(Q130&lt;&gt;""),WEEKDAY(P$1,2)=6),1,0),IF(AND((R130&lt;&gt;"")+(S130&lt;&gt;""),WEEKDAY(R$1,2)=6),1,0),IF(AND((T130&lt;&gt;"")+(U130&lt;&gt;""),WEEKDAY(T$1,2)=6),1,0),IF(AND((V130&lt;&gt;"")+(W130&lt;&gt;""),WEEKDAY(V$1,2)=6),1,0),IF(AND((X130&lt;&gt;"")+(Y130&lt;&gt;""),WEEKDAY(X$1,2)=6),1,0),IF(AND((Z130&lt;&gt;"")+(AA130&lt;&gt;""),WEEKDAY(Z$1,2)=6),1,0),IF(AND((AB130&lt;&gt;"")+(AC130&lt;&gt;""),WEEKDAY(AB$1,2)=6),1,0),IF(AND((AD130&lt;&gt;"")+(AE130&lt;&gt;""),WEEKDAY(AD$1,2)=6),1,0),IF(AND((AF130&lt;&gt;"")+(AG130&lt;&gt;""),WEEKDAY(AF$1,2)=6),1,0),IF(AND((AH130&lt;&gt;"")+(AI130&lt;&gt;""),WEEKDAY(AH$1,2)=6),1,0),IF(AND((AJ130&lt;&gt;"")+(AK130&lt;&gt;""),WEEKDAY(AJ$1,2)=6),1,0),IF(AND((AL130&lt;&gt;"")+(AM130&lt;&gt;""),WEEKDAY(AL$1,2)=6),1,0),IF(AND((AN130&lt;&gt;"")+(AO130&lt;&gt;""),WEEKDAY(AN$1,2)=6),1,0),IF(AND((AP130&lt;&gt;"")+(AQ130&lt;&gt;""),WEEKDAY(AP$1,2)=6),1,0),IF(AND((AR130&lt;&gt;"")+(AS130&lt;&gt;""),WEEKDAY(AR$1,2)=6),1,0),IF(AND((AT130&lt;&gt;"")+(AU130&lt;&gt;""),WEEKDAY(AT$1,2)=6),1,0),IF(AND((AV130&lt;&gt;"")+(AW130&lt;&gt;""),WEEKDAY(AV$1,2)=6),1,0),IF(AND((AX130&lt;&gt;"")+(AY130&lt;&gt;""),WEEKDAY(AX$1,2)=6),1,0),IF(AND((AZ130&lt;&gt;"")+(BA130&lt;&gt;""),WEEKDAY(AZ$1,2)=6),1,0),IF(AND((BB130&lt;&gt;"")+(BC130&lt;&gt;""),WEEKDAY(BB$1,2)=6),1,0),IF(AND((BD130&lt;&gt;"")+(BE130&lt;&gt;""),WEEKDAY(BD$1,2)=6),1,0),IF(AND((BF130&lt;&gt;"")+(BG130&lt;&gt;""),WEEKDAY(BF$1,2)=6),1,0),IF(AND((BH130&lt;&gt;"")+(BI130&lt;&gt;""),WEEKDAY(BH$1,2)=6),1,0),IF(AND((BJ130&lt;&gt;"")+(BK130&lt;&gt;""),WEEKDAY(BJ$1,2)=6),1,0),IF(AND((BL130&lt;&gt;"")+(BM130&lt;&gt;""),WEEKDAY(BL$1,2)=6),1,0))</f>
        <v>0</v>
      </c>
    </row>
    <row r="131" spans="1:68" ht="16.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>
        <f>SUM(IF(AND(D131&lt;&gt;"",WEEKDAY(D$1,2)&lt;6),1,0),IF(AND(F131&lt;&gt;"",WEEKDAY(F$1,2)&lt;6),1,0),IF(AND(H131&lt;&gt;"",WEEKDAY(H$1,2)&lt;6),1,0),IF(AND(J131&lt;&gt;"",WEEKDAY(J$1,2)&lt;6),1,0),IF(AND(L131&lt;&gt;"",WEEKDAY(L$1,2)&lt;6),1,0),IF(AND(N131&lt;&gt;"",WEEKDAY(N$1,2)&lt;6),1,0),IF(AND(P131&lt;&gt;"",WEEKDAY(P$1,2)&lt;6),1,0),IF(AND(R131&lt;&gt;"",WEEKDAY(R$1,2)&lt;6),1,0),IF(AND(T131&lt;&gt;"",WEEKDAY(T$1,2)&lt;6),1,0),IF(AND(V131&lt;&gt;"",WEEKDAY(V$1,2)&lt;6),1,0),IF(AND(X131&lt;&gt;"",WEEKDAY(X$1,2)&lt;6),1,0),IF(AND(Z131&lt;&gt;"",WEEKDAY(Z$1,2)&lt;6),1,0),IF(AND(AB131&lt;&gt;"",WEEKDAY(AB$1,2)&lt;6),1,0),IF(AND(AD131&lt;&gt;"",WEEKDAY(AD$1,2)&lt;6),1,0),IF(AND(AF131&lt;&gt;"",WEEKDAY(AF$1,2)&lt;6),1,0),IF(AND(AH131&lt;&gt;"",WEEKDAY(AH$1,2)&lt;6),1,0),IF(AND(AJ131&lt;&gt;"",WEEKDAY(AJ$1,2)&lt;6),1,0),IF(AND(AL131&lt;&gt;"",WEEKDAY(AL$1,2)&lt;6),1,0),IF(AND(AN131&lt;&gt;"",WEEKDAY(AN$1,2)&lt;6),1,0),IF(AND(AP131&lt;&gt;"",WEEKDAY(AP$1,2)&lt;6),1,0),IF(AND(AR131&lt;&gt;"",WEEKDAY(AR$1,2)&lt;6),1,0),IF(AND(AT131&lt;&gt;"",WEEKDAY(AT$1,2)&lt;6),1,0),IF(AND(AV131&lt;&gt;"",WEEKDAY(AV$1,2)&lt;6),1,0),IF(AND(AX131&lt;&gt;"",WEEKDAY(AX$1,2)&lt;6),1,0),IF(AND(AZ131&lt;&gt;"",WEEKDAY(AZ$1,2)&lt;6),1,0),IF(AND(BB131&lt;&gt;"",WEEKDAY(BB$1,2)&lt;6),1,0),IF(AND(BD131&lt;&gt;"",WEEKDAY(BD$1,2)&lt;6),1,0),IF(AND(BF131&lt;&gt;"",WEEKDAY(BF$1,2)&lt;6),1,0),IF(AND(BH131&lt;&gt;"",WEEKDAY(BH$1,2)&lt;6),1,0),IF(AND(BJ131&lt;&gt;"",WEEKDAY(BJ$1,2)&lt;6),1,0),IF(AND(BL131&lt;&gt;"",WEEKDAY(BL$1,2)&lt;6),1,0))</f>
        <v>0</v>
      </c>
      <c r="BO131" s="85">
        <f>SUM(IF(AND(E131&lt;&gt;"",WEEKDAY(D$1,2)&lt;6),1,0),IF(AND(G131&lt;&gt;"",WEEKDAY(F$1,2)&lt;6),1,0),IF(AND(I131&lt;&gt;"",WEEKDAY(H$1,2)&lt;6),1,0),IF(AND(K131&lt;&gt;"",WEEKDAY(J$1,2)&lt;6),1,0),IF(AND(M131&lt;&gt;"",WEEKDAY(L$1,2)&lt;6),1,0),IF(AND(O131&lt;&gt;"",WEEKDAY(N$1,2)&lt;6),1,0),IF(AND(Q131&lt;&gt;"",WEEKDAY(P$1,2)&lt;6),1,0),IF(AND(S131&lt;&gt;"",WEEKDAY(R$1,2)&lt;6),1,0),IF(AND(U131&lt;&gt;"",WEEKDAY(T$1,2)&lt;6),1,0),IF(AND(W131&lt;&gt;"",WEEKDAY(V$1,2)&lt;6),1,0),IF(AND(Y131&lt;&gt;"",WEEKDAY(X$1,2)&lt;6),1,0),IF(AND(AA131&lt;&gt;"",WEEKDAY(Z$1,2)&lt;6),1,0),IF(AND(AC131&lt;&gt;"",WEEKDAY(AB$1,2)&lt;6),1,0),IF(AND(AE131&lt;&gt;"",WEEKDAY(AD$1,2)&lt;6),1,0),IF(AND(AG131&lt;&gt;"",WEEKDAY(AF$1,2)&lt;6),1,0),IF(AND(AI131&lt;&gt;"",WEEKDAY(AH$1,2)&lt;6),1,0),IF(AND(AK131&lt;&gt;"",WEEKDAY(AJ$1,2)&lt;6),1,0),IF(AND(AM131&lt;&gt;"",WEEKDAY(AL$1,2)&lt;6),1,0),IF(AND(AO131&lt;&gt;"",WEEKDAY(AN$1,2)&lt;6),1,0),IF(AND(AQ131&lt;&gt;"",WEEKDAY(AP$1,2)&lt;6),1,0),IF(AND(AS131&lt;&gt;"",WEEKDAY(AR$1,2)&lt;6),1,0),IF(AND(AU131&lt;&gt;"",WEEKDAY(AT$1,2)&lt;6),1,0),IF(AND(AW131&lt;&gt;"",WEEKDAY(AV$1,2)&lt;6),1,0),IF(AND(AY131&lt;&gt;"",WEEKDAY(AX$1,2)&lt;6),1,0),IF(AND(BA131&lt;&gt;"",WEEKDAY(AZ$1,2)&lt;6),1,0),IF(AND(BC131&lt;&gt;"",WEEKDAY(BB$1,2)&lt;6),1,0),IF(AND(BE131&lt;&gt;"",WEEKDAY(BD$1,2)&lt;6),1,0),IF(AND(BG131&lt;&gt;"",WEEKDAY(BF$1,2)&lt;6),1,0),IF(AND(BI131&lt;&gt;"",WEEKDAY(BH$1,2)&lt;6),1,0),IF(AND(BK131&lt;&gt;"",WEEKDAY(BJ$1,2)&lt;6),1,0),IF(AND(BM131&lt;&gt;"",WEEKDAY(BL$1,2)&lt;6),1,0))</f>
        <v>0</v>
      </c>
      <c r="BP131" s="85">
        <f>SUM(IF(AND((D131&lt;&gt;"")+(E131&lt;&gt;""),WEEKDAY(D$1,2)=6),1,0),IF(AND((F131&lt;&gt;"")+(G131&lt;&gt;""),WEEKDAY(F$1,2)=6),1,0),IF(AND((H131&lt;&gt;"")+(I131&lt;&gt;""),WEEKDAY(H$1,2)=6),1,0),IF(AND((J131&lt;&gt;"")+(K131&lt;&gt;""),WEEKDAY(J$1,2)=6),1,0),IF(AND((L131&lt;&gt;"")+(M131&lt;&gt;""),WEEKDAY(L$1,2)=6),1,0),IF(AND((N131&lt;&gt;"")+(O131&lt;&gt;""),WEEKDAY(N$1,2)=6),1,0),IF(AND((P131&lt;&gt;"")+(Q131&lt;&gt;""),WEEKDAY(P$1,2)=6),1,0),IF(AND((R131&lt;&gt;"")+(S131&lt;&gt;""),WEEKDAY(R$1,2)=6),1,0),IF(AND((T131&lt;&gt;"")+(U131&lt;&gt;""),WEEKDAY(T$1,2)=6),1,0),IF(AND((V131&lt;&gt;"")+(W131&lt;&gt;""),WEEKDAY(V$1,2)=6),1,0),IF(AND((X131&lt;&gt;"")+(Y131&lt;&gt;""),WEEKDAY(X$1,2)=6),1,0),IF(AND((Z131&lt;&gt;"")+(AA131&lt;&gt;""),WEEKDAY(Z$1,2)=6),1,0),IF(AND((AB131&lt;&gt;"")+(AC131&lt;&gt;""),WEEKDAY(AB$1,2)=6),1,0),IF(AND((AD131&lt;&gt;"")+(AE131&lt;&gt;""),WEEKDAY(AD$1,2)=6),1,0),IF(AND((AF131&lt;&gt;"")+(AG131&lt;&gt;""),WEEKDAY(AF$1,2)=6),1,0),IF(AND((AH131&lt;&gt;"")+(AI131&lt;&gt;""),WEEKDAY(AH$1,2)=6),1,0),IF(AND((AJ131&lt;&gt;"")+(AK131&lt;&gt;""),WEEKDAY(AJ$1,2)=6),1,0),IF(AND((AL131&lt;&gt;"")+(AM131&lt;&gt;""),WEEKDAY(AL$1,2)=6),1,0),IF(AND((AN131&lt;&gt;"")+(AO131&lt;&gt;""),WEEKDAY(AN$1,2)=6),1,0),IF(AND((AP131&lt;&gt;"")+(AQ131&lt;&gt;""),WEEKDAY(AP$1,2)=6),1,0),IF(AND((AR131&lt;&gt;"")+(AS131&lt;&gt;""),WEEKDAY(AR$1,2)=6),1,0),IF(AND((AT131&lt;&gt;"")+(AU131&lt;&gt;""),WEEKDAY(AT$1,2)=6),1,0),IF(AND((AV131&lt;&gt;"")+(AW131&lt;&gt;""),WEEKDAY(AV$1,2)=6),1,0),IF(AND((AX131&lt;&gt;"")+(AY131&lt;&gt;""),WEEKDAY(AX$1,2)=6),1,0),IF(AND((AZ131&lt;&gt;"")+(BA131&lt;&gt;""),WEEKDAY(AZ$1,2)=6),1,0),IF(AND((BB131&lt;&gt;"")+(BC131&lt;&gt;""),WEEKDAY(BB$1,2)=6),1,0),IF(AND((BD131&lt;&gt;"")+(BE131&lt;&gt;""),WEEKDAY(BD$1,2)=6),1,0),IF(AND((BF131&lt;&gt;"")+(BG131&lt;&gt;""),WEEKDAY(BF$1,2)=6),1,0),IF(AND((BH131&lt;&gt;"")+(BI131&lt;&gt;""),WEEKDAY(BH$1,2)=6),1,0),IF(AND((BJ131&lt;&gt;"")+(BK131&lt;&gt;""),WEEKDAY(BJ$1,2)=6),1,0),IF(AND((BL131&lt;&gt;"")+(BM131&lt;&gt;""),WEEKDAY(BL$1,2)=6),1,0))</f>
        <v>0</v>
      </c>
    </row>
    <row r="132" spans="1:68" ht="16.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>
        <f>SUM(IF(AND(D132&lt;&gt;"",WEEKDAY(D$1,2)&lt;6),1,0),IF(AND(F132&lt;&gt;"",WEEKDAY(F$1,2)&lt;6),1,0),IF(AND(H132&lt;&gt;"",WEEKDAY(H$1,2)&lt;6),1,0),IF(AND(J132&lt;&gt;"",WEEKDAY(J$1,2)&lt;6),1,0),IF(AND(L132&lt;&gt;"",WEEKDAY(L$1,2)&lt;6),1,0),IF(AND(N132&lt;&gt;"",WEEKDAY(N$1,2)&lt;6),1,0),IF(AND(P132&lt;&gt;"",WEEKDAY(P$1,2)&lt;6),1,0),IF(AND(R132&lt;&gt;"",WEEKDAY(R$1,2)&lt;6),1,0),IF(AND(T132&lt;&gt;"",WEEKDAY(T$1,2)&lt;6),1,0),IF(AND(V132&lt;&gt;"",WEEKDAY(V$1,2)&lt;6),1,0),IF(AND(X132&lt;&gt;"",WEEKDAY(X$1,2)&lt;6),1,0),IF(AND(Z132&lt;&gt;"",WEEKDAY(Z$1,2)&lt;6),1,0),IF(AND(AB132&lt;&gt;"",WEEKDAY(AB$1,2)&lt;6),1,0),IF(AND(AD132&lt;&gt;"",WEEKDAY(AD$1,2)&lt;6),1,0),IF(AND(AF132&lt;&gt;"",WEEKDAY(AF$1,2)&lt;6),1,0),IF(AND(AH132&lt;&gt;"",WEEKDAY(AH$1,2)&lt;6),1,0),IF(AND(AJ132&lt;&gt;"",WEEKDAY(AJ$1,2)&lt;6),1,0),IF(AND(AL132&lt;&gt;"",WEEKDAY(AL$1,2)&lt;6),1,0),IF(AND(AN132&lt;&gt;"",WEEKDAY(AN$1,2)&lt;6),1,0),IF(AND(AP132&lt;&gt;"",WEEKDAY(AP$1,2)&lt;6),1,0),IF(AND(AR132&lt;&gt;"",WEEKDAY(AR$1,2)&lt;6),1,0),IF(AND(AT132&lt;&gt;"",WEEKDAY(AT$1,2)&lt;6),1,0),IF(AND(AV132&lt;&gt;"",WEEKDAY(AV$1,2)&lt;6),1,0),IF(AND(AX132&lt;&gt;"",WEEKDAY(AX$1,2)&lt;6),1,0),IF(AND(AZ132&lt;&gt;"",WEEKDAY(AZ$1,2)&lt;6),1,0),IF(AND(BB132&lt;&gt;"",WEEKDAY(BB$1,2)&lt;6),1,0),IF(AND(BD132&lt;&gt;"",WEEKDAY(BD$1,2)&lt;6),1,0),IF(AND(BF132&lt;&gt;"",WEEKDAY(BF$1,2)&lt;6),1,0),IF(AND(BH132&lt;&gt;"",WEEKDAY(BH$1,2)&lt;6),1,0),IF(AND(BJ132&lt;&gt;"",WEEKDAY(BJ$1,2)&lt;6),1,0),IF(AND(BL132&lt;&gt;"",WEEKDAY(BL$1,2)&lt;6),1,0))</f>
        <v>0</v>
      </c>
      <c r="BO132" s="85">
        <f>SUM(IF(AND(E132&lt;&gt;"",WEEKDAY(D$1,2)&lt;6),1,0),IF(AND(G132&lt;&gt;"",WEEKDAY(F$1,2)&lt;6),1,0),IF(AND(I132&lt;&gt;"",WEEKDAY(H$1,2)&lt;6),1,0),IF(AND(K132&lt;&gt;"",WEEKDAY(J$1,2)&lt;6),1,0),IF(AND(M132&lt;&gt;"",WEEKDAY(L$1,2)&lt;6),1,0),IF(AND(O132&lt;&gt;"",WEEKDAY(N$1,2)&lt;6),1,0),IF(AND(Q132&lt;&gt;"",WEEKDAY(P$1,2)&lt;6),1,0),IF(AND(S132&lt;&gt;"",WEEKDAY(R$1,2)&lt;6),1,0),IF(AND(U132&lt;&gt;"",WEEKDAY(T$1,2)&lt;6),1,0),IF(AND(W132&lt;&gt;"",WEEKDAY(V$1,2)&lt;6),1,0),IF(AND(Y132&lt;&gt;"",WEEKDAY(X$1,2)&lt;6),1,0),IF(AND(AA132&lt;&gt;"",WEEKDAY(Z$1,2)&lt;6),1,0),IF(AND(AC132&lt;&gt;"",WEEKDAY(AB$1,2)&lt;6),1,0),IF(AND(AE132&lt;&gt;"",WEEKDAY(AD$1,2)&lt;6),1,0),IF(AND(AG132&lt;&gt;"",WEEKDAY(AF$1,2)&lt;6),1,0),IF(AND(AI132&lt;&gt;"",WEEKDAY(AH$1,2)&lt;6),1,0),IF(AND(AK132&lt;&gt;"",WEEKDAY(AJ$1,2)&lt;6),1,0),IF(AND(AM132&lt;&gt;"",WEEKDAY(AL$1,2)&lt;6),1,0),IF(AND(AO132&lt;&gt;"",WEEKDAY(AN$1,2)&lt;6),1,0),IF(AND(AQ132&lt;&gt;"",WEEKDAY(AP$1,2)&lt;6),1,0),IF(AND(AS132&lt;&gt;"",WEEKDAY(AR$1,2)&lt;6),1,0),IF(AND(AU132&lt;&gt;"",WEEKDAY(AT$1,2)&lt;6),1,0),IF(AND(AW132&lt;&gt;"",WEEKDAY(AV$1,2)&lt;6),1,0),IF(AND(AY132&lt;&gt;"",WEEKDAY(AX$1,2)&lt;6),1,0),IF(AND(BA132&lt;&gt;"",WEEKDAY(AZ$1,2)&lt;6),1,0),IF(AND(BC132&lt;&gt;"",WEEKDAY(BB$1,2)&lt;6),1,0),IF(AND(BE132&lt;&gt;"",WEEKDAY(BD$1,2)&lt;6),1,0),IF(AND(BG132&lt;&gt;"",WEEKDAY(BF$1,2)&lt;6),1,0),IF(AND(BI132&lt;&gt;"",WEEKDAY(BH$1,2)&lt;6),1,0),IF(AND(BK132&lt;&gt;"",WEEKDAY(BJ$1,2)&lt;6),1,0),IF(AND(BM132&lt;&gt;"",WEEKDAY(BL$1,2)&lt;6),1,0))</f>
        <v>0</v>
      </c>
      <c r="BP132" s="85">
        <f>SUM(IF(AND((D132&lt;&gt;"")+(E132&lt;&gt;""),WEEKDAY(D$1,2)=6),1,0),IF(AND((F132&lt;&gt;"")+(G132&lt;&gt;""),WEEKDAY(F$1,2)=6),1,0),IF(AND((H132&lt;&gt;"")+(I132&lt;&gt;""),WEEKDAY(H$1,2)=6),1,0),IF(AND((J132&lt;&gt;"")+(K132&lt;&gt;""),WEEKDAY(J$1,2)=6),1,0),IF(AND((L132&lt;&gt;"")+(M132&lt;&gt;""),WEEKDAY(L$1,2)=6),1,0),IF(AND((N132&lt;&gt;"")+(O132&lt;&gt;""),WEEKDAY(N$1,2)=6),1,0),IF(AND((P132&lt;&gt;"")+(Q132&lt;&gt;""),WEEKDAY(P$1,2)=6),1,0),IF(AND((R132&lt;&gt;"")+(S132&lt;&gt;""),WEEKDAY(R$1,2)=6),1,0),IF(AND((T132&lt;&gt;"")+(U132&lt;&gt;""),WEEKDAY(T$1,2)=6),1,0),IF(AND((V132&lt;&gt;"")+(W132&lt;&gt;""),WEEKDAY(V$1,2)=6),1,0),IF(AND((X132&lt;&gt;"")+(Y132&lt;&gt;""),WEEKDAY(X$1,2)=6),1,0),IF(AND((Z132&lt;&gt;"")+(AA132&lt;&gt;""),WEEKDAY(Z$1,2)=6),1,0),IF(AND((AB132&lt;&gt;"")+(AC132&lt;&gt;""),WEEKDAY(AB$1,2)=6),1,0),IF(AND((AD132&lt;&gt;"")+(AE132&lt;&gt;""),WEEKDAY(AD$1,2)=6),1,0),IF(AND((AF132&lt;&gt;"")+(AG132&lt;&gt;""),WEEKDAY(AF$1,2)=6),1,0),IF(AND((AH132&lt;&gt;"")+(AI132&lt;&gt;""),WEEKDAY(AH$1,2)=6),1,0),IF(AND((AJ132&lt;&gt;"")+(AK132&lt;&gt;""),WEEKDAY(AJ$1,2)=6),1,0),IF(AND((AL132&lt;&gt;"")+(AM132&lt;&gt;""),WEEKDAY(AL$1,2)=6),1,0),IF(AND((AN132&lt;&gt;"")+(AO132&lt;&gt;""),WEEKDAY(AN$1,2)=6),1,0),IF(AND((AP132&lt;&gt;"")+(AQ132&lt;&gt;""),WEEKDAY(AP$1,2)=6),1,0),IF(AND((AR132&lt;&gt;"")+(AS132&lt;&gt;""),WEEKDAY(AR$1,2)=6),1,0),IF(AND((AT132&lt;&gt;"")+(AU132&lt;&gt;""),WEEKDAY(AT$1,2)=6),1,0),IF(AND((AV132&lt;&gt;"")+(AW132&lt;&gt;""),WEEKDAY(AV$1,2)=6),1,0),IF(AND((AX132&lt;&gt;"")+(AY132&lt;&gt;""),WEEKDAY(AX$1,2)=6),1,0),IF(AND((AZ132&lt;&gt;"")+(BA132&lt;&gt;""),WEEKDAY(AZ$1,2)=6),1,0),IF(AND((BB132&lt;&gt;"")+(BC132&lt;&gt;""),WEEKDAY(BB$1,2)=6),1,0),IF(AND((BD132&lt;&gt;"")+(BE132&lt;&gt;""),WEEKDAY(BD$1,2)=6),1,0),IF(AND((BF132&lt;&gt;"")+(BG132&lt;&gt;""),WEEKDAY(BF$1,2)=6),1,0),IF(AND((BH132&lt;&gt;"")+(BI132&lt;&gt;""),WEEKDAY(BH$1,2)=6),1,0),IF(AND((BJ132&lt;&gt;"")+(BK132&lt;&gt;""),WEEKDAY(BJ$1,2)=6),1,0),IF(AND((BL132&lt;&gt;"")+(BM132&lt;&gt;""),WEEKDAY(BL$1,2)=6),1,0))</f>
        <v>0</v>
      </c>
    </row>
    <row r="133" spans="1:68" ht="16.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>
        <f>SUM(IF(AND(D133&lt;&gt;"",WEEKDAY(D$1,2)&lt;6),1,0),IF(AND(F133&lt;&gt;"",WEEKDAY(F$1,2)&lt;6),1,0),IF(AND(H133&lt;&gt;"",WEEKDAY(H$1,2)&lt;6),1,0),IF(AND(J133&lt;&gt;"",WEEKDAY(J$1,2)&lt;6),1,0),IF(AND(L133&lt;&gt;"",WEEKDAY(L$1,2)&lt;6),1,0),IF(AND(N133&lt;&gt;"",WEEKDAY(N$1,2)&lt;6),1,0),IF(AND(P133&lt;&gt;"",WEEKDAY(P$1,2)&lt;6),1,0),IF(AND(R133&lt;&gt;"",WEEKDAY(R$1,2)&lt;6),1,0),IF(AND(T133&lt;&gt;"",WEEKDAY(T$1,2)&lt;6),1,0),IF(AND(V133&lt;&gt;"",WEEKDAY(V$1,2)&lt;6),1,0),IF(AND(X133&lt;&gt;"",WEEKDAY(X$1,2)&lt;6),1,0),IF(AND(Z133&lt;&gt;"",WEEKDAY(Z$1,2)&lt;6),1,0),IF(AND(AB133&lt;&gt;"",WEEKDAY(AB$1,2)&lt;6),1,0),IF(AND(AD133&lt;&gt;"",WEEKDAY(AD$1,2)&lt;6),1,0),IF(AND(AF133&lt;&gt;"",WEEKDAY(AF$1,2)&lt;6),1,0),IF(AND(AH133&lt;&gt;"",WEEKDAY(AH$1,2)&lt;6),1,0),IF(AND(AJ133&lt;&gt;"",WEEKDAY(AJ$1,2)&lt;6),1,0),IF(AND(AL133&lt;&gt;"",WEEKDAY(AL$1,2)&lt;6),1,0),IF(AND(AN133&lt;&gt;"",WEEKDAY(AN$1,2)&lt;6),1,0),IF(AND(AP133&lt;&gt;"",WEEKDAY(AP$1,2)&lt;6),1,0),IF(AND(AR133&lt;&gt;"",WEEKDAY(AR$1,2)&lt;6),1,0),IF(AND(AT133&lt;&gt;"",WEEKDAY(AT$1,2)&lt;6),1,0),IF(AND(AV133&lt;&gt;"",WEEKDAY(AV$1,2)&lt;6),1,0),IF(AND(AX133&lt;&gt;"",WEEKDAY(AX$1,2)&lt;6),1,0),IF(AND(AZ133&lt;&gt;"",WEEKDAY(AZ$1,2)&lt;6),1,0),IF(AND(BB133&lt;&gt;"",WEEKDAY(BB$1,2)&lt;6),1,0),IF(AND(BD133&lt;&gt;"",WEEKDAY(BD$1,2)&lt;6),1,0),IF(AND(BF133&lt;&gt;"",WEEKDAY(BF$1,2)&lt;6),1,0),IF(AND(BH133&lt;&gt;"",WEEKDAY(BH$1,2)&lt;6),1,0),IF(AND(BJ133&lt;&gt;"",WEEKDAY(BJ$1,2)&lt;6),1,0),IF(AND(BL133&lt;&gt;"",WEEKDAY(BL$1,2)&lt;6),1,0))</f>
        <v>0</v>
      </c>
      <c r="BO133" s="85">
        <f>SUM(IF(AND(E133&lt;&gt;"",WEEKDAY(D$1,2)&lt;6),1,0),IF(AND(G133&lt;&gt;"",WEEKDAY(F$1,2)&lt;6),1,0),IF(AND(I133&lt;&gt;"",WEEKDAY(H$1,2)&lt;6),1,0),IF(AND(K133&lt;&gt;"",WEEKDAY(J$1,2)&lt;6),1,0),IF(AND(M133&lt;&gt;"",WEEKDAY(L$1,2)&lt;6),1,0),IF(AND(O133&lt;&gt;"",WEEKDAY(N$1,2)&lt;6),1,0),IF(AND(Q133&lt;&gt;"",WEEKDAY(P$1,2)&lt;6),1,0),IF(AND(S133&lt;&gt;"",WEEKDAY(R$1,2)&lt;6),1,0),IF(AND(U133&lt;&gt;"",WEEKDAY(T$1,2)&lt;6),1,0),IF(AND(W133&lt;&gt;"",WEEKDAY(V$1,2)&lt;6),1,0),IF(AND(Y133&lt;&gt;"",WEEKDAY(X$1,2)&lt;6),1,0),IF(AND(AA133&lt;&gt;"",WEEKDAY(Z$1,2)&lt;6),1,0),IF(AND(AC133&lt;&gt;"",WEEKDAY(AB$1,2)&lt;6),1,0),IF(AND(AE133&lt;&gt;"",WEEKDAY(AD$1,2)&lt;6),1,0),IF(AND(AG133&lt;&gt;"",WEEKDAY(AF$1,2)&lt;6),1,0),IF(AND(AI133&lt;&gt;"",WEEKDAY(AH$1,2)&lt;6),1,0),IF(AND(AK133&lt;&gt;"",WEEKDAY(AJ$1,2)&lt;6),1,0),IF(AND(AM133&lt;&gt;"",WEEKDAY(AL$1,2)&lt;6),1,0),IF(AND(AO133&lt;&gt;"",WEEKDAY(AN$1,2)&lt;6),1,0),IF(AND(AQ133&lt;&gt;"",WEEKDAY(AP$1,2)&lt;6),1,0),IF(AND(AS133&lt;&gt;"",WEEKDAY(AR$1,2)&lt;6),1,0),IF(AND(AU133&lt;&gt;"",WEEKDAY(AT$1,2)&lt;6),1,0),IF(AND(AW133&lt;&gt;"",WEEKDAY(AV$1,2)&lt;6),1,0),IF(AND(AY133&lt;&gt;"",WEEKDAY(AX$1,2)&lt;6),1,0),IF(AND(BA133&lt;&gt;"",WEEKDAY(AZ$1,2)&lt;6),1,0),IF(AND(BC133&lt;&gt;"",WEEKDAY(BB$1,2)&lt;6),1,0),IF(AND(BE133&lt;&gt;"",WEEKDAY(BD$1,2)&lt;6),1,0),IF(AND(BG133&lt;&gt;"",WEEKDAY(BF$1,2)&lt;6),1,0),IF(AND(BI133&lt;&gt;"",WEEKDAY(BH$1,2)&lt;6),1,0),IF(AND(BK133&lt;&gt;"",WEEKDAY(BJ$1,2)&lt;6),1,0),IF(AND(BM133&lt;&gt;"",WEEKDAY(BL$1,2)&lt;6),1,0))</f>
        <v>0</v>
      </c>
      <c r="BP133" s="85">
        <f>SUM(IF(AND((D133&lt;&gt;"")+(E133&lt;&gt;""),WEEKDAY(D$1,2)=6),1,0),IF(AND((F133&lt;&gt;"")+(G133&lt;&gt;""),WEEKDAY(F$1,2)=6),1,0),IF(AND((H133&lt;&gt;"")+(I133&lt;&gt;""),WEEKDAY(H$1,2)=6),1,0),IF(AND((J133&lt;&gt;"")+(K133&lt;&gt;""),WEEKDAY(J$1,2)=6),1,0),IF(AND((L133&lt;&gt;"")+(M133&lt;&gt;""),WEEKDAY(L$1,2)=6),1,0),IF(AND((N133&lt;&gt;"")+(O133&lt;&gt;""),WEEKDAY(N$1,2)=6),1,0),IF(AND((P133&lt;&gt;"")+(Q133&lt;&gt;""),WEEKDAY(P$1,2)=6),1,0),IF(AND((R133&lt;&gt;"")+(S133&lt;&gt;""),WEEKDAY(R$1,2)=6),1,0),IF(AND((T133&lt;&gt;"")+(U133&lt;&gt;""),WEEKDAY(T$1,2)=6),1,0),IF(AND((V133&lt;&gt;"")+(W133&lt;&gt;""),WEEKDAY(V$1,2)=6),1,0),IF(AND((X133&lt;&gt;"")+(Y133&lt;&gt;""),WEEKDAY(X$1,2)=6),1,0),IF(AND((Z133&lt;&gt;"")+(AA133&lt;&gt;""),WEEKDAY(Z$1,2)=6),1,0),IF(AND((AB133&lt;&gt;"")+(AC133&lt;&gt;""),WEEKDAY(AB$1,2)=6),1,0),IF(AND((AD133&lt;&gt;"")+(AE133&lt;&gt;""),WEEKDAY(AD$1,2)=6),1,0),IF(AND((AF133&lt;&gt;"")+(AG133&lt;&gt;""),WEEKDAY(AF$1,2)=6),1,0),IF(AND((AH133&lt;&gt;"")+(AI133&lt;&gt;""),WEEKDAY(AH$1,2)=6),1,0),IF(AND((AJ133&lt;&gt;"")+(AK133&lt;&gt;""),WEEKDAY(AJ$1,2)=6),1,0),IF(AND((AL133&lt;&gt;"")+(AM133&lt;&gt;""),WEEKDAY(AL$1,2)=6),1,0),IF(AND((AN133&lt;&gt;"")+(AO133&lt;&gt;""),WEEKDAY(AN$1,2)=6),1,0),IF(AND((AP133&lt;&gt;"")+(AQ133&lt;&gt;""),WEEKDAY(AP$1,2)=6),1,0),IF(AND((AR133&lt;&gt;"")+(AS133&lt;&gt;""),WEEKDAY(AR$1,2)=6),1,0),IF(AND((AT133&lt;&gt;"")+(AU133&lt;&gt;""),WEEKDAY(AT$1,2)=6),1,0),IF(AND((AV133&lt;&gt;"")+(AW133&lt;&gt;""),WEEKDAY(AV$1,2)=6),1,0),IF(AND((AX133&lt;&gt;"")+(AY133&lt;&gt;""),WEEKDAY(AX$1,2)=6),1,0),IF(AND((AZ133&lt;&gt;"")+(BA133&lt;&gt;""),WEEKDAY(AZ$1,2)=6),1,0),IF(AND((BB133&lt;&gt;"")+(BC133&lt;&gt;""),WEEKDAY(BB$1,2)=6),1,0),IF(AND((BD133&lt;&gt;"")+(BE133&lt;&gt;""),WEEKDAY(BD$1,2)=6),1,0),IF(AND((BF133&lt;&gt;"")+(BG133&lt;&gt;""),WEEKDAY(BF$1,2)=6),1,0),IF(AND((BH133&lt;&gt;"")+(BI133&lt;&gt;""),WEEKDAY(BH$1,2)=6),1,0),IF(AND((BJ133&lt;&gt;"")+(BK133&lt;&gt;""),WEEKDAY(BJ$1,2)=6),1,0),IF(AND((BL133&lt;&gt;"")+(BM133&lt;&gt;""),WEEKDAY(BL$1,2)=6),1,0))</f>
        <v>0</v>
      </c>
    </row>
    <row r="134" spans="1:68" ht="16.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>
        <f>SUM(IF(AND(D134&lt;&gt;"",WEEKDAY(D$1,2)&lt;6),1,0),IF(AND(F134&lt;&gt;"",WEEKDAY(F$1,2)&lt;6),1,0),IF(AND(H134&lt;&gt;"",WEEKDAY(H$1,2)&lt;6),1,0),IF(AND(J134&lt;&gt;"",WEEKDAY(J$1,2)&lt;6),1,0),IF(AND(L134&lt;&gt;"",WEEKDAY(L$1,2)&lt;6),1,0),IF(AND(N134&lt;&gt;"",WEEKDAY(N$1,2)&lt;6),1,0),IF(AND(P134&lt;&gt;"",WEEKDAY(P$1,2)&lt;6),1,0),IF(AND(R134&lt;&gt;"",WEEKDAY(R$1,2)&lt;6),1,0),IF(AND(T134&lt;&gt;"",WEEKDAY(T$1,2)&lt;6),1,0),IF(AND(V134&lt;&gt;"",WEEKDAY(V$1,2)&lt;6),1,0),IF(AND(X134&lt;&gt;"",WEEKDAY(X$1,2)&lt;6),1,0),IF(AND(Z134&lt;&gt;"",WEEKDAY(Z$1,2)&lt;6),1,0),IF(AND(AB134&lt;&gt;"",WEEKDAY(AB$1,2)&lt;6),1,0),IF(AND(AD134&lt;&gt;"",WEEKDAY(AD$1,2)&lt;6),1,0),IF(AND(AF134&lt;&gt;"",WEEKDAY(AF$1,2)&lt;6),1,0),IF(AND(AH134&lt;&gt;"",WEEKDAY(AH$1,2)&lt;6),1,0),IF(AND(AJ134&lt;&gt;"",WEEKDAY(AJ$1,2)&lt;6),1,0),IF(AND(AL134&lt;&gt;"",WEEKDAY(AL$1,2)&lt;6),1,0),IF(AND(AN134&lt;&gt;"",WEEKDAY(AN$1,2)&lt;6),1,0),IF(AND(AP134&lt;&gt;"",WEEKDAY(AP$1,2)&lt;6),1,0),IF(AND(AR134&lt;&gt;"",WEEKDAY(AR$1,2)&lt;6),1,0),IF(AND(AT134&lt;&gt;"",WEEKDAY(AT$1,2)&lt;6),1,0),IF(AND(AV134&lt;&gt;"",WEEKDAY(AV$1,2)&lt;6),1,0),IF(AND(AX134&lt;&gt;"",WEEKDAY(AX$1,2)&lt;6),1,0),IF(AND(AZ134&lt;&gt;"",WEEKDAY(AZ$1,2)&lt;6),1,0),IF(AND(BB134&lt;&gt;"",WEEKDAY(BB$1,2)&lt;6),1,0),IF(AND(BD134&lt;&gt;"",WEEKDAY(BD$1,2)&lt;6),1,0),IF(AND(BF134&lt;&gt;"",WEEKDAY(BF$1,2)&lt;6),1,0),IF(AND(BH134&lt;&gt;"",WEEKDAY(BH$1,2)&lt;6),1,0),IF(AND(BJ134&lt;&gt;"",WEEKDAY(BJ$1,2)&lt;6),1,0),IF(AND(BL134&lt;&gt;"",WEEKDAY(BL$1,2)&lt;6),1,0))</f>
        <v>0</v>
      </c>
      <c r="BO134" s="85">
        <f>SUM(IF(AND(E134&lt;&gt;"",WEEKDAY(D$1,2)&lt;6),1,0),IF(AND(G134&lt;&gt;"",WEEKDAY(F$1,2)&lt;6),1,0),IF(AND(I134&lt;&gt;"",WEEKDAY(H$1,2)&lt;6),1,0),IF(AND(K134&lt;&gt;"",WEEKDAY(J$1,2)&lt;6),1,0),IF(AND(M134&lt;&gt;"",WEEKDAY(L$1,2)&lt;6),1,0),IF(AND(O134&lt;&gt;"",WEEKDAY(N$1,2)&lt;6),1,0),IF(AND(Q134&lt;&gt;"",WEEKDAY(P$1,2)&lt;6),1,0),IF(AND(S134&lt;&gt;"",WEEKDAY(R$1,2)&lt;6),1,0),IF(AND(U134&lt;&gt;"",WEEKDAY(T$1,2)&lt;6),1,0),IF(AND(W134&lt;&gt;"",WEEKDAY(V$1,2)&lt;6),1,0),IF(AND(Y134&lt;&gt;"",WEEKDAY(X$1,2)&lt;6),1,0),IF(AND(AA134&lt;&gt;"",WEEKDAY(Z$1,2)&lt;6),1,0),IF(AND(AC134&lt;&gt;"",WEEKDAY(AB$1,2)&lt;6),1,0),IF(AND(AE134&lt;&gt;"",WEEKDAY(AD$1,2)&lt;6),1,0),IF(AND(AG134&lt;&gt;"",WEEKDAY(AF$1,2)&lt;6),1,0),IF(AND(AI134&lt;&gt;"",WEEKDAY(AH$1,2)&lt;6),1,0),IF(AND(AK134&lt;&gt;"",WEEKDAY(AJ$1,2)&lt;6),1,0),IF(AND(AM134&lt;&gt;"",WEEKDAY(AL$1,2)&lt;6),1,0),IF(AND(AO134&lt;&gt;"",WEEKDAY(AN$1,2)&lt;6),1,0),IF(AND(AQ134&lt;&gt;"",WEEKDAY(AP$1,2)&lt;6),1,0),IF(AND(AS134&lt;&gt;"",WEEKDAY(AR$1,2)&lt;6),1,0),IF(AND(AU134&lt;&gt;"",WEEKDAY(AT$1,2)&lt;6),1,0),IF(AND(AW134&lt;&gt;"",WEEKDAY(AV$1,2)&lt;6),1,0),IF(AND(AY134&lt;&gt;"",WEEKDAY(AX$1,2)&lt;6),1,0),IF(AND(BA134&lt;&gt;"",WEEKDAY(AZ$1,2)&lt;6),1,0),IF(AND(BC134&lt;&gt;"",WEEKDAY(BB$1,2)&lt;6),1,0),IF(AND(BE134&lt;&gt;"",WEEKDAY(BD$1,2)&lt;6),1,0),IF(AND(BG134&lt;&gt;"",WEEKDAY(BF$1,2)&lt;6),1,0),IF(AND(BI134&lt;&gt;"",WEEKDAY(BH$1,2)&lt;6),1,0),IF(AND(BK134&lt;&gt;"",WEEKDAY(BJ$1,2)&lt;6),1,0),IF(AND(BM134&lt;&gt;"",WEEKDAY(BL$1,2)&lt;6),1,0))</f>
        <v>0</v>
      </c>
      <c r="BP134" s="85">
        <f>SUM(IF(AND((D134&lt;&gt;"")+(E134&lt;&gt;""),WEEKDAY(D$1,2)=6),1,0),IF(AND((F134&lt;&gt;"")+(G134&lt;&gt;""),WEEKDAY(F$1,2)=6),1,0),IF(AND((H134&lt;&gt;"")+(I134&lt;&gt;""),WEEKDAY(H$1,2)=6),1,0),IF(AND((J134&lt;&gt;"")+(K134&lt;&gt;""),WEEKDAY(J$1,2)=6),1,0),IF(AND((L134&lt;&gt;"")+(M134&lt;&gt;""),WEEKDAY(L$1,2)=6),1,0),IF(AND((N134&lt;&gt;"")+(O134&lt;&gt;""),WEEKDAY(N$1,2)=6),1,0),IF(AND((P134&lt;&gt;"")+(Q134&lt;&gt;""),WEEKDAY(P$1,2)=6),1,0),IF(AND((R134&lt;&gt;"")+(S134&lt;&gt;""),WEEKDAY(R$1,2)=6),1,0),IF(AND((T134&lt;&gt;"")+(U134&lt;&gt;""),WEEKDAY(T$1,2)=6),1,0),IF(AND((V134&lt;&gt;"")+(W134&lt;&gt;""),WEEKDAY(V$1,2)=6),1,0),IF(AND((X134&lt;&gt;"")+(Y134&lt;&gt;""),WEEKDAY(X$1,2)=6),1,0),IF(AND((Z134&lt;&gt;"")+(AA134&lt;&gt;""),WEEKDAY(Z$1,2)=6),1,0),IF(AND((AB134&lt;&gt;"")+(AC134&lt;&gt;""),WEEKDAY(AB$1,2)=6),1,0),IF(AND((AD134&lt;&gt;"")+(AE134&lt;&gt;""),WEEKDAY(AD$1,2)=6),1,0),IF(AND((AF134&lt;&gt;"")+(AG134&lt;&gt;""),WEEKDAY(AF$1,2)=6),1,0),IF(AND((AH134&lt;&gt;"")+(AI134&lt;&gt;""),WEEKDAY(AH$1,2)=6),1,0),IF(AND((AJ134&lt;&gt;"")+(AK134&lt;&gt;""),WEEKDAY(AJ$1,2)=6),1,0),IF(AND((AL134&lt;&gt;"")+(AM134&lt;&gt;""),WEEKDAY(AL$1,2)=6),1,0),IF(AND((AN134&lt;&gt;"")+(AO134&lt;&gt;""),WEEKDAY(AN$1,2)=6),1,0),IF(AND((AP134&lt;&gt;"")+(AQ134&lt;&gt;""),WEEKDAY(AP$1,2)=6),1,0),IF(AND((AR134&lt;&gt;"")+(AS134&lt;&gt;""),WEEKDAY(AR$1,2)=6),1,0),IF(AND((AT134&lt;&gt;"")+(AU134&lt;&gt;""),WEEKDAY(AT$1,2)=6),1,0),IF(AND((AV134&lt;&gt;"")+(AW134&lt;&gt;""),WEEKDAY(AV$1,2)=6),1,0),IF(AND((AX134&lt;&gt;"")+(AY134&lt;&gt;""),WEEKDAY(AX$1,2)=6),1,0),IF(AND((AZ134&lt;&gt;"")+(BA134&lt;&gt;""),WEEKDAY(AZ$1,2)=6),1,0),IF(AND((BB134&lt;&gt;"")+(BC134&lt;&gt;""),WEEKDAY(BB$1,2)=6),1,0),IF(AND((BD134&lt;&gt;"")+(BE134&lt;&gt;""),WEEKDAY(BD$1,2)=6),1,0),IF(AND((BF134&lt;&gt;"")+(BG134&lt;&gt;""),WEEKDAY(BF$1,2)=6),1,0),IF(AND((BH134&lt;&gt;"")+(BI134&lt;&gt;""),WEEKDAY(BH$1,2)=6),1,0),IF(AND((BJ134&lt;&gt;"")+(BK134&lt;&gt;""),WEEKDAY(BJ$1,2)=6),1,0),IF(AND((BL134&lt;&gt;"")+(BM134&lt;&gt;""),WEEKDAY(BL$1,2)=6),1,0))</f>
        <v>0</v>
      </c>
    </row>
    <row r="135" spans="1:68" ht="16.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>
        <f>SUM(IF(AND(D135&lt;&gt;"",WEEKDAY(D$1,2)&lt;6),1,0),IF(AND(F135&lt;&gt;"",WEEKDAY(F$1,2)&lt;6),1,0),IF(AND(H135&lt;&gt;"",WEEKDAY(H$1,2)&lt;6),1,0),IF(AND(J135&lt;&gt;"",WEEKDAY(J$1,2)&lt;6),1,0),IF(AND(L135&lt;&gt;"",WEEKDAY(L$1,2)&lt;6),1,0),IF(AND(N135&lt;&gt;"",WEEKDAY(N$1,2)&lt;6),1,0),IF(AND(P135&lt;&gt;"",WEEKDAY(P$1,2)&lt;6),1,0),IF(AND(R135&lt;&gt;"",WEEKDAY(R$1,2)&lt;6),1,0),IF(AND(T135&lt;&gt;"",WEEKDAY(T$1,2)&lt;6),1,0),IF(AND(V135&lt;&gt;"",WEEKDAY(V$1,2)&lt;6),1,0),IF(AND(X135&lt;&gt;"",WEEKDAY(X$1,2)&lt;6),1,0),IF(AND(Z135&lt;&gt;"",WEEKDAY(Z$1,2)&lt;6),1,0),IF(AND(AB135&lt;&gt;"",WEEKDAY(AB$1,2)&lt;6),1,0),IF(AND(AD135&lt;&gt;"",WEEKDAY(AD$1,2)&lt;6),1,0),IF(AND(AF135&lt;&gt;"",WEEKDAY(AF$1,2)&lt;6),1,0),IF(AND(AH135&lt;&gt;"",WEEKDAY(AH$1,2)&lt;6),1,0),IF(AND(AJ135&lt;&gt;"",WEEKDAY(AJ$1,2)&lt;6),1,0),IF(AND(AL135&lt;&gt;"",WEEKDAY(AL$1,2)&lt;6),1,0),IF(AND(AN135&lt;&gt;"",WEEKDAY(AN$1,2)&lt;6),1,0),IF(AND(AP135&lt;&gt;"",WEEKDAY(AP$1,2)&lt;6),1,0),IF(AND(AR135&lt;&gt;"",WEEKDAY(AR$1,2)&lt;6),1,0),IF(AND(AT135&lt;&gt;"",WEEKDAY(AT$1,2)&lt;6),1,0),IF(AND(AV135&lt;&gt;"",WEEKDAY(AV$1,2)&lt;6),1,0),IF(AND(AX135&lt;&gt;"",WEEKDAY(AX$1,2)&lt;6),1,0),IF(AND(AZ135&lt;&gt;"",WEEKDAY(AZ$1,2)&lt;6),1,0),IF(AND(BB135&lt;&gt;"",WEEKDAY(BB$1,2)&lt;6),1,0),IF(AND(BD135&lt;&gt;"",WEEKDAY(BD$1,2)&lt;6),1,0),IF(AND(BF135&lt;&gt;"",WEEKDAY(BF$1,2)&lt;6),1,0),IF(AND(BH135&lt;&gt;"",WEEKDAY(BH$1,2)&lt;6),1,0),IF(AND(BJ135&lt;&gt;"",WEEKDAY(BJ$1,2)&lt;6),1,0),IF(AND(BL135&lt;&gt;"",WEEKDAY(BL$1,2)&lt;6),1,0))</f>
        <v>0</v>
      </c>
      <c r="BO135" s="85">
        <f>SUM(IF(AND(E135&lt;&gt;"",WEEKDAY(D$1,2)&lt;6),1,0),IF(AND(G135&lt;&gt;"",WEEKDAY(F$1,2)&lt;6),1,0),IF(AND(I135&lt;&gt;"",WEEKDAY(H$1,2)&lt;6),1,0),IF(AND(K135&lt;&gt;"",WEEKDAY(J$1,2)&lt;6),1,0),IF(AND(M135&lt;&gt;"",WEEKDAY(L$1,2)&lt;6),1,0),IF(AND(O135&lt;&gt;"",WEEKDAY(N$1,2)&lt;6),1,0),IF(AND(Q135&lt;&gt;"",WEEKDAY(P$1,2)&lt;6),1,0),IF(AND(S135&lt;&gt;"",WEEKDAY(R$1,2)&lt;6),1,0),IF(AND(U135&lt;&gt;"",WEEKDAY(T$1,2)&lt;6),1,0),IF(AND(W135&lt;&gt;"",WEEKDAY(V$1,2)&lt;6),1,0),IF(AND(Y135&lt;&gt;"",WEEKDAY(X$1,2)&lt;6),1,0),IF(AND(AA135&lt;&gt;"",WEEKDAY(Z$1,2)&lt;6),1,0),IF(AND(AC135&lt;&gt;"",WEEKDAY(AB$1,2)&lt;6),1,0),IF(AND(AE135&lt;&gt;"",WEEKDAY(AD$1,2)&lt;6),1,0),IF(AND(AG135&lt;&gt;"",WEEKDAY(AF$1,2)&lt;6),1,0),IF(AND(AI135&lt;&gt;"",WEEKDAY(AH$1,2)&lt;6),1,0),IF(AND(AK135&lt;&gt;"",WEEKDAY(AJ$1,2)&lt;6),1,0),IF(AND(AM135&lt;&gt;"",WEEKDAY(AL$1,2)&lt;6),1,0),IF(AND(AO135&lt;&gt;"",WEEKDAY(AN$1,2)&lt;6),1,0),IF(AND(AQ135&lt;&gt;"",WEEKDAY(AP$1,2)&lt;6),1,0),IF(AND(AS135&lt;&gt;"",WEEKDAY(AR$1,2)&lt;6),1,0),IF(AND(AU135&lt;&gt;"",WEEKDAY(AT$1,2)&lt;6),1,0),IF(AND(AW135&lt;&gt;"",WEEKDAY(AV$1,2)&lt;6),1,0),IF(AND(AY135&lt;&gt;"",WEEKDAY(AX$1,2)&lt;6),1,0),IF(AND(BA135&lt;&gt;"",WEEKDAY(AZ$1,2)&lt;6),1,0),IF(AND(BC135&lt;&gt;"",WEEKDAY(BB$1,2)&lt;6),1,0),IF(AND(BE135&lt;&gt;"",WEEKDAY(BD$1,2)&lt;6),1,0),IF(AND(BG135&lt;&gt;"",WEEKDAY(BF$1,2)&lt;6),1,0),IF(AND(BI135&lt;&gt;"",WEEKDAY(BH$1,2)&lt;6),1,0),IF(AND(BK135&lt;&gt;"",WEEKDAY(BJ$1,2)&lt;6),1,0),IF(AND(BM135&lt;&gt;"",WEEKDAY(BL$1,2)&lt;6),1,0))</f>
        <v>0</v>
      </c>
      <c r="BP135" s="85">
        <f>SUM(IF(AND((D135&lt;&gt;"")+(E135&lt;&gt;""),WEEKDAY(D$1,2)=6),1,0),IF(AND((F135&lt;&gt;"")+(G135&lt;&gt;""),WEEKDAY(F$1,2)=6),1,0),IF(AND((H135&lt;&gt;"")+(I135&lt;&gt;""),WEEKDAY(H$1,2)=6),1,0),IF(AND((J135&lt;&gt;"")+(K135&lt;&gt;""),WEEKDAY(J$1,2)=6),1,0),IF(AND((L135&lt;&gt;"")+(M135&lt;&gt;""),WEEKDAY(L$1,2)=6),1,0),IF(AND((N135&lt;&gt;"")+(O135&lt;&gt;""),WEEKDAY(N$1,2)=6),1,0),IF(AND((P135&lt;&gt;"")+(Q135&lt;&gt;""),WEEKDAY(P$1,2)=6),1,0),IF(AND((R135&lt;&gt;"")+(S135&lt;&gt;""),WEEKDAY(R$1,2)=6),1,0),IF(AND((T135&lt;&gt;"")+(U135&lt;&gt;""),WEEKDAY(T$1,2)=6),1,0),IF(AND((V135&lt;&gt;"")+(W135&lt;&gt;""),WEEKDAY(V$1,2)=6),1,0),IF(AND((X135&lt;&gt;"")+(Y135&lt;&gt;""),WEEKDAY(X$1,2)=6),1,0),IF(AND((Z135&lt;&gt;"")+(AA135&lt;&gt;""),WEEKDAY(Z$1,2)=6),1,0),IF(AND((AB135&lt;&gt;"")+(AC135&lt;&gt;""),WEEKDAY(AB$1,2)=6),1,0),IF(AND((AD135&lt;&gt;"")+(AE135&lt;&gt;""),WEEKDAY(AD$1,2)=6),1,0),IF(AND((AF135&lt;&gt;"")+(AG135&lt;&gt;""),WEEKDAY(AF$1,2)=6),1,0),IF(AND((AH135&lt;&gt;"")+(AI135&lt;&gt;""),WEEKDAY(AH$1,2)=6),1,0),IF(AND((AJ135&lt;&gt;"")+(AK135&lt;&gt;""),WEEKDAY(AJ$1,2)=6),1,0),IF(AND((AL135&lt;&gt;"")+(AM135&lt;&gt;""),WEEKDAY(AL$1,2)=6),1,0),IF(AND((AN135&lt;&gt;"")+(AO135&lt;&gt;""),WEEKDAY(AN$1,2)=6),1,0),IF(AND((AP135&lt;&gt;"")+(AQ135&lt;&gt;""),WEEKDAY(AP$1,2)=6),1,0),IF(AND((AR135&lt;&gt;"")+(AS135&lt;&gt;""),WEEKDAY(AR$1,2)=6),1,0),IF(AND((AT135&lt;&gt;"")+(AU135&lt;&gt;""),WEEKDAY(AT$1,2)=6),1,0),IF(AND((AV135&lt;&gt;"")+(AW135&lt;&gt;""),WEEKDAY(AV$1,2)=6),1,0),IF(AND((AX135&lt;&gt;"")+(AY135&lt;&gt;""),WEEKDAY(AX$1,2)=6),1,0),IF(AND((AZ135&lt;&gt;"")+(BA135&lt;&gt;""),WEEKDAY(AZ$1,2)=6),1,0),IF(AND((BB135&lt;&gt;"")+(BC135&lt;&gt;""),WEEKDAY(BB$1,2)=6),1,0),IF(AND((BD135&lt;&gt;"")+(BE135&lt;&gt;""),WEEKDAY(BD$1,2)=6),1,0),IF(AND((BF135&lt;&gt;"")+(BG135&lt;&gt;""),WEEKDAY(BF$1,2)=6),1,0),IF(AND((BH135&lt;&gt;"")+(BI135&lt;&gt;""),WEEKDAY(BH$1,2)=6),1,0),IF(AND((BJ135&lt;&gt;"")+(BK135&lt;&gt;""),WEEKDAY(BJ$1,2)=6),1,0),IF(AND((BL135&lt;&gt;"")+(BM135&lt;&gt;""),WEEKDAY(BL$1,2)=6),1,0))</f>
        <v>0</v>
      </c>
    </row>
    <row r="136" spans="1:68" ht="16.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>
        <f>SUM(IF(AND(D136&lt;&gt;"",WEEKDAY(D$1,2)&lt;6),1,0),IF(AND(F136&lt;&gt;"",WEEKDAY(F$1,2)&lt;6),1,0),IF(AND(H136&lt;&gt;"",WEEKDAY(H$1,2)&lt;6),1,0),IF(AND(J136&lt;&gt;"",WEEKDAY(J$1,2)&lt;6),1,0),IF(AND(L136&lt;&gt;"",WEEKDAY(L$1,2)&lt;6),1,0),IF(AND(N136&lt;&gt;"",WEEKDAY(N$1,2)&lt;6),1,0),IF(AND(P136&lt;&gt;"",WEEKDAY(P$1,2)&lt;6),1,0),IF(AND(R136&lt;&gt;"",WEEKDAY(R$1,2)&lt;6),1,0),IF(AND(T136&lt;&gt;"",WEEKDAY(T$1,2)&lt;6),1,0),IF(AND(V136&lt;&gt;"",WEEKDAY(V$1,2)&lt;6),1,0),IF(AND(X136&lt;&gt;"",WEEKDAY(X$1,2)&lt;6),1,0),IF(AND(Z136&lt;&gt;"",WEEKDAY(Z$1,2)&lt;6),1,0),IF(AND(AB136&lt;&gt;"",WEEKDAY(AB$1,2)&lt;6),1,0),IF(AND(AD136&lt;&gt;"",WEEKDAY(AD$1,2)&lt;6),1,0),IF(AND(AF136&lt;&gt;"",WEEKDAY(AF$1,2)&lt;6),1,0),IF(AND(AH136&lt;&gt;"",WEEKDAY(AH$1,2)&lt;6),1,0),IF(AND(AJ136&lt;&gt;"",WEEKDAY(AJ$1,2)&lt;6),1,0),IF(AND(AL136&lt;&gt;"",WEEKDAY(AL$1,2)&lt;6),1,0),IF(AND(AN136&lt;&gt;"",WEEKDAY(AN$1,2)&lt;6),1,0),IF(AND(AP136&lt;&gt;"",WEEKDAY(AP$1,2)&lt;6),1,0),IF(AND(AR136&lt;&gt;"",WEEKDAY(AR$1,2)&lt;6),1,0),IF(AND(AT136&lt;&gt;"",WEEKDAY(AT$1,2)&lt;6),1,0),IF(AND(AV136&lt;&gt;"",WEEKDAY(AV$1,2)&lt;6),1,0),IF(AND(AX136&lt;&gt;"",WEEKDAY(AX$1,2)&lt;6),1,0),IF(AND(AZ136&lt;&gt;"",WEEKDAY(AZ$1,2)&lt;6),1,0),IF(AND(BB136&lt;&gt;"",WEEKDAY(BB$1,2)&lt;6),1,0),IF(AND(BD136&lt;&gt;"",WEEKDAY(BD$1,2)&lt;6),1,0),IF(AND(BF136&lt;&gt;"",WEEKDAY(BF$1,2)&lt;6),1,0),IF(AND(BH136&lt;&gt;"",WEEKDAY(BH$1,2)&lt;6),1,0),IF(AND(BJ136&lt;&gt;"",WEEKDAY(BJ$1,2)&lt;6),1,0),IF(AND(BL136&lt;&gt;"",WEEKDAY(BL$1,2)&lt;6),1,0))</f>
        <v>0</v>
      </c>
      <c r="BO136" s="85">
        <f>SUM(IF(AND(E136&lt;&gt;"",WEEKDAY(D$1,2)&lt;6),1,0),IF(AND(G136&lt;&gt;"",WEEKDAY(F$1,2)&lt;6),1,0),IF(AND(I136&lt;&gt;"",WEEKDAY(H$1,2)&lt;6),1,0),IF(AND(K136&lt;&gt;"",WEEKDAY(J$1,2)&lt;6),1,0),IF(AND(M136&lt;&gt;"",WEEKDAY(L$1,2)&lt;6),1,0),IF(AND(O136&lt;&gt;"",WEEKDAY(N$1,2)&lt;6),1,0),IF(AND(Q136&lt;&gt;"",WEEKDAY(P$1,2)&lt;6),1,0),IF(AND(S136&lt;&gt;"",WEEKDAY(R$1,2)&lt;6),1,0),IF(AND(U136&lt;&gt;"",WEEKDAY(T$1,2)&lt;6),1,0),IF(AND(W136&lt;&gt;"",WEEKDAY(V$1,2)&lt;6),1,0),IF(AND(Y136&lt;&gt;"",WEEKDAY(X$1,2)&lt;6),1,0),IF(AND(AA136&lt;&gt;"",WEEKDAY(Z$1,2)&lt;6),1,0),IF(AND(AC136&lt;&gt;"",WEEKDAY(AB$1,2)&lt;6),1,0),IF(AND(AE136&lt;&gt;"",WEEKDAY(AD$1,2)&lt;6),1,0),IF(AND(AG136&lt;&gt;"",WEEKDAY(AF$1,2)&lt;6),1,0),IF(AND(AI136&lt;&gt;"",WEEKDAY(AH$1,2)&lt;6),1,0),IF(AND(AK136&lt;&gt;"",WEEKDAY(AJ$1,2)&lt;6),1,0),IF(AND(AM136&lt;&gt;"",WEEKDAY(AL$1,2)&lt;6),1,0),IF(AND(AO136&lt;&gt;"",WEEKDAY(AN$1,2)&lt;6),1,0),IF(AND(AQ136&lt;&gt;"",WEEKDAY(AP$1,2)&lt;6),1,0),IF(AND(AS136&lt;&gt;"",WEEKDAY(AR$1,2)&lt;6),1,0),IF(AND(AU136&lt;&gt;"",WEEKDAY(AT$1,2)&lt;6),1,0),IF(AND(AW136&lt;&gt;"",WEEKDAY(AV$1,2)&lt;6),1,0),IF(AND(AY136&lt;&gt;"",WEEKDAY(AX$1,2)&lt;6),1,0),IF(AND(BA136&lt;&gt;"",WEEKDAY(AZ$1,2)&lt;6),1,0),IF(AND(BC136&lt;&gt;"",WEEKDAY(BB$1,2)&lt;6),1,0),IF(AND(BE136&lt;&gt;"",WEEKDAY(BD$1,2)&lt;6),1,0),IF(AND(BG136&lt;&gt;"",WEEKDAY(BF$1,2)&lt;6),1,0),IF(AND(BI136&lt;&gt;"",WEEKDAY(BH$1,2)&lt;6),1,0),IF(AND(BK136&lt;&gt;"",WEEKDAY(BJ$1,2)&lt;6),1,0),IF(AND(BM136&lt;&gt;"",WEEKDAY(BL$1,2)&lt;6),1,0))</f>
        <v>0</v>
      </c>
      <c r="BP136" s="85">
        <f>SUM(IF(AND((D136&lt;&gt;"")+(E136&lt;&gt;""),WEEKDAY(D$1,2)=6),1,0),IF(AND((F136&lt;&gt;"")+(G136&lt;&gt;""),WEEKDAY(F$1,2)=6),1,0),IF(AND((H136&lt;&gt;"")+(I136&lt;&gt;""),WEEKDAY(H$1,2)=6),1,0),IF(AND((J136&lt;&gt;"")+(K136&lt;&gt;""),WEEKDAY(J$1,2)=6),1,0),IF(AND((L136&lt;&gt;"")+(M136&lt;&gt;""),WEEKDAY(L$1,2)=6),1,0),IF(AND((N136&lt;&gt;"")+(O136&lt;&gt;""),WEEKDAY(N$1,2)=6),1,0),IF(AND((P136&lt;&gt;"")+(Q136&lt;&gt;""),WEEKDAY(P$1,2)=6),1,0),IF(AND((R136&lt;&gt;"")+(S136&lt;&gt;""),WEEKDAY(R$1,2)=6),1,0),IF(AND((T136&lt;&gt;"")+(U136&lt;&gt;""),WEEKDAY(T$1,2)=6),1,0),IF(AND((V136&lt;&gt;"")+(W136&lt;&gt;""),WEEKDAY(V$1,2)=6),1,0),IF(AND((X136&lt;&gt;"")+(Y136&lt;&gt;""),WEEKDAY(X$1,2)=6),1,0),IF(AND((Z136&lt;&gt;"")+(AA136&lt;&gt;""),WEEKDAY(Z$1,2)=6),1,0),IF(AND((AB136&lt;&gt;"")+(AC136&lt;&gt;""),WEEKDAY(AB$1,2)=6),1,0),IF(AND((AD136&lt;&gt;"")+(AE136&lt;&gt;""),WEEKDAY(AD$1,2)=6),1,0),IF(AND((AF136&lt;&gt;"")+(AG136&lt;&gt;""),WEEKDAY(AF$1,2)=6),1,0),IF(AND((AH136&lt;&gt;"")+(AI136&lt;&gt;""),WEEKDAY(AH$1,2)=6),1,0),IF(AND((AJ136&lt;&gt;"")+(AK136&lt;&gt;""),WEEKDAY(AJ$1,2)=6),1,0),IF(AND((AL136&lt;&gt;"")+(AM136&lt;&gt;""),WEEKDAY(AL$1,2)=6),1,0),IF(AND((AN136&lt;&gt;"")+(AO136&lt;&gt;""),WEEKDAY(AN$1,2)=6),1,0),IF(AND((AP136&lt;&gt;"")+(AQ136&lt;&gt;""),WEEKDAY(AP$1,2)=6),1,0),IF(AND((AR136&lt;&gt;"")+(AS136&lt;&gt;""),WEEKDAY(AR$1,2)=6),1,0),IF(AND((AT136&lt;&gt;"")+(AU136&lt;&gt;""),WEEKDAY(AT$1,2)=6),1,0),IF(AND((AV136&lt;&gt;"")+(AW136&lt;&gt;""),WEEKDAY(AV$1,2)=6),1,0),IF(AND((AX136&lt;&gt;"")+(AY136&lt;&gt;""),WEEKDAY(AX$1,2)=6),1,0),IF(AND((AZ136&lt;&gt;"")+(BA136&lt;&gt;""),WEEKDAY(AZ$1,2)=6),1,0),IF(AND((BB136&lt;&gt;"")+(BC136&lt;&gt;""),WEEKDAY(BB$1,2)=6),1,0),IF(AND((BD136&lt;&gt;"")+(BE136&lt;&gt;""),WEEKDAY(BD$1,2)=6),1,0),IF(AND((BF136&lt;&gt;"")+(BG136&lt;&gt;""),WEEKDAY(BF$1,2)=6),1,0),IF(AND((BH136&lt;&gt;"")+(BI136&lt;&gt;""),WEEKDAY(BH$1,2)=6),1,0),IF(AND((BJ136&lt;&gt;"")+(BK136&lt;&gt;""),WEEKDAY(BJ$1,2)=6),1,0),IF(AND((BL136&lt;&gt;"")+(BM136&lt;&gt;""),WEEKDAY(BL$1,2)=6),1,0))</f>
        <v>0</v>
      </c>
    </row>
    <row r="137" spans="1:68" ht="16.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>
        <f>SUM(IF(AND(D137&lt;&gt;"",WEEKDAY(D$1,2)&lt;6),1,0),IF(AND(F137&lt;&gt;"",WEEKDAY(F$1,2)&lt;6),1,0),IF(AND(H137&lt;&gt;"",WEEKDAY(H$1,2)&lt;6),1,0),IF(AND(J137&lt;&gt;"",WEEKDAY(J$1,2)&lt;6),1,0),IF(AND(L137&lt;&gt;"",WEEKDAY(L$1,2)&lt;6),1,0),IF(AND(N137&lt;&gt;"",WEEKDAY(N$1,2)&lt;6),1,0),IF(AND(P137&lt;&gt;"",WEEKDAY(P$1,2)&lt;6),1,0),IF(AND(R137&lt;&gt;"",WEEKDAY(R$1,2)&lt;6),1,0),IF(AND(T137&lt;&gt;"",WEEKDAY(T$1,2)&lt;6),1,0),IF(AND(V137&lt;&gt;"",WEEKDAY(V$1,2)&lt;6),1,0),IF(AND(X137&lt;&gt;"",WEEKDAY(X$1,2)&lt;6),1,0),IF(AND(Z137&lt;&gt;"",WEEKDAY(Z$1,2)&lt;6),1,0),IF(AND(AB137&lt;&gt;"",WEEKDAY(AB$1,2)&lt;6),1,0),IF(AND(AD137&lt;&gt;"",WEEKDAY(AD$1,2)&lt;6),1,0),IF(AND(AF137&lt;&gt;"",WEEKDAY(AF$1,2)&lt;6),1,0),IF(AND(AH137&lt;&gt;"",WEEKDAY(AH$1,2)&lt;6),1,0),IF(AND(AJ137&lt;&gt;"",WEEKDAY(AJ$1,2)&lt;6),1,0),IF(AND(AL137&lt;&gt;"",WEEKDAY(AL$1,2)&lt;6),1,0),IF(AND(AN137&lt;&gt;"",WEEKDAY(AN$1,2)&lt;6),1,0),IF(AND(AP137&lt;&gt;"",WEEKDAY(AP$1,2)&lt;6),1,0),IF(AND(AR137&lt;&gt;"",WEEKDAY(AR$1,2)&lt;6),1,0),IF(AND(AT137&lt;&gt;"",WEEKDAY(AT$1,2)&lt;6),1,0),IF(AND(AV137&lt;&gt;"",WEEKDAY(AV$1,2)&lt;6),1,0),IF(AND(AX137&lt;&gt;"",WEEKDAY(AX$1,2)&lt;6),1,0),IF(AND(AZ137&lt;&gt;"",WEEKDAY(AZ$1,2)&lt;6),1,0),IF(AND(BB137&lt;&gt;"",WEEKDAY(BB$1,2)&lt;6),1,0),IF(AND(BD137&lt;&gt;"",WEEKDAY(BD$1,2)&lt;6),1,0),IF(AND(BF137&lt;&gt;"",WEEKDAY(BF$1,2)&lt;6),1,0),IF(AND(BH137&lt;&gt;"",WEEKDAY(BH$1,2)&lt;6),1,0),IF(AND(BJ137&lt;&gt;"",WEEKDAY(BJ$1,2)&lt;6),1,0),IF(AND(BL137&lt;&gt;"",WEEKDAY(BL$1,2)&lt;6),1,0))</f>
        <v>0</v>
      </c>
      <c r="BO137" s="85">
        <f>SUM(IF(AND(E137&lt;&gt;"",WEEKDAY(D$1,2)&lt;6),1,0),IF(AND(G137&lt;&gt;"",WEEKDAY(F$1,2)&lt;6),1,0),IF(AND(I137&lt;&gt;"",WEEKDAY(H$1,2)&lt;6),1,0),IF(AND(K137&lt;&gt;"",WEEKDAY(J$1,2)&lt;6),1,0),IF(AND(M137&lt;&gt;"",WEEKDAY(L$1,2)&lt;6),1,0),IF(AND(O137&lt;&gt;"",WEEKDAY(N$1,2)&lt;6),1,0),IF(AND(Q137&lt;&gt;"",WEEKDAY(P$1,2)&lt;6),1,0),IF(AND(S137&lt;&gt;"",WEEKDAY(R$1,2)&lt;6),1,0),IF(AND(U137&lt;&gt;"",WEEKDAY(T$1,2)&lt;6),1,0),IF(AND(W137&lt;&gt;"",WEEKDAY(V$1,2)&lt;6),1,0),IF(AND(Y137&lt;&gt;"",WEEKDAY(X$1,2)&lt;6),1,0),IF(AND(AA137&lt;&gt;"",WEEKDAY(Z$1,2)&lt;6),1,0),IF(AND(AC137&lt;&gt;"",WEEKDAY(AB$1,2)&lt;6),1,0),IF(AND(AE137&lt;&gt;"",WEEKDAY(AD$1,2)&lt;6),1,0),IF(AND(AG137&lt;&gt;"",WEEKDAY(AF$1,2)&lt;6),1,0),IF(AND(AI137&lt;&gt;"",WEEKDAY(AH$1,2)&lt;6),1,0),IF(AND(AK137&lt;&gt;"",WEEKDAY(AJ$1,2)&lt;6),1,0),IF(AND(AM137&lt;&gt;"",WEEKDAY(AL$1,2)&lt;6),1,0),IF(AND(AO137&lt;&gt;"",WEEKDAY(AN$1,2)&lt;6),1,0),IF(AND(AQ137&lt;&gt;"",WEEKDAY(AP$1,2)&lt;6),1,0),IF(AND(AS137&lt;&gt;"",WEEKDAY(AR$1,2)&lt;6),1,0),IF(AND(AU137&lt;&gt;"",WEEKDAY(AT$1,2)&lt;6),1,0),IF(AND(AW137&lt;&gt;"",WEEKDAY(AV$1,2)&lt;6),1,0),IF(AND(AY137&lt;&gt;"",WEEKDAY(AX$1,2)&lt;6),1,0),IF(AND(BA137&lt;&gt;"",WEEKDAY(AZ$1,2)&lt;6),1,0),IF(AND(BC137&lt;&gt;"",WEEKDAY(BB$1,2)&lt;6),1,0),IF(AND(BE137&lt;&gt;"",WEEKDAY(BD$1,2)&lt;6),1,0),IF(AND(BG137&lt;&gt;"",WEEKDAY(BF$1,2)&lt;6),1,0),IF(AND(BI137&lt;&gt;"",WEEKDAY(BH$1,2)&lt;6),1,0),IF(AND(BK137&lt;&gt;"",WEEKDAY(BJ$1,2)&lt;6),1,0),IF(AND(BM137&lt;&gt;"",WEEKDAY(BL$1,2)&lt;6),1,0))</f>
        <v>0</v>
      </c>
      <c r="BP137" s="85">
        <f>SUM(IF(AND((D137&lt;&gt;"")+(E137&lt;&gt;""),WEEKDAY(D$1,2)=6),1,0),IF(AND((F137&lt;&gt;"")+(G137&lt;&gt;""),WEEKDAY(F$1,2)=6),1,0),IF(AND((H137&lt;&gt;"")+(I137&lt;&gt;""),WEEKDAY(H$1,2)=6),1,0),IF(AND((J137&lt;&gt;"")+(K137&lt;&gt;""),WEEKDAY(J$1,2)=6),1,0),IF(AND((L137&lt;&gt;"")+(M137&lt;&gt;""),WEEKDAY(L$1,2)=6),1,0),IF(AND((N137&lt;&gt;"")+(O137&lt;&gt;""),WEEKDAY(N$1,2)=6),1,0),IF(AND((P137&lt;&gt;"")+(Q137&lt;&gt;""),WEEKDAY(P$1,2)=6),1,0),IF(AND((R137&lt;&gt;"")+(S137&lt;&gt;""),WEEKDAY(R$1,2)=6),1,0),IF(AND((T137&lt;&gt;"")+(U137&lt;&gt;""),WEEKDAY(T$1,2)=6),1,0),IF(AND((V137&lt;&gt;"")+(W137&lt;&gt;""),WEEKDAY(V$1,2)=6),1,0),IF(AND((X137&lt;&gt;"")+(Y137&lt;&gt;""),WEEKDAY(X$1,2)=6),1,0),IF(AND((Z137&lt;&gt;"")+(AA137&lt;&gt;""),WEEKDAY(Z$1,2)=6),1,0),IF(AND((AB137&lt;&gt;"")+(AC137&lt;&gt;""),WEEKDAY(AB$1,2)=6),1,0),IF(AND((AD137&lt;&gt;"")+(AE137&lt;&gt;""),WEEKDAY(AD$1,2)=6),1,0),IF(AND((AF137&lt;&gt;"")+(AG137&lt;&gt;""),WEEKDAY(AF$1,2)=6),1,0),IF(AND((AH137&lt;&gt;"")+(AI137&lt;&gt;""),WEEKDAY(AH$1,2)=6),1,0),IF(AND((AJ137&lt;&gt;"")+(AK137&lt;&gt;""),WEEKDAY(AJ$1,2)=6),1,0),IF(AND((AL137&lt;&gt;"")+(AM137&lt;&gt;""),WEEKDAY(AL$1,2)=6),1,0),IF(AND((AN137&lt;&gt;"")+(AO137&lt;&gt;""),WEEKDAY(AN$1,2)=6),1,0),IF(AND((AP137&lt;&gt;"")+(AQ137&lt;&gt;""),WEEKDAY(AP$1,2)=6),1,0),IF(AND((AR137&lt;&gt;"")+(AS137&lt;&gt;""),WEEKDAY(AR$1,2)=6),1,0),IF(AND((AT137&lt;&gt;"")+(AU137&lt;&gt;""),WEEKDAY(AT$1,2)=6),1,0),IF(AND((AV137&lt;&gt;"")+(AW137&lt;&gt;""),WEEKDAY(AV$1,2)=6),1,0),IF(AND((AX137&lt;&gt;"")+(AY137&lt;&gt;""),WEEKDAY(AX$1,2)=6),1,0),IF(AND((AZ137&lt;&gt;"")+(BA137&lt;&gt;""),WEEKDAY(AZ$1,2)=6),1,0),IF(AND((BB137&lt;&gt;"")+(BC137&lt;&gt;""),WEEKDAY(BB$1,2)=6),1,0),IF(AND((BD137&lt;&gt;"")+(BE137&lt;&gt;""),WEEKDAY(BD$1,2)=6),1,0),IF(AND((BF137&lt;&gt;"")+(BG137&lt;&gt;""),WEEKDAY(BF$1,2)=6),1,0),IF(AND((BH137&lt;&gt;"")+(BI137&lt;&gt;""),WEEKDAY(BH$1,2)=6),1,0),IF(AND((BJ137&lt;&gt;"")+(BK137&lt;&gt;""),WEEKDAY(BJ$1,2)=6),1,0),IF(AND((BL137&lt;&gt;"")+(BM137&lt;&gt;""),WEEKDAY(BL$1,2)=6),1,0))</f>
        <v>0</v>
      </c>
    </row>
    <row r="138" spans="1:68" ht="16.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>
        <f>SUM(IF(AND(D138&lt;&gt;"",WEEKDAY(D$1,2)&lt;6),1,0),IF(AND(F138&lt;&gt;"",WEEKDAY(F$1,2)&lt;6),1,0),IF(AND(H138&lt;&gt;"",WEEKDAY(H$1,2)&lt;6),1,0),IF(AND(J138&lt;&gt;"",WEEKDAY(J$1,2)&lt;6),1,0),IF(AND(L138&lt;&gt;"",WEEKDAY(L$1,2)&lt;6),1,0),IF(AND(N138&lt;&gt;"",WEEKDAY(N$1,2)&lt;6),1,0),IF(AND(P138&lt;&gt;"",WEEKDAY(P$1,2)&lt;6),1,0),IF(AND(R138&lt;&gt;"",WEEKDAY(R$1,2)&lt;6),1,0),IF(AND(T138&lt;&gt;"",WEEKDAY(T$1,2)&lt;6),1,0),IF(AND(V138&lt;&gt;"",WEEKDAY(V$1,2)&lt;6),1,0),IF(AND(X138&lt;&gt;"",WEEKDAY(X$1,2)&lt;6),1,0),IF(AND(Z138&lt;&gt;"",WEEKDAY(Z$1,2)&lt;6),1,0),IF(AND(AB138&lt;&gt;"",WEEKDAY(AB$1,2)&lt;6),1,0),IF(AND(AD138&lt;&gt;"",WEEKDAY(AD$1,2)&lt;6),1,0),IF(AND(AF138&lt;&gt;"",WEEKDAY(AF$1,2)&lt;6),1,0),IF(AND(AH138&lt;&gt;"",WEEKDAY(AH$1,2)&lt;6),1,0),IF(AND(AJ138&lt;&gt;"",WEEKDAY(AJ$1,2)&lt;6),1,0),IF(AND(AL138&lt;&gt;"",WEEKDAY(AL$1,2)&lt;6),1,0),IF(AND(AN138&lt;&gt;"",WEEKDAY(AN$1,2)&lt;6),1,0),IF(AND(AP138&lt;&gt;"",WEEKDAY(AP$1,2)&lt;6),1,0),IF(AND(AR138&lt;&gt;"",WEEKDAY(AR$1,2)&lt;6),1,0),IF(AND(AT138&lt;&gt;"",WEEKDAY(AT$1,2)&lt;6),1,0),IF(AND(AV138&lt;&gt;"",WEEKDAY(AV$1,2)&lt;6),1,0),IF(AND(AX138&lt;&gt;"",WEEKDAY(AX$1,2)&lt;6),1,0),IF(AND(AZ138&lt;&gt;"",WEEKDAY(AZ$1,2)&lt;6),1,0),IF(AND(BB138&lt;&gt;"",WEEKDAY(BB$1,2)&lt;6),1,0),IF(AND(BD138&lt;&gt;"",WEEKDAY(BD$1,2)&lt;6),1,0),IF(AND(BF138&lt;&gt;"",WEEKDAY(BF$1,2)&lt;6),1,0),IF(AND(BH138&lt;&gt;"",WEEKDAY(BH$1,2)&lt;6),1,0),IF(AND(BJ138&lt;&gt;"",WEEKDAY(BJ$1,2)&lt;6),1,0),IF(AND(BL138&lt;&gt;"",WEEKDAY(BL$1,2)&lt;6),1,0))</f>
        <v>0</v>
      </c>
      <c r="BO138" s="85">
        <f>SUM(IF(AND(E138&lt;&gt;"",WEEKDAY(D$1,2)&lt;6),1,0),IF(AND(G138&lt;&gt;"",WEEKDAY(F$1,2)&lt;6),1,0),IF(AND(I138&lt;&gt;"",WEEKDAY(H$1,2)&lt;6),1,0),IF(AND(K138&lt;&gt;"",WEEKDAY(J$1,2)&lt;6),1,0),IF(AND(M138&lt;&gt;"",WEEKDAY(L$1,2)&lt;6),1,0),IF(AND(O138&lt;&gt;"",WEEKDAY(N$1,2)&lt;6),1,0),IF(AND(Q138&lt;&gt;"",WEEKDAY(P$1,2)&lt;6),1,0),IF(AND(S138&lt;&gt;"",WEEKDAY(R$1,2)&lt;6),1,0),IF(AND(U138&lt;&gt;"",WEEKDAY(T$1,2)&lt;6),1,0),IF(AND(W138&lt;&gt;"",WEEKDAY(V$1,2)&lt;6),1,0),IF(AND(Y138&lt;&gt;"",WEEKDAY(X$1,2)&lt;6),1,0),IF(AND(AA138&lt;&gt;"",WEEKDAY(Z$1,2)&lt;6),1,0),IF(AND(AC138&lt;&gt;"",WEEKDAY(AB$1,2)&lt;6),1,0),IF(AND(AE138&lt;&gt;"",WEEKDAY(AD$1,2)&lt;6),1,0),IF(AND(AG138&lt;&gt;"",WEEKDAY(AF$1,2)&lt;6),1,0),IF(AND(AI138&lt;&gt;"",WEEKDAY(AH$1,2)&lt;6),1,0),IF(AND(AK138&lt;&gt;"",WEEKDAY(AJ$1,2)&lt;6),1,0),IF(AND(AM138&lt;&gt;"",WEEKDAY(AL$1,2)&lt;6),1,0),IF(AND(AO138&lt;&gt;"",WEEKDAY(AN$1,2)&lt;6),1,0),IF(AND(AQ138&lt;&gt;"",WEEKDAY(AP$1,2)&lt;6),1,0),IF(AND(AS138&lt;&gt;"",WEEKDAY(AR$1,2)&lt;6),1,0),IF(AND(AU138&lt;&gt;"",WEEKDAY(AT$1,2)&lt;6),1,0),IF(AND(AW138&lt;&gt;"",WEEKDAY(AV$1,2)&lt;6),1,0),IF(AND(AY138&lt;&gt;"",WEEKDAY(AX$1,2)&lt;6),1,0),IF(AND(BA138&lt;&gt;"",WEEKDAY(AZ$1,2)&lt;6),1,0),IF(AND(BC138&lt;&gt;"",WEEKDAY(BB$1,2)&lt;6),1,0),IF(AND(BE138&lt;&gt;"",WEEKDAY(BD$1,2)&lt;6),1,0),IF(AND(BG138&lt;&gt;"",WEEKDAY(BF$1,2)&lt;6),1,0),IF(AND(BI138&lt;&gt;"",WEEKDAY(BH$1,2)&lt;6),1,0),IF(AND(BK138&lt;&gt;"",WEEKDAY(BJ$1,2)&lt;6),1,0),IF(AND(BM138&lt;&gt;"",WEEKDAY(BL$1,2)&lt;6),1,0))</f>
        <v>0</v>
      </c>
      <c r="BP138" s="85">
        <f>SUM(IF(AND((D138&lt;&gt;"")+(E138&lt;&gt;""),WEEKDAY(D$1,2)=6),1,0),IF(AND((F138&lt;&gt;"")+(G138&lt;&gt;""),WEEKDAY(F$1,2)=6),1,0),IF(AND((H138&lt;&gt;"")+(I138&lt;&gt;""),WEEKDAY(H$1,2)=6),1,0),IF(AND((J138&lt;&gt;"")+(K138&lt;&gt;""),WEEKDAY(J$1,2)=6),1,0),IF(AND((L138&lt;&gt;"")+(M138&lt;&gt;""),WEEKDAY(L$1,2)=6),1,0),IF(AND((N138&lt;&gt;"")+(O138&lt;&gt;""),WEEKDAY(N$1,2)=6),1,0),IF(AND((P138&lt;&gt;"")+(Q138&lt;&gt;""),WEEKDAY(P$1,2)=6),1,0),IF(AND((R138&lt;&gt;"")+(S138&lt;&gt;""),WEEKDAY(R$1,2)=6),1,0),IF(AND((T138&lt;&gt;"")+(U138&lt;&gt;""),WEEKDAY(T$1,2)=6),1,0),IF(AND((V138&lt;&gt;"")+(W138&lt;&gt;""),WEEKDAY(V$1,2)=6),1,0),IF(AND((X138&lt;&gt;"")+(Y138&lt;&gt;""),WEEKDAY(X$1,2)=6),1,0),IF(AND((Z138&lt;&gt;"")+(AA138&lt;&gt;""),WEEKDAY(Z$1,2)=6),1,0),IF(AND((AB138&lt;&gt;"")+(AC138&lt;&gt;""),WEEKDAY(AB$1,2)=6),1,0),IF(AND((AD138&lt;&gt;"")+(AE138&lt;&gt;""),WEEKDAY(AD$1,2)=6),1,0),IF(AND((AF138&lt;&gt;"")+(AG138&lt;&gt;""),WEEKDAY(AF$1,2)=6),1,0),IF(AND((AH138&lt;&gt;"")+(AI138&lt;&gt;""),WEEKDAY(AH$1,2)=6),1,0),IF(AND((AJ138&lt;&gt;"")+(AK138&lt;&gt;""),WEEKDAY(AJ$1,2)=6),1,0),IF(AND((AL138&lt;&gt;"")+(AM138&lt;&gt;""),WEEKDAY(AL$1,2)=6),1,0),IF(AND((AN138&lt;&gt;"")+(AO138&lt;&gt;""),WEEKDAY(AN$1,2)=6),1,0),IF(AND((AP138&lt;&gt;"")+(AQ138&lt;&gt;""),WEEKDAY(AP$1,2)=6),1,0),IF(AND((AR138&lt;&gt;"")+(AS138&lt;&gt;""),WEEKDAY(AR$1,2)=6),1,0),IF(AND((AT138&lt;&gt;"")+(AU138&lt;&gt;""),WEEKDAY(AT$1,2)=6),1,0),IF(AND((AV138&lt;&gt;"")+(AW138&lt;&gt;""),WEEKDAY(AV$1,2)=6),1,0),IF(AND((AX138&lt;&gt;"")+(AY138&lt;&gt;""),WEEKDAY(AX$1,2)=6),1,0),IF(AND((AZ138&lt;&gt;"")+(BA138&lt;&gt;""),WEEKDAY(AZ$1,2)=6),1,0),IF(AND((BB138&lt;&gt;"")+(BC138&lt;&gt;""),WEEKDAY(BB$1,2)=6),1,0),IF(AND((BD138&lt;&gt;"")+(BE138&lt;&gt;""),WEEKDAY(BD$1,2)=6),1,0),IF(AND((BF138&lt;&gt;"")+(BG138&lt;&gt;""),WEEKDAY(BF$1,2)=6),1,0),IF(AND((BH138&lt;&gt;"")+(BI138&lt;&gt;""),WEEKDAY(BH$1,2)=6),1,0),IF(AND((BJ138&lt;&gt;"")+(BK138&lt;&gt;""),WEEKDAY(BJ$1,2)=6),1,0),IF(AND((BL138&lt;&gt;"")+(BM138&lt;&gt;""),WEEKDAY(BL$1,2)=6),1,0))</f>
        <v>0</v>
      </c>
    </row>
    <row r="139" spans="1:68" ht="16.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>
        <f>SUM(IF(AND(D139&lt;&gt;"",WEEKDAY(D$1,2)&lt;6),1,0),IF(AND(F139&lt;&gt;"",WEEKDAY(F$1,2)&lt;6),1,0),IF(AND(H139&lt;&gt;"",WEEKDAY(H$1,2)&lt;6),1,0),IF(AND(J139&lt;&gt;"",WEEKDAY(J$1,2)&lt;6),1,0),IF(AND(L139&lt;&gt;"",WEEKDAY(L$1,2)&lt;6),1,0),IF(AND(N139&lt;&gt;"",WEEKDAY(N$1,2)&lt;6),1,0),IF(AND(P139&lt;&gt;"",WEEKDAY(P$1,2)&lt;6),1,0),IF(AND(R139&lt;&gt;"",WEEKDAY(R$1,2)&lt;6),1,0),IF(AND(T139&lt;&gt;"",WEEKDAY(T$1,2)&lt;6),1,0),IF(AND(V139&lt;&gt;"",WEEKDAY(V$1,2)&lt;6),1,0),IF(AND(X139&lt;&gt;"",WEEKDAY(X$1,2)&lt;6),1,0),IF(AND(Z139&lt;&gt;"",WEEKDAY(Z$1,2)&lt;6),1,0),IF(AND(AB139&lt;&gt;"",WEEKDAY(AB$1,2)&lt;6),1,0),IF(AND(AD139&lt;&gt;"",WEEKDAY(AD$1,2)&lt;6),1,0),IF(AND(AF139&lt;&gt;"",WEEKDAY(AF$1,2)&lt;6),1,0),IF(AND(AH139&lt;&gt;"",WEEKDAY(AH$1,2)&lt;6),1,0),IF(AND(AJ139&lt;&gt;"",WEEKDAY(AJ$1,2)&lt;6),1,0),IF(AND(AL139&lt;&gt;"",WEEKDAY(AL$1,2)&lt;6),1,0),IF(AND(AN139&lt;&gt;"",WEEKDAY(AN$1,2)&lt;6),1,0),IF(AND(AP139&lt;&gt;"",WEEKDAY(AP$1,2)&lt;6),1,0),IF(AND(AR139&lt;&gt;"",WEEKDAY(AR$1,2)&lt;6),1,0),IF(AND(AT139&lt;&gt;"",WEEKDAY(AT$1,2)&lt;6),1,0),IF(AND(AV139&lt;&gt;"",WEEKDAY(AV$1,2)&lt;6),1,0),IF(AND(AX139&lt;&gt;"",WEEKDAY(AX$1,2)&lt;6),1,0),IF(AND(AZ139&lt;&gt;"",WEEKDAY(AZ$1,2)&lt;6),1,0),IF(AND(BB139&lt;&gt;"",WEEKDAY(BB$1,2)&lt;6),1,0),IF(AND(BD139&lt;&gt;"",WEEKDAY(BD$1,2)&lt;6),1,0),IF(AND(BF139&lt;&gt;"",WEEKDAY(BF$1,2)&lt;6),1,0),IF(AND(BH139&lt;&gt;"",WEEKDAY(BH$1,2)&lt;6),1,0),IF(AND(BJ139&lt;&gt;"",WEEKDAY(BJ$1,2)&lt;6),1,0),IF(AND(BL139&lt;&gt;"",WEEKDAY(BL$1,2)&lt;6),1,0))</f>
        <v>0</v>
      </c>
      <c r="BO139" s="85">
        <f>SUM(IF(AND(E139&lt;&gt;"",WEEKDAY(D$1,2)&lt;6),1,0),IF(AND(G139&lt;&gt;"",WEEKDAY(F$1,2)&lt;6),1,0),IF(AND(I139&lt;&gt;"",WEEKDAY(H$1,2)&lt;6),1,0),IF(AND(K139&lt;&gt;"",WEEKDAY(J$1,2)&lt;6),1,0),IF(AND(M139&lt;&gt;"",WEEKDAY(L$1,2)&lt;6),1,0),IF(AND(O139&lt;&gt;"",WEEKDAY(N$1,2)&lt;6),1,0),IF(AND(Q139&lt;&gt;"",WEEKDAY(P$1,2)&lt;6),1,0),IF(AND(S139&lt;&gt;"",WEEKDAY(R$1,2)&lt;6),1,0),IF(AND(U139&lt;&gt;"",WEEKDAY(T$1,2)&lt;6),1,0),IF(AND(W139&lt;&gt;"",WEEKDAY(V$1,2)&lt;6),1,0),IF(AND(Y139&lt;&gt;"",WEEKDAY(X$1,2)&lt;6),1,0),IF(AND(AA139&lt;&gt;"",WEEKDAY(Z$1,2)&lt;6),1,0),IF(AND(AC139&lt;&gt;"",WEEKDAY(AB$1,2)&lt;6),1,0),IF(AND(AE139&lt;&gt;"",WEEKDAY(AD$1,2)&lt;6),1,0),IF(AND(AG139&lt;&gt;"",WEEKDAY(AF$1,2)&lt;6),1,0),IF(AND(AI139&lt;&gt;"",WEEKDAY(AH$1,2)&lt;6),1,0),IF(AND(AK139&lt;&gt;"",WEEKDAY(AJ$1,2)&lt;6),1,0),IF(AND(AM139&lt;&gt;"",WEEKDAY(AL$1,2)&lt;6),1,0),IF(AND(AO139&lt;&gt;"",WEEKDAY(AN$1,2)&lt;6),1,0),IF(AND(AQ139&lt;&gt;"",WEEKDAY(AP$1,2)&lt;6),1,0),IF(AND(AS139&lt;&gt;"",WEEKDAY(AR$1,2)&lt;6),1,0),IF(AND(AU139&lt;&gt;"",WEEKDAY(AT$1,2)&lt;6),1,0),IF(AND(AW139&lt;&gt;"",WEEKDAY(AV$1,2)&lt;6),1,0),IF(AND(AY139&lt;&gt;"",WEEKDAY(AX$1,2)&lt;6),1,0),IF(AND(BA139&lt;&gt;"",WEEKDAY(AZ$1,2)&lt;6),1,0),IF(AND(BC139&lt;&gt;"",WEEKDAY(BB$1,2)&lt;6),1,0),IF(AND(BE139&lt;&gt;"",WEEKDAY(BD$1,2)&lt;6),1,0),IF(AND(BG139&lt;&gt;"",WEEKDAY(BF$1,2)&lt;6),1,0),IF(AND(BI139&lt;&gt;"",WEEKDAY(BH$1,2)&lt;6),1,0),IF(AND(BK139&lt;&gt;"",WEEKDAY(BJ$1,2)&lt;6),1,0),IF(AND(BM139&lt;&gt;"",WEEKDAY(BL$1,2)&lt;6),1,0))</f>
        <v>0</v>
      </c>
      <c r="BP139" s="85">
        <f>SUM(IF(AND((D139&lt;&gt;"")+(E139&lt;&gt;""),WEEKDAY(D$1,2)=6),1,0),IF(AND((F139&lt;&gt;"")+(G139&lt;&gt;""),WEEKDAY(F$1,2)=6),1,0),IF(AND((H139&lt;&gt;"")+(I139&lt;&gt;""),WEEKDAY(H$1,2)=6),1,0),IF(AND((J139&lt;&gt;"")+(K139&lt;&gt;""),WEEKDAY(J$1,2)=6),1,0),IF(AND((L139&lt;&gt;"")+(M139&lt;&gt;""),WEEKDAY(L$1,2)=6),1,0),IF(AND((N139&lt;&gt;"")+(O139&lt;&gt;""),WEEKDAY(N$1,2)=6),1,0),IF(AND((P139&lt;&gt;"")+(Q139&lt;&gt;""),WEEKDAY(P$1,2)=6),1,0),IF(AND((R139&lt;&gt;"")+(S139&lt;&gt;""),WEEKDAY(R$1,2)=6),1,0),IF(AND((T139&lt;&gt;"")+(U139&lt;&gt;""),WEEKDAY(T$1,2)=6),1,0),IF(AND((V139&lt;&gt;"")+(W139&lt;&gt;""),WEEKDAY(V$1,2)=6),1,0),IF(AND((X139&lt;&gt;"")+(Y139&lt;&gt;""),WEEKDAY(X$1,2)=6),1,0),IF(AND((Z139&lt;&gt;"")+(AA139&lt;&gt;""),WEEKDAY(Z$1,2)=6),1,0),IF(AND((AB139&lt;&gt;"")+(AC139&lt;&gt;""),WEEKDAY(AB$1,2)=6),1,0),IF(AND((AD139&lt;&gt;"")+(AE139&lt;&gt;""),WEEKDAY(AD$1,2)=6),1,0),IF(AND((AF139&lt;&gt;"")+(AG139&lt;&gt;""),WEEKDAY(AF$1,2)=6),1,0),IF(AND((AH139&lt;&gt;"")+(AI139&lt;&gt;""),WEEKDAY(AH$1,2)=6),1,0),IF(AND((AJ139&lt;&gt;"")+(AK139&lt;&gt;""),WEEKDAY(AJ$1,2)=6),1,0),IF(AND((AL139&lt;&gt;"")+(AM139&lt;&gt;""),WEEKDAY(AL$1,2)=6),1,0),IF(AND((AN139&lt;&gt;"")+(AO139&lt;&gt;""),WEEKDAY(AN$1,2)=6),1,0),IF(AND((AP139&lt;&gt;"")+(AQ139&lt;&gt;""),WEEKDAY(AP$1,2)=6),1,0),IF(AND((AR139&lt;&gt;"")+(AS139&lt;&gt;""),WEEKDAY(AR$1,2)=6),1,0),IF(AND((AT139&lt;&gt;"")+(AU139&lt;&gt;""),WEEKDAY(AT$1,2)=6),1,0),IF(AND((AV139&lt;&gt;"")+(AW139&lt;&gt;""),WEEKDAY(AV$1,2)=6),1,0),IF(AND((AX139&lt;&gt;"")+(AY139&lt;&gt;""),WEEKDAY(AX$1,2)=6),1,0),IF(AND((AZ139&lt;&gt;"")+(BA139&lt;&gt;""),WEEKDAY(AZ$1,2)=6),1,0),IF(AND((BB139&lt;&gt;"")+(BC139&lt;&gt;""),WEEKDAY(BB$1,2)=6),1,0),IF(AND((BD139&lt;&gt;"")+(BE139&lt;&gt;""),WEEKDAY(BD$1,2)=6),1,0),IF(AND((BF139&lt;&gt;"")+(BG139&lt;&gt;""),WEEKDAY(BF$1,2)=6),1,0),IF(AND((BH139&lt;&gt;"")+(BI139&lt;&gt;""),WEEKDAY(BH$1,2)=6),1,0),IF(AND((BJ139&lt;&gt;"")+(BK139&lt;&gt;""),WEEKDAY(BJ$1,2)=6),1,0),IF(AND((BL139&lt;&gt;"")+(BM139&lt;&gt;""),WEEKDAY(BL$1,2)=6),1,0))</f>
        <v>0</v>
      </c>
    </row>
    <row r="140" spans="1:68" ht="16.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>
        <f>SUM(IF(AND(D140&lt;&gt;"",WEEKDAY(D$1,2)&lt;6),1,0),IF(AND(F140&lt;&gt;"",WEEKDAY(F$1,2)&lt;6),1,0),IF(AND(H140&lt;&gt;"",WEEKDAY(H$1,2)&lt;6),1,0),IF(AND(J140&lt;&gt;"",WEEKDAY(J$1,2)&lt;6),1,0),IF(AND(L140&lt;&gt;"",WEEKDAY(L$1,2)&lt;6),1,0),IF(AND(N140&lt;&gt;"",WEEKDAY(N$1,2)&lt;6),1,0),IF(AND(P140&lt;&gt;"",WEEKDAY(P$1,2)&lt;6),1,0),IF(AND(R140&lt;&gt;"",WEEKDAY(R$1,2)&lt;6),1,0),IF(AND(T140&lt;&gt;"",WEEKDAY(T$1,2)&lt;6),1,0),IF(AND(V140&lt;&gt;"",WEEKDAY(V$1,2)&lt;6),1,0),IF(AND(X140&lt;&gt;"",WEEKDAY(X$1,2)&lt;6),1,0),IF(AND(Z140&lt;&gt;"",WEEKDAY(Z$1,2)&lt;6),1,0),IF(AND(AB140&lt;&gt;"",WEEKDAY(AB$1,2)&lt;6),1,0),IF(AND(AD140&lt;&gt;"",WEEKDAY(AD$1,2)&lt;6),1,0),IF(AND(AF140&lt;&gt;"",WEEKDAY(AF$1,2)&lt;6),1,0),IF(AND(AH140&lt;&gt;"",WEEKDAY(AH$1,2)&lt;6),1,0),IF(AND(AJ140&lt;&gt;"",WEEKDAY(AJ$1,2)&lt;6),1,0),IF(AND(AL140&lt;&gt;"",WEEKDAY(AL$1,2)&lt;6),1,0),IF(AND(AN140&lt;&gt;"",WEEKDAY(AN$1,2)&lt;6),1,0),IF(AND(AP140&lt;&gt;"",WEEKDAY(AP$1,2)&lt;6),1,0),IF(AND(AR140&lt;&gt;"",WEEKDAY(AR$1,2)&lt;6),1,0),IF(AND(AT140&lt;&gt;"",WEEKDAY(AT$1,2)&lt;6),1,0),IF(AND(AV140&lt;&gt;"",WEEKDAY(AV$1,2)&lt;6),1,0),IF(AND(AX140&lt;&gt;"",WEEKDAY(AX$1,2)&lt;6),1,0),IF(AND(AZ140&lt;&gt;"",WEEKDAY(AZ$1,2)&lt;6),1,0),IF(AND(BB140&lt;&gt;"",WEEKDAY(BB$1,2)&lt;6),1,0),IF(AND(BD140&lt;&gt;"",WEEKDAY(BD$1,2)&lt;6),1,0),IF(AND(BF140&lt;&gt;"",WEEKDAY(BF$1,2)&lt;6),1,0),IF(AND(BH140&lt;&gt;"",WEEKDAY(BH$1,2)&lt;6),1,0),IF(AND(BJ140&lt;&gt;"",WEEKDAY(BJ$1,2)&lt;6),1,0),IF(AND(BL140&lt;&gt;"",WEEKDAY(BL$1,2)&lt;6),1,0))</f>
        <v>0</v>
      </c>
      <c r="BO140" s="85">
        <f>SUM(IF(AND(E140&lt;&gt;"",WEEKDAY(D$1,2)&lt;6),1,0),IF(AND(G140&lt;&gt;"",WEEKDAY(F$1,2)&lt;6),1,0),IF(AND(I140&lt;&gt;"",WEEKDAY(H$1,2)&lt;6),1,0),IF(AND(K140&lt;&gt;"",WEEKDAY(J$1,2)&lt;6),1,0),IF(AND(M140&lt;&gt;"",WEEKDAY(L$1,2)&lt;6),1,0),IF(AND(O140&lt;&gt;"",WEEKDAY(N$1,2)&lt;6),1,0),IF(AND(Q140&lt;&gt;"",WEEKDAY(P$1,2)&lt;6),1,0),IF(AND(S140&lt;&gt;"",WEEKDAY(R$1,2)&lt;6),1,0),IF(AND(U140&lt;&gt;"",WEEKDAY(T$1,2)&lt;6),1,0),IF(AND(W140&lt;&gt;"",WEEKDAY(V$1,2)&lt;6),1,0),IF(AND(Y140&lt;&gt;"",WEEKDAY(X$1,2)&lt;6),1,0),IF(AND(AA140&lt;&gt;"",WEEKDAY(Z$1,2)&lt;6),1,0),IF(AND(AC140&lt;&gt;"",WEEKDAY(AB$1,2)&lt;6),1,0),IF(AND(AE140&lt;&gt;"",WEEKDAY(AD$1,2)&lt;6),1,0),IF(AND(AG140&lt;&gt;"",WEEKDAY(AF$1,2)&lt;6),1,0),IF(AND(AI140&lt;&gt;"",WEEKDAY(AH$1,2)&lt;6),1,0),IF(AND(AK140&lt;&gt;"",WEEKDAY(AJ$1,2)&lt;6),1,0),IF(AND(AM140&lt;&gt;"",WEEKDAY(AL$1,2)&lt;6),1,0),IF(AND(AO140&lt;&gt;"",WEEKDAY(AN$1,2)&lt;6),1,0),IF(AND(AQ140&lt;&gt;"",WEEKDAY(AP$1,2)&lt;6),1,0),IF(AND(AS140&lt;&gt;"",WEEKDAY(AR$1,2)&lt;6),1,0),IF(AND(AU140&lt;&gt;"",WEEKDAY(AT$1,2)&lt;6),1,0),IF(AND(AW140&lt;&gt;"",WEEKDAY(AV$1,2)&lt;6),1,0),IF(AND(AY140&lt;&gt;"",WEEKDAY(AX$1,2)&lt;6),1,0),IF(AND(BA140&lt;&gt;"",WEEKDAY(AZ$1,2)&lt;6),1,0),IF(AND(BC140&lt;&gt;"",WEEKDAY(BB$1,2)&lt;6),1,0),IF(AND(BE140&lt;&gt;"",WEEKDAY(BD$1,2)&lt;6),1,0),IF(AND(BG140&lt;&gt;"",WEEKDAY(BF$1,2)&lt;6),1,0),IF(AND(BI140&lt;&gt;"",WEEKDAY(BH$1,2)&lt;6),1,0),IF(AND(BK140&lt;&gt;"",WEEKDAY(BJ$1,2)&lt;6),1,0),IF(AND(BM140&lt;&gt;"",WEEKDAY(BL$1,2)&lt;6),1,0))</f>
        <v>0</v>
      </c>
      <c r="BP140" s="85">
        <f>SUM(IF(AND((D140&lt;&gt;"")+(E140&lt;&gt;""),WEEKDAY(D$1,2)=6),1,0),IF(AND((F140&lt;&gt;"")+(G140&lt;&gt;""),WEEKDAY(F$1,2)=6),1,0),IF(AND((H140&lt;&gt;"")+(I140&lt;&gt;""),WEEKDAY(H$1,2)=6),1,0),IF(AND((J140&lt;&gt;"")+(K140&lt;&gt;""),WEEKDAY(J$1,2)=6),1,0),IF(AND((L140&lt;&gt;"")+(M140&lt;&gt;""),WEEKDAY(L$1,2)=6),1,0),IF(AND((N140&lt;&gt;"")+(O140&lt;&gt;""),WEEKDAY(N$1,2)=6),1,0),IF(AND((P140&lt;&gt;"")+(Q140&lt;&gt;""),WEEKDAY(P$1,2)=6),1,0),IF(AND((R140&lt;&gt;"")+(S140&lt;&gt;""),WEEKDAY(R$1,2)=6),1,0),IF(AND((T140&lt;&gt;"")+(U140&lt;&gt;""),WEEKDAY(T$1,2)=6),1,0),IF(AND((V140&lt;&gt;"")+(W140&lt;&gt;""),WEEKDAY(V$1,2)=6),1,0),IF(AND((X140&lt;&gt;"")+(Y140&lt;&gt;""),WEEKDAY(X$1,2)=6),1,0),IF(AND((Z140&lt;&gt;"")+(AA140&lt;&gt;""),WEEKDAY(Z$1,2)=6),1,0),IF(AND((AB140&lt;&gt;"")+(AC140&lt;&gt;""),WEEKDAY(AB$1,2)=6),1,0),IF(AND((AD140&lt;&gt;"")+(AE140&lt;&gt;""),WEEKDAY(AD$1,2)=6),1,0),IF(AND((AF140&lt;&gt;"")+(AG140&lt;&gt;""),WEEKDAY(AF$1,2)=6),1,0),IF(AND((AH140&lt;&gt;"")+(AI140&lt;&gt;""),WEEKDAY(AH$1,2)=6),1,0),IF(AND((AJ140&lt;&gt;"")+(AK140&lt;&gt;""),WEEKDAY(AJ$1,2)=6),1,0),IF(AND((AL140&lt;&gt;"")+(AM140&lt;&gt;""),WEEKDAY(AL$1,2)=6),1,0),IF(AND((AN140&lt;&gt;"")+(AO140&lt;&gt;""),WEEKDAY(AN$1,2)=6),1,0),IF(AND((AP140&lt;&gt;"")+(AQ140&lt;&gt;""),WEEKDAY(AP$1,2)=6),1,0),IF(AND((AR140&lt;&gt;"")+(AS140&lt;&gt;""),WEEKDAY(AR$1,2)=6),1,0),IF(AND((AT140&lt;&gt;"")+(AU140&lt;&gt;""),WEEKDAY(AT$1,2)=6),1,0),IF(AND((AV140&lt;&gt;"")+(AW140&lt;&gt;""),WEEKDAY(AV$1,2)=6),1,0),IF(AND((AX140&lt;&gt;"")+(AY140&lt;&gt;""),WEEKDAY(AX$1,2)=6),1,0),IF(AND((AZ140&lt;&gt;"")+(BA140&lt;&gt;""),WEEKDAY(AZ$1,2)=6),1,0),IF(AND((BB140&lt;&gt;"")+(BC140&lt;&gt;""),WEEKDAY(BB$1,2)=6),1,0),IF(AND((BD140&lt;&gt;"")+(BE140&lt;&gt;""),WEEKDAY(BD$1,2)=6),1,0),IF(AND((BF140&lt;&gt;"")+(BG140&lt;&gt;""),WEEKDAY(BF$1,2)=6),1,0),IF(AND((BH140&lt;&gt;"")+(BI140&lt;&gt;""),WEEKDAY(BH$1,2)=6),1,0),IF(AND((BJ140&lt;&gt;"")+(BK140&lt;&gt;""),WEEKDAY(BJ$1,2)=6),1,0),IF(AND((BL140&lt;&gt;"")+(BM140&lt;&gt;""),WEEKDAY(BL$1,2)=6),1,0))</f>
        <v>0</v>
      </c>
    </row>
    <row r="141" spans="1:68" ht="16.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>
        <f>SUM(IF(AND(D141&lt;&gt;"",WEEKDAY(D$1,2)&lt;6),1,0),IF(AND(F141&lt;&gt;"",WEEKDAY(F$1,2)&lt;6),1,0),IF(AND(H141&lt;&gt;"",WEEKDAY(H$1,2)&lt;6),1,0),IF(AND(J141&lt;&gt;"",WEEKDAY(J$1,2)&lt;6),1,0),IF(AND(L141&lt;&gt;"",WEEKDAY(L$1,2)&lt;6),1,0),IF(AND(N141&lt;&gt;"",WEEKDAY(N$1,2)&lt;6),1,0),IF(AND(P141&lt;&gt;"",WEEKDAY(P$1,2)&lt;6),1,0),IF(AND(R141&lt;&gt;"",WEEKDAY(R$1,2)&lt;6),1,0),IF(AND(T141&lt;&gt;"",WEEKDAY(T$1,2)&lt;6),1,0),IF(AND(V141&lt;&gt;"",WEEKDAY(V$1,2)&lt;6),1,0),IF(AND(X141&lt;&gt;"",WEEKDAY(X$1,2)&lt;6),1,0),IF(AND(Z141&lt;&gt;"",WEEKDAY(Z$1,2)&lt;6),1,0),IF(AND(AB141&lt;&gt;"",WEEKDAY(AB$1,2)&lt;6),1,0),IF(AND(AD141&lt;&gt;"",WEEKDAY(AD$1,2)&lt;6),1,0),IF(AND(AF141&lt;&gt;"",WEEKDAY(AF$1,2)&lt;6),1,0),IF(AND(AH141&lt;&gt;"",WEEKDAY(AH$1,2)&lt;6),1,0),IF(AND(AJ141&lt;&gt;"",WEEKDAY(AJ$1,2)&lt;6),1,0),IF(AND(AL141&lt;&gt;"",WEEKDAY(AL$1,2)&lt;6),1,0),IF(AND(AN141&lt;&gt;"",WEEKDAY(AN$1,2)&lt;6),1,0),IF(AND(AP141&lt;&gt;"",WEEKDAY(AP$1,2)&lt;6),1,0),IF(AND(AR141&lt;&gt;"",WEEKDAY(AR$1,2)&lt;6),1,0),IF(AND(AT141&lt;&gt;"",WEEKDAY(AT$1,2)&lt;6),1,0),IF(AND(AV141&lt;&gt;"",WEEKDAY(AV$1,2)&lt;6),1,0),IF(AND(AX141&lt;&gt;"",WEEKDAY(AX$1,2)&lt;6),1,0),IF(AND(AZ141&lt;&gt;"",WEEKDAY(AZ$1,2)&lt;6),1,0),IF(AND(BB141&lt;&gt;"",WEEKDAY(BB$1,2)&lt;6),1,0),IF(AND(BD141&lt;&gt;"",WEEKDAY(BD$1,2)&lt;6),1,0),IF(AND(BF141&lt;&gt;"",WEEKDAY(BF$1,2)&lt;6),1,0),IF(AND(BH141&lt;&gt;"",WEEKDAY(BH$1,2)&lt;6),1,0),IF(AND(BJ141&lt;&gt;"",WEEKDAY(BJ$1,2)&lt;6),1,0),IF(AND(BL141&lt;&gt;"",WEEKDAY(BL$1,2)&lt;6),1,0))</f>
        <v>0</v>
      </c>
      <c r="BO141" s="85">
        <f>SUM(IF(AND(E141&lt;&gt;"",WEEKDAY(D$1,2)&lt;6),1,0),IF(AND(G141&lt;&gt;"",WEEKDAY(F$1,2)&lt;6),1,0),IF(AND(I141&lt;&gt;"",WEEKDAY(H$1,2)&lt;6),1,0),IF(AND(K141&lt;&gt;"",WEEKDAY(J$1,2)&lt;6),1,0),IF(AND(M141&lt;&gt;"",WEEKDAY(L$1,2)&lt;6),1,0),IF(AND(O141&lt;&gt;"",WEEKDAY(N$1,2)&lt;6),1,0),IF(AND(Q141&lt;&gt;"",WEEKDAY(P$1,2)&lt;6),1,0),IF(AND(S141&lt;&gt;"",WEEKDAY(R$1,2)&lt;6),1,0),IF(AND(U141&lt;&gt;"",WEEKDAY(T$1,2)&lt;6),1,0),IF(AND(W141&lt;&gt;"",WEEKDAY(V$1,2)&lt;6),1,0),IF(AND(Y141&lt;&gt;"",WEEKDAY(X$1,2)&lt;6),1,0),IF(AND(AA141&lt;&gt;"",WEEKDAY(Z$1,2)&lt;6),1,0),IF(AND(AC141&lt;&gt;"",WEEKDAY(AB$1,2)&lt;6),1,0),IF(AND(AE141&lt;&gt;"",WEEKDAY(AD$1,2)&lt;6),1,0),IF(AND(AG141&lt;&gt;"",WEEKDAY(AF$1,2)&lt;6),1,0),IF(AND(AI141&lt;&gt;"",WEEKDAY(AH$1,2)&lt;6),1,0),IF(AND(AK141&lt;&gt;"",WEEKDAY(AJ$1,2)&lt;6),1,0),IF(AND(AM141&lt;&gt;"",WEEKDAY(AL$1,2)&lt;6),1,0),IF(AND(AO141&lt;&gt;"",WEEKDAY(AN$1,2)&lt;6),1,0),IF(AND(AQ141&lt;&gt;"",WEEKDAY(AP$1,2)&lt;6),1,0),IF(AND(AS141&lt;&gt;"",WEEKDAY(AR$1,2)&lt;6),1,0),IF(AND(AU141&lt;&gt;"",WEEKDAY(AT$1,2)&lt;6),1,0),IF(AND(AW141&lt;&gt;"",WEEKDAY(AV$1,2)&lt;6),1,0),IF(AND(AY141&lt;&gt;"",WEEKDAY(AX$1,2)&lt;6),1,0),IF(AND(BA141&lt;&gt;"",WEEKDAY(AZ$1,2)&lt;6),1,0),IF(AND(BC141&lt;&gt;"",WEEKDAY(BB$1,2)&lt;6),1,0),IF(AND(BE141&lt;&gt;"",WEEKDAY(BD$1,2)&lt;6),1,0),IF(AND(BG141&lt;&gt;"",WEEKDAY(BF$1,2)&lt;6),1,0),IF(AND(BI141&lt;&gt;"",WEEKDAY(BH$1,2)&lt;6),1,0),IF(AND(BK141&lt;&gt;"",WEEKDAY(BJ$1,2)&lt;6),1,0),IF(AND(BM141&lt;&gt;"",WEEKDAY(BL$1,2)&lt;6),1,0))</f>
        <v>0</v>
      </c>
      <c r="BP141" s="85">
        <f>SUM(IF(AND((D141&lt;&gt;"")+(E141&lt;&gt;""),WEEKDAY(D$1,2)=6),1,0),IF(AND((F141&lt;&gt;"")+(G141&lt;&gt;""),WEEKDAY(F$1,2)=6),1,0),IF(AND((H141&lt;&gt;"")+(I141&lt;&gt;""),WEEKDAY(H$1,2)=6),1,0),IF(AND((J141&lt;&gt;"")+(K141&lt;&gt;""),WEEKDAY(J$1,2)=6),1,0),IF(AND((L141&lt;&gt;"")+(M141&lt;&gt;""),WEEKDAY(L$1,2)=6),1,0),IF(AND((N141&lt;&gt;"")+(O141&lt;&gt;""),WEEKDAY(N$1,2)=6),1,0),IF(AND((P141&lt;&gt;"")+(Q141&lt;&gt;""),WEEKDAY(P$1,2)=6),1,0),IF(AND((R141&lt;&gt;"")+(S141&lt;&gt;""),WEEKDAY(R$1,2)=6),1,0),IF(AND((T141&lt;&gt;"")+(U141&lt;&gt;""),WEEKDAY(T$1,2)=6),1,0),IF(AND((V141&lt;&gt;"")+(W141&lt;&gt;""),WEEKDAY(V$1,2)=6),1,0),IF(AND((X141&lt;&gt;"")+(Y141&lt;&gt;""),WEEKDAY(X$1,2)=6),1,0),IF(AND((Z141&lt;&gt;"")+(AA141&lt;&gt;""),WEEKDAY(Z$1,2)=6),1,0),IF(AND((AB141&lt;&gt;"")+(AC141&lt;&gt;""),WEEKDAY(AB$1,2)=6),1,0),IF(AND((AD141&lt;&gt;"")+(AE141&lt;&gt;""),WEEKDAY(AD$1,2)=6),1,0),IF(AND((AF141&lt;&gt;"")+(AG141&lt;&gt;""),WEEKDAY(AF$1,2)=6),1,0),IF(AND((AH141&lt;&gt;"")+(AI141&lt;&gt;""),WEEKDAY(AH$1,2)=6),1,0),IF(AND((AJ141&lt;&gt;"")+(AK141&lt;&gt;""),WEEKDAY(AJ$1,2)=6),1,0),IF(AND((AL141&lt;&gt;"")+(AM141&lt;&gt;""),WEEKDAY(AL$1,2)=6),1,0),IF(AND((AN141&lt;&gt;"")+(AO141&lt;&gt;""),WEEKDAY(AN$1,2)=6),1,0),IF(AND((AP141&lt;&gt;"")+(AQ141&lt;&gt;""),WEEKDAY(AP$1,2)=6),1,0),IF(AND((AR141&lt;&gt;"")+(AS141&lt;&gt;""),WEEKDAY(AR$1,2)=6),1,0),IF(AND((AT141&lt;&gt;"")+(AU141&lt;&gt;""),WEEKDAY(AT$1,2)=6),1,0),IF(AND((AV141&lt;&gt;"")+(AW141&lt;&gt;""),WEEKDAY(AV$1,2)=6),1,0),IF(AND((AX141&lt;&gt;"")+(AY141&lt;&gt;""),WEEKDAY(AX$1,2)=6),1,0),IF(AND((AZ141&lt;&gt;"")+(BA141&lt;&gt;""),WEEKDAY(AZ$1,2)=6),1,0),IF(AND((BB141&lt;&gt;"")+(BC141&lt;&gt;""),WEEKDAY(BB$1,2)=6),1,0),IF(AND((BD141&lt;&gt;"")+(BE141&lt;&gt;""),WEEKDAY(BD$1,2)=6),1,0),IF(AND((BF141&lt;&gt;"")+(BG141&lt;&gt;""),WEEKDAY(BF$1,2)=6),1,0),IF(AND((BH141&lt;&gt;"")+(BI141&lt;&gt;""),WEEKDAY(BH$1,2)=6),1,0),IF(AND((BJ141&lt;&gt;"")+(BK141&lt;&gt;""),WEEKDAY(BJ$1,2)=6),1,0),IF(AND((BL141&lt;&gt;"")+(BM141&lt;&gt;""),WEEKDAY(BL$1,2)=6),1,0))</f>
        <v>0</v>
      </c>
    </row>
    <row r="142" spans="1:68" ht="16.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>
        <f>SUM(IF(AND(D142&lt;&gt;"",WEEKDAY(D$1,2)&lt;6),1,0),IF(AND(F142&lt;&gt;"",WEEKDAY(F$1,2)&lt;6),1,0),IF(AND(H142&lt;&gt;"",WEEKDAY(H$1,2)&lt;6),1,0),IF(AND(J142&lt;&gt;"",WEEKDAY(J$1,2)&lt;6),1,0),IF(AND(L142&lt;&gt;"",WEEKDAY(L$1,2)&lt;6),1,0),IF(AND(N142&lt;&gt;"",WEEKDAY(N$1,2)&lt;6),1,0),IF(AND(P142&lt;&gt;"",WEEKDAY(P$1,2)&lt;6),1,0),IF(AND(R142&lt;&gt;"",WEEKDAY(R$1,2)&lt;6),1,0),IF(AND(T142&lt;&gt;"",WEEKDAY(T$1,2)&lt;6),1,0),IF(AND(V142&lt;&gt;"",WEEKDAY(V$1,2)&lt;6),1,0),IF(AND(X142&lt;&gt;"",WEEKDAY(X$1,2)&lt;6),1,0),IF(AND(Z142&lt;&gt;"",WEEKDAY(Z$1,2)&lt;6),1,0),IF(AND(AB142&lt;&gt;"",WEEKDAY(AB$1,2)&lt;6),1,0),IF(AND(AD142&lt;&gt;"",WEEKDAY(AD$1,2)&lt;6),1,0),IF(AND(AF142&lt;&gt;"",WEEKDAY(AF$1,2)&lt;6),1,0),IF(AND(AH142&lt;&gt;"",WEEKDAY(AH$1,2)&lt;6),1,0),IF(AND(AJ142&lt;&gt;"",WEEKDAY(AJ$1,2)&lt;6),1,0),IF(AND(AL142&lt;&gt;"",WEEKDAY(AL$1,2)&lt;6),1,0),IF(AND(AN142&lt;&gt;"",WEEKDAY(AN$1,2)&lt;6),1,0),IF(AND(AP142&lt;&gt;"",WEEKDAY(AP$1,2)&lt;6),1,0),IF(AND(AR142&lt;&gt;"",WEEKDAY(AR$1,2)&lt;6),1,0),IF(AND(AT142&lt;&gt;"",WEEKDAY(AT$1,2)&lt;6),1,0),IF(AND(AV142&lt;&gt;"",WEEKDAY(AV$1,2)&lt;6),1,0),IF(AND(AX142&lt;&gt;"",WEEKDAY(AX$1,2)&lt;6),1,0),IF(AND(AZ142&lt;&gt;"",WEEKDAY(AZ$1,2)&lt;6),1,0),IF(AND(BB142&lt;&gt;"",WEEKDAY(BB$1,2)&lt;6),1,0),IF(AND(BD142&lt;&gt;"",WEEKDAY(BD$1,2)&lt;6),1,0),IF(AND(BF142&lt;&gt;"",WEEKDAY(BF$1,2)&lt;6),1,0),IF(AND(BH142&lt;&gt;"",WEEKDAY(BH$1,2)&lt;6),1,0),IF(AND(BJ142&lt;&gt;"",WEEKDAY(BJ$1,2)&lt;6),1,0),IF(AND(BL142&lt;&gt;"",WEEKDAY(BL$1,2)&lt;6),1,0))</f>
        <v>0</v>
      </c>
      <c r="BO142" s="85">
        <f>SUM(IF(AND(E142&lt;&gt;"",WEEKDAY(D$1,2)&lt;6),1,0),IF(AND(G142&lt;&gt;"",WEEKDAY(F$1,2)&lt;6),1,0),IF(AND(I142&lt;&gt;"",WEEKDAY(H$1,2)&lt;6),1,0),IF(AND(K142&lt;&gt;"",WEEKDAY(J$1,2)&lt;6),1,0),IF(AND(M142&lt;&gt;"",WEEKDAY(L$1,2)&lt;6),1,0),IF(AND(O142&lt;&gt;"",WEEKDAY(N$1,2)&lt;6),1,0),IF(AND(Q142&lt;&gt;"",WEEKDAY(P$1,2)&lt;6),1,0),IF(AND(S142&lt;&gt;"",WEEKDAY(R$1,2)&lt;6),1,0),IF(AND(U142&lt;&gt;"",WEEKDAY(T$1,2)&lt;6),1,0),IF(AND(W142&lt;&gt;"",WEEKDAY(V$1,2)&lt;6),1,0),IF(AND(Y142&lt;&gt;"",WEEKDAY(X$1,2)&lt;6),1,0),IF(AND(AA142&lt;&gt;"",WEEKDAY(Z$1,2)&lt;6),1,0),IF(AND(AC142&lt;&gt;"",WEEKDAY(AB$1,2)&lt;6),1,0),IF(AND(AE142&lt;&gt;"",WEEKDAY(AD$1,2)&lt;6),1,0),IF(AND(AG142&lt;&gt;"",WEEKDAY(AF$1,2)&lt;6),1,0),IF(AND(AI142&lt;&gt;"",WEEKDAY(AH$1,2)&lt;6),1,0),IF(AND(AK142&lt;&gt;"",WEEKDAY(AJ$1,2)&lt;6),1,0),IF(AND(AM142&lt;&gt;"",WEEKDAY(AL$1,2)&lt;6),1,0),IF(AND(AO142&lt;&gt;"",WEEKDAY(AN$1,2)&lt;6),1,0),IF(AND(AQ142&lt;&gt;"",WEEKDAY(AP$1,2)&lt;6),1,0),IF(AND(AS142&lt;&gt;"",WEEKDAY(AR$1,2)&lt;6),1,0),IF(AND(AU142&lt;&gt;"",WEEKDAY(AT$1,2)&lt;6),1,0),IF(AND(AW142&lt;&gt;"",WEEKDAY(AV$1,2)&lt;6),1,0),IF(AND(AY142&lt;&gt;"",WEEKDAY(AX$1,2)&lt;6),1,0),IF(AND(BA142&lt;&gt;"",WEEKDAY(AZ$1,2)&lt;6),1,0),IF(AND(BC142&lt;&gt;"",WEEKDAY(BB$1,2)&lt;6),1,0),IF(AND(BE142&lt;&gt;"",WEEKDAY(BD$1,2)&lt;6),1,0),IF(AND(BG142&lt;&gt;"",WEEKDAY(BF$1,2)&lt;6),1,0),IF(AND(BI142&lt;&gt;"",WEEKDAY(BH$1,2)&lt;6),1,0),IF(AND(BK142&lt;&gt;"",WEEKDAY(BJ$1,2)&lt;6),1,0),IF(AND(BM142&lt;&gt;"",WEEKDAY(BL$1,2)&lt;6),1,0))</f>
        <v>0</v>
      </c>
      <c r="BP142" s="85">
        <f>SUM(IF(AND((D142&lt;&gt;"")+(E142&lt;&gt;""),WEEKDAY(D$1,2)=6),1,0),IF(AND((F142&lt;&gt;"")+(G142&lt;&gt;""),WEEKDAY(F$1,2)=6),1,0),IF(AND((H142&lt;&gt;"")+(I142&lt;&gt;""),WEEKDAY(H$1,2)=6),1,0),IF(AND((J142&lt;&gt;"")+(K142&lt;&gt;""),WEEKDAY(J$1,2)=6),1,0),IF(AND((L142&lt;&gt;"")+(M142&lt;&gt;""),WEEKDAY(L$1,2)=6),1,0),IF(AND((N142&lt;&gt;"")+(O142&lt;&gt;""),WEEKDAY(N$1,2)=6),1,0),IF(AND((P142&lt;&gt;"")+(Q142&lt;&gt;""),WEEKDAY(P$1,2)=6),1,0),IF(AND((R142&lt;&gt;"")+(S142&lt;&gt;""),WEEKDAY(R$1,2)=6),1,0),IF(AND((T142&lt;&gt;"")+(U142&lt;&gt;""),WEEKDAY(T$1,2)=6),1,0),IF(AND((V142&lt;&gt;"")+(W142&lt;&gt;""),WEEKDAY(V$1,2)=6),1,0),IF(AND((X142&lt;&gt;"")+(Y142&lt;&gt;""),WEEKDAY(X$1,2)=6),1,0),IF(AND((Z142&lt;&gt;"")+(AA142&lt;&gt;""),WEEKDAY(Z$1,2)=6),1,0),IF(AND((AB142&lt;&gt;"")+(AC142&lt;&gt;""),WEEKDAY(AB$1,2)=6),1,0),IF(AND((AD142&lt;&gt;"")+(AE142&lt;&gt;""),WEEKDAY(AD$1,2)=6),1,0),IF(AND((AF142&lt;&gt;"")+(AG142&lt;&gt;""),WEEKDAY(AF$1,2)=6),1,0),IF(AND((AH142&lt;&gt;"")+(AI142&lt;&gt;""),WEEKDAY(AH$1,2)=6),1,0),IF(AND((AJ142&lt;&gt;"")+(AK142&lt;&gt;""),WEEKDAY(AJ$1,2)=6),1,0),IF(AND((AL142&lt;&gt;"")+(AM142&lt;&gt;""),WEEKDAY(AL$1,2)=6),1,0),IF(AND((AN142&lt;&gt;"")+(AO142&lt;&gt;""),WEEKDAY(AN$1,2)=6),1,0),IF(AND((AP142&lt;&gt;"")+(AQ142&lt;&gt;""),WEEKDAY(AP$1,2)=6),1,0),IF(AND((AR142&lt;&gt;"")+(AS142&lt;&gt;""),WEEKDAY(AR$1,2)=6),1,0),IF(AND((AT142&lt;&gt;"")+(AU142&lt;&gt;""),WEEKDAY(AT$1,2)=6),1,0),IF(AND((AV142&lt;&gt;"")+(AW142&lt;&gt;""),WEEKDAY(AV$1,2)=6),1,0),IF(AND((AX142&lt;&gt;"")+(AY142&lt;&gt;""),WEEKDAY(AX$1,2)=6),1,0),IF(AND((AZ142&lt;&gt;"")+(BA142&lt;&gt;""),WEEKDAY(AZ$1,2)=6),1,0),IF(AND((BB142&lt;&gt;"")+(BC142&lt;&gt;""),WEEKDAY(BB$1,2)=6),1,0),IF(AND((BD142&lt;&gt;"")+(BE142&lt;&gt;""),WEEKDAY(BD$1,2)=6),1,0),IF(AND((BF142&lt;&gt;"")+(BG142&lt;&gt;""),WEEKDAY(BF$1,2)=6),1,0),IF(AND((BH142&lt;&gt;"")+(BI142&lt;&gt;""),WEEKDAY(BH$1,2)=6),1,0),IF(AND((BJ142&lt;&gt;"")+(BK142&lt;&gt;""),WEEKDAY(BJ$1,2)=6),1,0),IF(AND((BL142&lt;&gt;"")+(BM142&lt;&gt;""),WEEKDAY(BL$1,2)=6),1,0))</f>
        <v>0</v>
      </c>
    </row>
    <row r="143" spans="1:68" ht="16.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>
        <f>SUM(IF(AND(D143&lt;&gt;"",WEEKDAY(D$1,2)&lt;6),1,0),IF(AND(F143&lt;&gt;"",WEEKDAY(F$1,2)&lt;6),1,0),IF(AND(H143&lt;&gt;"",WEEKDAY(H$1,2)&lt;6),1,0),IF(AND(J143&lt;&gt;"",WEEKDAY(J$1,2)&lt;6),1,0),IF(AND(L143&lt;&gt;"",WEEKDAY(L$1,2)&lt;6),1,0),IF(AND(N143&lt;&gt;"",WEEKDAY(N$1,2)&lt;6),1,0),IF(AND(P143&lt;&gt;"",WEEKDAY(P$1,2)&lt;6),1,0),IF(AND(R143&lt;&gt;"",WEEKDAY(R$1,2)&lt;6),1,0),IF(AND(T143&lt;&gt;"",WEEKDAY(T$1,2)&lt;6),1,0),IF(AND(V143&lt;&gt;"",WEEKDAY(V$1,2)&lt;6),1,0),IF(AND(X143&lt;&gt;"",WEEKDAY(X$1,2)&lt;6),1,0),IF(AND(Z143&lt;&gt;"",WEEKDAY(Z$1,2)&lt;6),1,0),IF(AND(AB143&lt;&gt;"",WEEKDAY(AB$1,2)&lt;6),1,0),IF(AND(AD143&lt;&gt;"",WEEKDAY(AD$1,2)&lt;6),1,0),IF(AND(AF143&lt;&gt;"",WEEKDAY(AF$1,2)&lt;6),1,0),IF(AND(AH143&lt;&gt;"",WEEKDAY(AH$1,2)&lt;6),1,0),IF(AND(AJ143&lt;&gt;"",WEEKDAY(AJ$1,2)&lt;6),1,0),IF(AND(AL143&lt;&gt;"",WEEKDAY(AL$1,2)&lt;6),1,0),IF(AND(AN143&lt;&gt;"",WEEKDAY(AN$1,2)&lt;6),1,0),IF(AND(AP143&lt;&gt;"",WEEKDAY(AP$1,2)&lt;6),1,0),IF(AND(AR143&lt;&gt;"",WEEKDAY(AR$1,2)&lt;6),1,0),IF(AND(AT143&lt;&gt;"",WEEKDAY(AT$1,2)&lt;6),1,0),IF(AND(AV143&lt;&gt;"",WEEKDAY(AV$1,2)&lt;6),1,0),IF(AND(AX143&lt;&gt;"",WEEKDAY(AX$1,2)&lt;6),1,0),IF(AND(AZ143&lt;&gt;"",WEEKDAY(AZ$1,2)&lt;6),1,0),IF(AND(BB143&lt;&gt;"",WEEKDAY(BB$1,2)&lt;6),1,0),IF(AND(BD143&lt;&gt;"",WEEKDAY(BD$1,2)&lt;6),1,0),IF(AND(BF143&lt;&gt;"",WEEKDAY(BF$1,2)&lt;6),1,0),IF(AND(BH143&lt;&gt;"",WEEKDAY(BH$1,2)&lt;6),1,0),IF(AND(BJ143&lt;&gt;"",WEEKDAY(BJ$1,2)&lt;6),1,0),IF(AND(BL143&lt;&gt;"",WEEKDAY(BL$1,2)&lt;6),1,0))</f>
        <v>0</v>
      </c>
      <c r="BO143" s="85">
        <f>SUM(IF(AND(E143&lt;&gt;"",WEEKDAY(D$1,2)&lt;6),1,0),IF(AND(G143&lt;&gt;"",WEEKDAY(F$1,2)&lt;6),1,0),IF(AND(I143&lt;&gt;"",WEEKDAY(H$1,2)&lt;6),1,0),IF(AND(K143&lt;&gt;"",WEEKDAY(J$1,2)&lt;6),1,0),IF(AND(M143&lt;&gt;"",WEEKDAY(L$1,2)&lt;6),1,0),IF(AND(O143&lt;&gt;"",WEEKDAY(N$1,2)&lt;6),1,0),IF(AND(Q143&lt;&gt;"",WEEKDAY(P$1,2)&lt;6),1,0),IF(AND(S143&lt;&gt;"",WEEKDAY(R$1,2)&lt;6),1,0),IF(AND(U143&lt;&gt;"",WEEKDAY(T$1,2)&lt;6),1,0),IF(AND(W143&lt;&gt;"",WEEKDAY(V$1,2)&lt;6),1,0),IF(AND(Y143&lt;&gt;"",WEEKDAY(X$1,2)&lt;6),1,0),IF(AND(AA143&lt;&gt;"",WEEKDAY(Z$1,2)&lt;6),1,0),IF(AND(AC143&lt;&gt;"",WEEKDAY(AB$1,2)&lt;6),1,0),IF(AND(AE143&lt;&gt;"",WEEKDAY(AD$1,2)&lt;6),1,0),IF(AND(AG143&lt;&gt;"",WEEKDAY(AF$1,2)&lt;6),1,0),IF(AND(AI143&lt;&gt;"",WEEKDAY(AH$1,2)&lt;6),1,0),IF(AND(AK143&lt;&gt;"",WEEKDAY(AJ$1,2)&lt;6),1,0),IF(AND(AM143&lt;&gt;"",WEEKDAY(AL$1,2)&lt;6),1,0),IF(AND(AO143&lt;&gt;"",WEEKDAY(AN$1,2)&lt;6),1,0),IF(AND(AQ143&lt;&gt;"",WEEKDAY(AP$1,2)&lt;6),1,0),IF(AND(AS143&lt;&gt;"",WEEKDAY(AR$1,2)&lt;6),1,0),IF(AND(AU143&lt;&gt;"",WEEKDAY(AT$1,2)&lt;6),1,0),IF(AND(AW143&lt;&gt;"",WEEKDAY(AV$1,2)&lt;6),1,0),IF(AND(AY143&lt;&gt;"",WEEKDAY(AX$1,2)&lt;6),1,0),IF(AND(BA143&lt;&gt;"",WEEKDAY(AZ$1,2)&lt;6),1,0),IF(AND(BC143&lt;&gt;"",WEEKDAY(BB$1,2)&lt;6),1,0),IF(AND(BE143&lt;&gt;"",WEEKDAY(BD$1,2)&lt;6),1,0),IF(AND(BG143&lt;&gt;"",WEEKDAY(BF$1,2)&lt;6),1,0),IF(AND(BI143&lt;&gt;"",WEEKDAY(BH$1,2)&lt;6),1,0),IF(AND(BK143&lt;&gt;"",WEEKDAY(BJ$1,2)&lt;6),1,0),IF(AND(BM143&lt;&gt;"",WEEKDAY(BL$1,2)&lt;6),1,0))</f>
        <v>0</v>
      </c>
      <c r="BP143" s="85">
        <f>SUM(IF(AND((D143&lt;&gt;"")+(E143&lt;&gt;""),WEEKDAY(D$1,2)=6),1,0),IF(AND((F143&lt;&gt;"")+(G143&lt;&gt;""),WEEKDAY(F$1,2)=6),1,0),IF(AND((H143&lt;&gt;"")+(I143&lt;&gt;""),WEEKDAY(H$1,2)=6),1,0),IF(AND((J143&lt;&gt;"")+(K143&lt;&gt;""),WEEKDAY(J$1,2)=6),1,0),IF(AND((L143&lt;&gt;"")+(M143&lt;&gt;""),WEEKDAY(L$1,2)=6),1,0),IF(AND((N143&lt;&gt;"")+(O143&lt;&gt;""),WEEKDAY(N$1,2)=6),1,0),IF(AND((P143&lt;&gt;"")+(Q143&lt;&gt;""),WEEKDAY(P$1,2)=6),1,0),IF(AND((R143&lt;&gt;"")+(S143&lt;&gt;""),WEEKDAY(R$1,2)=6),1,0),IF(AND((T143&lt;&gt;"")+(U143&lt;&gt;""),WEEKDAY(T$1,2)=6),1,0),IF(AND((V143&lt;&gt;"")+(W143&lt;&gt;""),WEEKDAY(V$1,2)=6),1,0),IF(AND((X143&lt;&gt;"")+(Y143&lt;&gt;""),WEEKDAY(X$1,2)=6),1,0),IF(AND((Z143&lt;&gt;"")+(AA143&lt;&gt;""),WEEKDAY(Z$1,2)=6),1,0),IF(AND((AB143&lt;&gt;"")+(AC143&lt;&gt;""),WEEKDAY(AB$1,2)=6),1,0),IF(AND((AD143&lt;&gt;"")+(AE143&lt;&gt;""),WEEKDAY(AD$1,2)=6),1,0),IF(AND((AF143&lt;&gt;"")+(AG143&lt;&gt;""),WEEKDAY(AF$1,2)=6),1,0),IF(AND((AH143&lt;&gt;"")+(AI143&lt;&gt;""),WEEKDAY(AH$1,2)=6),1,0),IF(AND((AJ143&lt;&gt;"")+(AK143&lt;&gt;""),WEEKDAY(AJ$1,2)=6),1,0),IF(AND((AL143&lt;&gt;"")+(AM143&lt;&gt;""),WEEKDAY(AL$1,2)=6),1,0),IF(AND((AN143&lt;&gt;"")+(AO143&lt;&gt;""),WEEKDAY(AN$1,2)=6),1,0),IF(AND((AP143&lt;&gt;"")+(AQ143&lt;&gt;""),WEEKDAY(AP$1,2)=6),1,0),IF(AND((AR143&lt;&gt;"")+(AS143&lt;&gt;""),WEEKDAY(AR$1,2)=6),1,0),IF(AND((AT143&lt;&gt;"")+(AU143&lt;&gt;""),WEEKDAY(AT$1,2)=6),1,0),IF(AND((AV143&lt;&gt;"")+(AW143&lt;&gt;""),WEEKDAY(AV$1,2)=6),1,0),IF(AND((AX143&lt;&gt;"")+(AY143&lt;&gt;""),WEEKDAY(AX$1,2)=6),1,0),IF(AND((AZ143&lt;&gt;"")+(BA143&lt;&gt;""),WEEKDAY(AZ$1,2)=6),1,0),IF(AND((BB143&lt;&gt;"")+(BC143&lt;&gt;""),WEEKDAY(BB$1,2)=6),1,0),IF(AND((BD143&lt;&gt;"")+(BE143&lt;&gt;""),WEEKDAY(BD$1,2)=6),1,0),IF(AND((BF143&lt;&gt;"")+(BG143&lt;&gt;""),WEEKDAY(BF$1,2)=6),1,0),IF(AND((BH143&lt;&gt;"")+(BI143&lt;&gt;""),WEEKDAY(BH$1,2)=6),1,0),IF(AND((BJ143&lt;&gt;"")+(BK143&lt;&gt;""),WEEKDAY(BJ$1,2)=6),1,0),IF(AND((BL143&lt;&gt;"")+(BM143&lt;&gt;""),WEEKDAY(BL$1,2)=6),1,0))</f>
        <v>0</v>
      </c>
    </row>
    <row r="144" spans="1:68" ht="16.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>
        <f>SUM(IF(AND(D144&lt;&gt;"",WEEKDAY(D$1,2)&lt;6),1,0),IF(AND(F144&lt;&gt;"",WEEKDAY(F$1,2)&lt;6),1,0),IF(AND(H144&lt;&gt;"",WEEKDAY(H$1,2)&lt;6),1,0),IF(AND(J144&lt;&gt;"",WEEKDAY(J$1,2)&lt;6),1,0),IF(AND(L144&lt;&gt;"",WEEKDAY(L$1,2)&lt;6),1,0),IF(AND(N144&lt;&gt;"",WEEKDAY(N$1,2)&lt;6),1,0),IF(AND(P144&lt;&gt;"",WEEKDAY(P$1,2)&lt;6),1,0),IF(AND(R144&lt;&gt;"",WEEKDAY(R$1,2)&lt;6),1,0),IF(AND(T144&lt;&gt;"",WEEKDAY(T$1,2)&lt;6),1,0),IF(AND(V144&lt;&gt;"",WEEKDAY(V$1,2)&lt;6),1,0),IF(AND(X144&lt;&gt;"",WEEKDAY(X$1,2)&lt;6),1,0),IF(AND(Z144&lt;&gt;"",WEEKDAY(Z$1,2)&lt;6),1,0),IF(AND(AB144&lt;&gt;"",WEEKDAY(AB$1,2)&lt;6),1,0),IF(AND(AD144&lt;&gt;"",WEEKDAY(AD$1,2)&lt;6),1,0),IF(AND(AF144&lt;&gt;"",WEEKDAY(AF$1,2)&lt;6),1,0),IF(AND(AH144&lt;&gt;"",WEEKDAY(AH$1,2)&lt;6),1,0),IF(AND(AJ144&lt;&gt;"",WEEKDAY(AJ$1,2)&lt;6),1,0),IF(AND(AL144&lt;&gt;"",WEEKDAY(AL$1,2)&lt;6),1,0),IF(AND(AN144&lt;&gt;"",WEEKDAY(AN$1,2)&lt;6),1,0),IF(AND(AP144&lt;&gt;"",WEEKDAY(AP$1,2)&lt;6),1,0),IF(AND(AR144&lt;&gt;"",WEEKDAY(AR$1,2)&lt;6),1,0),IF(AND(AT144&lt;&gt;"",WEEKDAY(AT$1,2)&lt;6),1,0),IF(AND(AV144&lt;&gt;"",WEEKDAY(AV$1,2)&lt;6),1,0),IF(AND(AX144&lt;&gt;"",WEEKDAY(AX$1,2)&lt;6),1,0),IF(AND(AZ144&lt;&gt;"",WEEKDAY(AZ$1,2)&lt;6),1,0),IF(AND(BB144&lt;&gt;"",WEEKDAY(BB$1,2)&lt;6),1,0),IF(AND(BD144&lt;&gt;"",WEEKDAY(BD$1,2)&lt;6),1,0),IF(AND(BF144&lt;&gt;"",WEEKDAY(BF$1,2)&lt;6),1,0),IF(AND(BH144&lt;&gt;"",WEEKDAY(BH$1,2)&lt;6),1,0),IF(AND(BJ144&lt;&gt;"",WEEKDAY(BJ$1,2)&lt;6),1,0),IF(AND(BL144&lt;&gt;"",WEEKDAY(BL$1,2)&lt;6),1,0))</f>
        <v>0</v>
      </c>
      <c r="BO144" s="85">
        <f>SUM(IF(AND(E144&lt;&gt;"",WEEKDAY(D$1,2)&lt;6),1,0),IF(AND(G144&lt;&gt;"",WEEKDAY(F$1,2)&lt;6),1,0),IF(AND(I144&lt;&gt;"",WEEKDAY(H$1,2)&lt;6),1,0),IF(AND(K144&lt;&gt;"",WEEKDAY(J$1,2)&lt;6),1,0),IF(AND(M144&lt;&gt;"",WEEKDAY(L$1,2)&lt;6),1,0),IF(AND(O144&lt;&gt;"",WEEKDAY(N$1,2)&lt;6),1,0),IF(AND(Q144&lt;&gt;"",WEEKDAY(P$1,2)&lt;6),1,0),IF(AND(S144&lt;&gt;"",WEEKDAY(R$1,2)&lt;6),1,0),IF(AND(U144&lt;&gt;"",WEEKDAY(T$1,2)&lt;6),1,0),IF(AND(W144&lt;&gt;"",WEEKDAY(V$1,2)&lt;6),1,0),IF(AND(Y144&lt;&gt;"",WEEKDAY(X$1,2)&lt;6),1,0),IF(AND(AA144&lt;&gt;"",WEEKDAY(Z$1,2)&lt;6),1,0),IF(AND(AC144&lt;&gt;"",WEEKDAY(AB$1,2)&lt;6),1,0),IF(AND(AE144&lt;&gt;"",WEEKDAY(AD$1,2)&lt;6),1,0),IF(AND(AG144&lt;&gt;"",WEEKDAY(AF$1,2)&lt;6),1,0),IF(AND(AI144&lt;&gt;"",WEEKDAY(AH$1,2)&lt;6),1,0),IF(AND(AK144&lt;&gt;"",WEEKDAY(AJ$1,2)&lt;6),1,0),IF(AND(AM144&lt;&gt;"",WEEKDAY(AL$1,2)&lt;6),1,0),IF(AND(AO144&lt;&gt;"",WEEKDAY(AN$1,2)&lt;6),1,0),IF(AND(AQ144&lt;&gt;"",WEEKDAY(AP$1,2)&lt;6),1,0),IF(AND(AS144&lt;&gt;"",WEEKDAY(AR$1,2)&lt;6),1,0),IF(AND(AU144&lt;&gt;"",WEEKDAY(AT$1,2)&lt;6),1,0),IF(AND(AW144&lt;&gt;"",WEEKDAY(AV$1,2)&lt;6),1,0),IF(AND(AY144&lt;&gt;"",WEEKDAY(AX$1,2)&lt;6),1,0),IF(AND(BA144&lt;&gt;"",WEEKDAY(AZ$1,2)&lt;6),1,0),IF(AND(BC144&lt;&gt;"",WEEKDAY(BB$1,2)&lt;6),1,0),IF(AND(BE144&lt;&gt;"",WEEKDAY(BD$1,2)&lt;6),1,0),IF(AND(BG144&lt;&gt;"",WEEKDAY(BF$1,2)&lt;6),1,0),IF(AND(BI144&lt;&gt;"",WEEKDAY(BH$1,2)&lt;6),1,0),IF(AND(BK144&lt;&gt;"",WEEKDAY(BJ$1,2)&lt;6),1,0),IF(AND(BM144&lt;&gt;"",WEEKDAY(BL$1,2)&lt;6),1,0))</f>
        <v>0</v>
      </c>
      <c r="BP144" s="85">
        <f>SUM(IF(AND((D144&lt;&gt;"")+(E144&lt;&gt;""),WEEKDAY(D$1,2)=6),1,0),IF(AND((F144&lt;&gt;"")+(G144&lt;&gt;""),WEEKDAY(F$1,2)=6),1,0),IF(AND((H144&lt;&gt;"")+(I144&lt;&gt;""),WEEKDAY(H$1,2)=6),1,0),IF(AND((J144&lt;&gt;"")+(K144&lt;&gt;""),WEEKDAY(J$1,2)=6),1,0),IF(AND((L144&lt;&gt;"")+(M144&lt;&gt;""),WEEKDAY(L$1,2)=6),1,0),IF(AND((N144&lt;&gt;"")+(O144&lt;&gt;""),WEEKDAY(N$1,2)=6),1,0),IF(AND((P144&lt;&gt;"")+(Q144&lt;&gt;""),WEEKDAY(P$1,2)=6),1,0),IF(AND((R144&lt;&gt;"")+(S144&lt;&gt;""),WEEKDAY(R$1,2)=6),1,0),IF(AND((T144&lt;&gt;"")+(U144&lt;&gt;""),WEEKDAY(T$1,2)=6),1,0),IF(AND((V144&lt;&gt;"")+(W144&lt;&gt;""),WEEKDAY(V$1,2)=6),1,0),IF(AND((X144&lt;&gt;"")+(Y144&lt;&gt;""),WEEKDAY(X$1,2)=6),1,0),IF(AND((Z144&lt;&gt;"")+(AA144&lt;&gt;""),WEEKDAY(Z$1,2)=6),1,0),IF(AND((AB144&lt;&gt;"")+(AC144&lt;&gt;""),WEEKDAY(AB$1,2)=6),1,0),IF(AND((AD144&lt;&gt;"")+(AE144&lt;&gt;""),WEEKDAY(AD$1,2)=6),1,0),IF(AND((AF144&lt;&gt;"")+(AG144&lt;&gt;""),WEEKDAY(AF$1,2)=6),1,0),IF(AND((AH144&lt;&gt;"")+(AI144&lt;&gt;""),WEEKDAY(AH$1,2)=6),1,0),IF(AND((AJ144&lt;&gt;"")+(AK144&lt;&gt;""),WEEKDAY(AJ$1,2)=6),1,0),IF(AND((AL144&lt;&gt;"")+(AM144&lt;&gt;""),WEEKDAY(AL$1,2)=6),1,0),IF(AND((AN144&lt;&gt;"")+(AO144&lt;&gt;""),WEEKDAY(AN$1,2)=6),1,0),IF(AND((AP144&lt;&gt;"")+(AQ144&lt;&gt;""),WEEKDAY(AP$1,2)=6),1,0),IF(AND((AR144&lt;&gt;"")+(AS144&lt;&gt;""),WEEKDAY(AR$1,2)=6),1,0),IF(AND((AT144&lt;&gt;"")+(AU144&lt;&gt;""),WEEKDAY(AT$1,2)=6),1,0),IF(AND((AV144&lt;&gt;"")+(AW144&lt;&gt;""),WEEKDAY(AV$1,2)=6),1,0),IF(AND((AX144&lt;&gt;"")+(AY144&lt;&gt;""),WEEKDAY(AX$1,2)=6),1,0),IF(AND((AZ144&lt;&gt;"")+(BA144&lt;&gt;""),WEEKDAY(AZ$1,2)=6),1,0),IF(AND((BB144&lt;&gt;"")+(BC144&lt;&gt;""),WEEKDAY(BB$1,2)=6),1,0),IF(AND((BD144&lt;&gt;"")+(BE144&lt;&gt;""),WEEKDAY(BD$1,2)=6),1,0),IF(AND((BF144&lt;&gt;"")+(BG144&lt;&gt;""),WEEKDAY(BF$1,2)=6),1,0),IF(AND((BH144&lt;&gt;"")+(BI144&lt;&gt;""),WEEKDAY(BH$1,2)=6),1,0),IF(AND((BJ144&lt;&gt;"")+(BK144&lt;&gt;""),WEEKDAY(BJ$1,2)=6),1,0),IF(AND((BL144&lt;&gt;"")+(BM144&lt;&gt;""),WEEKDAY(BL$1,2)=6),1,0))</f>
        <v>0</v>
      </c>
    </row>
    <row r="145" spans="1:68" ht="16.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>
        <f>SUM(IF(AND(D145&lt;&gt;"",WEEKDAY(D$1,2)&lt;6),1,0),IF(AND(F145&lt;&gt;"",WEEKDAY(F$1,2)&lt;6),1,0),IF(AND(H145&lt;&gt;"",WEEKDAY(H$1,2)&lt;6),1,0),IF(AND(J145&lt;&gt;"",WEEKDAY(J$1,2)&lt;6),1,0),IF(AND(L145&lt;&gt;"",WEEKDAY(L$1,2)&lt;6),1,0),IF(AND(N145&lt;&gt;"",WEEKDAY(N$1,2)&lt;6),1,0),IF(AND(P145&lt;&gt;"",WEEKDAY(P$1,2)&lt;6),1,0),IF(AND(R145&lt;&gt;"",WEEKDAY(R$1,2)&lt;6),1,0),IF(AND(T145&lt;&gt;"",WEEKDAY(T$1,2)&lt;6),1,0),IF(AND(V145&lt;&gt;"",WEEKDAY(V$1,2)&lt;6),1,0),IF(AND(X145&lt;&gt;"",WEEKDAY(X$1,2)&lt;6),1,0),IF(AND(Z145&lt;&gt;"",WEEKDAY(Z$1,2)&lt;6),1,0),IF(AND(AB145&lt;&gt;"",WEEKDAY(AB$1,2)&lt;6),1,0),IF(AND(AD145&lt;&gt;"",WEEKDAY(AD$1,2)&lt;6),1,0),IF(AND(AF145&lt;&gt;"",WEEKDAY(AF$1,2)&lt;6),1,0),IF(AND(AH145&lt;&gt;"",WEEKDAY(AH$1,2)&lt;6),1,0),IF(AND(AJ145&lt;&gt;"",WEEKDAY(AJ$1,2)&lt;6),1,0),IF(AND(AL145&lt;&gt;"",WEEKDAY(AL$1,2)&lt;6),1,0),IF(AND(AN145&lt;&gt;"",WEEKDAY(AN$1,2)&lt;6),1,0),IF(AND(AP145&lt;&gt;"",WEEKDAY(AP$1,2)&lt;6),1,0),IF(AND(AR145&lt;&gt;"",WEEKDAY(AR$1,2)&lt;6),1,0),IF(AND(AT145&lt;&gt;"",WEEKDAY(AT$1,2)&lt;6),1,0),IF(AND(AV145&lt;&gt;"",WEEKDAY(AV$1,2)&lt;6),1,0),IF(AND(AX145&lt;&gt;"",WEEKDAY(AX$1,2)&lt;6),1,0),IF(AND(AZ145&lt;&gt;"",WEEKDAY(AZ$1,2)&lt;6),1,0),IF(AND(BB145&lt;&gt;"",WEEKDAY(BB$1,2)&lt;6),1,0),IF(AND(BD145&lt;&gt;"",WEEKDAY(BD$1,2)&lt;6),1,0),IF(AND(BF145&lt;&gt;"",WEEKDAY(BF$1,2)&lt;6),1,0),IF(AND(BH145&lt;&gt;"",WEEKDAY(BH$1,2)&lt;6),1,0),IF(AND(BJ145&lt;&gt;"",WEEKDAY(BJ$1,2)&lt;6),1,0),IF(AND(BL145&lt;&gt;"",WEEKDAY(BL$1,2)&lt;6),1,0))</f>
        <v>0</v>
      </c>
      <c r="BO145" s="85">
        <f>SUM(IF(AND(E145&lt;&gt;"",WEEKDAY(D$1,2)&lt;6),1,0),IF(AND(G145&lt;&gt;"",WEEKDAY(F$1,2)&lt;6),1,0),IF(AND(I145&lt;&gt;"",WEEKDAY(H$1,2)&lt;6),1,0),IF(AND(K145&lt;&gt;"",WEEKDAY(J$1,2)&lt;6),1,0),IF(AND(M145&lt;&gt;"",WEEKDAY(L$1,2)&lt;6),1,0),IF(AND(O145&lt;&gt;"",WEEKDAY(N$1,2)&lt;6),1,0),IF(AND(Q145&lt;&gt;"",WEEKDAY(P$1,2)&lt;6),1,0),IF(AND(S145&lt;&gt;"",WEEKDAY(R$1,2)&lt;6),1,0),IF(AND(U145&lt;&gt;"",WEEKDAY(T$1,2)&lt;6),1,0),IF(AND(W145&lt;&gt;"",WEEKDAY(V$1,2)&lt;6),1,0),IF(AND(Y145&lt;&gt;"",WEEKDAY(X$1,2)&lt;6),1,0),IF(AND(AA145&lt;&gt;"",WEEKDAY(Z$1,2)&lt;6),1,0),IF(AND(AC145&lt;&gt;"",WEEKDAY(AB$1,2)&lt;6),1,0),IF(AND(AE145&lt;&gt;"",WEEKDAY(AD$1,2)&lt;6),1,0),IF(AND(AG145&lt;&gt;"",WEEKDAY(AF$1,2)&lt;6),1,0),IF(AND(AI145&lt;&gt;"",WEEKDAY(AH$1,2)&lt;6),1,0),IF(AND(AK145&lt;&gt;"",WEEKDAY(AJ$1,2)&lt;6),1,0),IF(AND(AM145&lt;&gt;"",WEEKDAY(AL$1,2)&lt;6),1,0),IF(AND(AO145&lt;&gt;"",WEEKDAY(AN$1,2)&lt;6),1,0),IF(AND(AQ145&lt;&gt;"",WEEKDAY(AP$1,2)&lt;6),1,0),IF(AND(AS145&lt;&gt;"",WEEKDAY(AR$1,2)&lt;6),1,0),IF(AND(AU145&lt;&gt;"",WEEKDAY(AT$1,2)&lt;6),1,0),IF(AND(AW145&lt;&gt;"",WEEKDAY(AV$1,2)&lt;6),1,0),IF(AND(AY145&lt;&gt;"",WEEKDAY(AX$1,2)&lt;6),1,0),IF(AND(BA145&lt;&gt;"",WEEKDAY(AZ$1,2)&lt;6),1,0),IF(AND(BC145&lt;&gt;"",WEEKDAY(BB$1,2)&lt;6),1,0),IF(AND(BE145&lt;&gt;"",WEEKDAY(BD$1,2)&lt;6),1,0),IF(AND(BG145&lt;&gt;"",WEEKDAY(BF$1,2)&lt;6),1,0),IF(AND(BI145&lt;&gt;"",WEEKDAY(BH$1,2)&lt;6),1,0),IF(AND(BK145&lt;&gt;"",WEEKDAY(BJ$1,2)&lt;6),1,0),IF(AND(BM145&lt;&gt;"",WEEKDAY(BL$1,2)&lt;6),1,0))</f>
        <v>0</v>
      </c>
      <c r="BP145" s="85">
        <f>SUM(IF(AND((D145&lt;&gt;"")+(E145&lt;&gt;""),WEEKDAY(D$1,2)=6),1,0),IF(AND((F145&lt;&gt;"")+(G145&lt;&gt;""),WEEKDAY(F$1,2)=6),1,0),IF(AND((H145&lt;&gt;"")+(I145&lt;&gt;""),WEEKDAY(H$1,2)=6),1,0),IF(AND((J145&lt;&gt;"")+(K145&lt;&gt;""),WEEKDAY(J$1,2)=6),1,0),IF(AND((L145&lt;&gt;"")+(M145&lt;&gt;""),WEEKDAY(L$1,2)=6),1,0),IF(AND((N145&lt;&gt;"")+(O145&lt;&gt;""),WEEKDAY(N$1,2)=6),1,0),IF(AND((P145&lt;&gt;"")+(Q145&lt;&gt;""),WEEKDAY(P$1,2)=6),1,0),IF(AND((R145&lt;&gt;"")+(S145&lt;&gt;""),WEEKDAY(R$1,2)=6),1,0),IF(AND((T145&lt;&gt;"")+(U145&lt;&gt;""),WEEKDAY(T$1,2)=6),1,0),IF(AND((V145&lt;&gt;"")+(W145&lt;&gt;""),WEEKDAY(V$1,2)=6),1,0),IF(AND((X145&lt;&gt;"")+(Y145&lt;&gt;""),WEEKDAY(X$1,2)=6),1,0),IF(AND((Z145&lt;&gt;"")+(AA145&lt;&gt;""),WEEKDAY(Z$1,2)=6),1,0),IF(AND((AB145&lt;&gt;"")+(AC145&lt;&gt;""),WEEKDAY(AB$1,2)=6),1,0),IF(AND((AD145&lt;&gt;"")+(AE145&lt;&gt;""),WEEKDAY(AD$1,2)=6),1,0),IF(AND((AF145&lt;&gt;"")+(AG145&lt;&gt;""),WEEKDAY(AF$1,2)=6),1,0),IF(AND((AH145&lt;&gt;"")+(AI145&lt;&gt;""),WEEKDAY(AH$1,2)=6),1,0),IF(AND((AJ145&lt;&gt;"")+(AK145&lt;&gt;""),WEEKDAY(AJ$1,2)=6),1,0),IF(AND((AL145&lt;&gt;"")+(AM145&lt;&gt;""),WEEKDAY(AL$1,2)=6),1,0),IF(AND((AN145&lt;&gt;"")+(AO145&lt;&gt;""),WEEKDAY(AN$1,2)=6),1,0),IF(AND((AP145&lt;&gt;"")+(AQ145&lt;&gt;""),WEEKDAY(AP$1,2)=6),1,0),IF(AND((AR145&lt;&gt;"")+(AS145&lt;&gt;""),WEEKDAY(AR$1,2)=6),1,0),IF(AND((AT145&lt;&gt;"")+(AU145&lt;&gt;""),WEEKDAY(AT$1,2)=6),1,0),IF(AND((AV145&lt;&gt;"")+(AW145&lt;&gt;""),WEEKDAY(AV$1,2)=6),1,0),IF(AND((AX145&lt;&gt;"")+(AY145&lt;&gt;""),WEEKDAY(AX$1,2)=6),1,0),IF(AND((AZ145&lt;&gt;"")+(BA145&lt;&gt;""),WEEKDAY(AZ$1,2)=6),1,0),IF(AND((BB145&lt;&gt;"")+(BC145&lt;&gt;""),WEEKDAY(BB$1,2)=6),1,0),IF(AND((BD145&lt;&gt;"")+(BE145&lt;&gt;""),WEEKDAY(BD$1,2)=6),1,0),IF(AND((BF145&lt;&gt;"")+(BG145&lt;&gt;""),WEEKDAY(BF$1,2)=6),1,0),IF(AND((BH145&lt;&gt;"")+(BI145&lt;&gt;""),WEEKDAY(BH$1,2)=6),1,0),IF(AND((BJ145&lt;&gt;"")+(BK145&lt;&gt;""),WEEKDAY(BJ$1,2)=6),1,0),IF(AND((BL145&lt;&gt;"")+(BM145&lt;&gt;""),WEEKDAY(BL$1,2)=6),1,0))</f>
        <v>0</v>
      </c>
    </row>
    <row r="146" spans="1:68" ht="16.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>
        <f>SUM(IF(AND(D146&lt;&gt;"",WEEKDAY(D$1,2)&lt;6),1,0),IF(AND(F146&lt;&gt;"",WEEKDAY(F$1,2)&lt;6),1,0),IF(AND(H146&lt;&gt;"",WEEKDAY(H$1,2)&lt;6),1,0),IF(AND(J146&lt;&gt;"",WEEKDAY(J$1,2)&lt;6),1,0),IF(AND(L146&lt;&gt;"",WEEKDAY(L$1,2)&lt;6),1,0),IF(AND(N146&lt;&gt;"",WEEKDAY(N$1,2)&lt;6),1,0),IF(AND(P146&lt;&gt;"",WEEKDAY(P$1,2)&lt;6),1,0),IF(AND(R146&lt;&gt;"",WEEKDAY(R$1,2)&lt;6),1,0),IF(AND(T146&lt;&gt;"",WEEKDAY(T$1,2)&lt;6),1,0),IF(AND(V146&lt;&gt;"",WEEKDAY(V$1,2)&lt;6),1,0),IF(AND(X146&lt;&gt;"",WEEKDAY(X$1,2)&lt;6),1,0),IF(AND(Z146&lt;&gt;"",WEEKDAY(Z$1,2)&lt;6),1,0),IF(AND(AB146&lt;&gt;"",WEEKDAY(AB$1,2)&lt;6),1,0),IF(AND(AD146&lt;&gt;"",WEEKDAY(AD$1,2)&lt;6),1,0),IF(AND(AF146&lt;&gt;"",WEEKDAY(AF$1,2)&lt;6),1,0),IF(AND(AH146&lt;&gt;"",WEEKDAY(AH$1,2)&lt;6),1,0),IF(AND(AJ146&lt;&gt;"",WEEKDAY(AJ$1,2)&lt;6),1,0),IF(AND(AL146&lt;&gt;"",WEEKDAY(AL$1,2)&lt;6),1,0),IF(AND(AN146&lt;&gt;"",WEEKDAY(AN$1,2)&lt;6),1,0),IF(AND(AP146&lt;&gt;"",WEEKDAY(AP$1,2)&lt;6),1,0),IF(AND(AR146&lt;&gt;"",WEEKDAY(AR$1,2)&lt;6),1,0),IF(AND(AT146&lt;&gt;"",WEEKDAY(AT$1,2)&lt;6),1,0),IF(AND(AV146&lt;&gt;"",WEEKDAY(AV$1,2)&lt;6),1,0),IF(AND(AX146&lt;&gt;"",WEEKDAY(AX$1,2)&lt;6),1,0),IF(AND(AZ146&lt;&gt;"",WEEKDAY(AZ$1,2)&lt;6),1,0),IF(AND(BB146&lt;&gt;"",WEEKDAY(BB$1,2)&lt;6),1,0),IF(AND(BD146&lt;&gt;"",WEEKDAY(BD$1,2)&lt;6),1,0),IF(AND(BF146&lt;&gt;"",WEEKDAY(BF$1,2)&lt;6),1,0),IF(AND(BH146&lt;&gt;"",WEEKDAY(BH$1,2)&lt;6),1,0),IF(AND(BJ146&lt;&gt;"",WEEKDAY(BJ$1,2)&lt;6),1,0),IF(AND(BL146&lt;&gt;"",WEEKDAY(BL$1,2)&lt;6),1,0))</f>
        <v>0</v>
      </c>
      <c r="BO146" s="85">
        <f>SUM(IF(AND(E146&lt;&gt;"",WEEKDAY(D$1,2)&lt;6),1,0),IF(AND(G146&lt;&gt;"",WEEKDAY(F$1,2)&lt;6),1,0),IF(AND(I146&lt;&gt;"",WEEKDAY(H$1,2)&lt;6),1,0),IF(AND(K146&lt;&gt;"",WEEKDAY(J$1,2)&lt;6),1,0),IF(AND(M146&lt;&gt;"",WEEKDAY(L$1,2)&lt;6),1,0),IF(AND(O146&lt;&gt;"",WEEKDAY(N$1,2)&lt;6),1,0),IF(AND(Q146&lt;&gt;"",WEEKDAY(P$1,2)&lt;6),1,0),IF(AND(S146&lt;&gt;"",WEEKDAY(R$1,2)&lt;6),1,0),IF(AND(U146&lt;&gt;"",WEEKDAY(T$1,2)&lt;6),1,0),IF(AND(W146&lt;&gt;"",WEEKDAY(V$1,2)&lt;6),1,0),IF(AND(Y146&lt;&gt;"",WEEKDAY(X$1,2)&lt;6),1,0),IF(AND(AA146&lt;&gt;"",WEEKDAY(Z$1,2)&lt;6),1,0),IF(AND(AC146&lt;&gt;"",WEEKDAY(AB$1,2)&lt;6),1,0),IF(AND(AE146&lt;&gt;"",WEEKDAY(AD$1,2)&lt;6),1,0),IF(AND(AG146&lt;&gt;"",WEEKDAY(AF$1,2)&lt;6),1,0),IF(AND(AI146&lt;&gt;"",WEEKDAY(AH$1,2)&lt;6),1,0),IF(AND(AK146&lt;&gt;"",WEEKDAY(AJ$1,2)&lt;6),1,0),IF(AND(AM146&lt;&gt;"",WEEKDAY(AL$1,2)&lt;6),1,0),IF(AND(AO146&lt;&gt;"",WEEKDAY(AN$1,2)&lt;6),1,0),IF(AND(AQ146&lt;&gt;"",WEEKDAY(AP$1,2)&lt;6),1,0),IF(AND(AS146&lt;&gt;"",WEEKDAY(AR$1,2)&lt;6),1,0),IF(AND(AU146&lt;&gt;"",WEEKDAY(AT$1,2)&lt;6),1,0),IF(AND(AW146&lt;&gt;"",WEEKDAY(AV$1,2)&lt;6),1,0),IF(AND(AY146&lt;&gt;"",WEEKDAY(AX$1,2)&lt;6),1,0),IF(AND(BA146&lt;&gt;"",WEEKDAY(AZ$1,2)&lt;6),1,0),IF(AND(BC146&lt;&gt;"",WEEKDAY(BB$1,2)&lt;6),1,0),IF(AND(BE146&lt;&gt;"",WEEKDAY(BD$1,2)&lt;6),1,0),IF(AND(BG146&lt;&gt;"",WEEKDAY(BF$1,2)&lt;6),1,0),IF(AND(BI146&lt;&gt;"",WEEKDAY(BH$1,2)&lt;6),1,0),IF(AND(BK146&lt;&gt;"",WEEKDAY(BJ$1,2)&lt;6),1,0),IF(AND(BM146&lt;&gt;"",WEEKDAY(BL$1,2)&lt;6),1,0))</f>
        <v>0</v>
      </c>
      <c r="BP146" s="85">
        <f>SUM(IF(AND((D146&lt;&gt;"")+(E146&lt;&gt;""),WEEKDAY(D$1,2)=6),1,0),IF(AND((F146&lt;&gt;"")+(G146&lt;&gt;""),WEEKDAY(F$1,2)=6),1,0),IF(AND((H146&lt;&gt;"")+(I146&lt;&gt;""),WEEKDAY(H$1,2)=6),1,0),IF(AND((J146&lt;&gt;"")+(K146&lt;&gt;""),WEEKDAY(J$1,2)=6),1,0),IF(AND((L146&lt;&gt;"")+(M146&lt;&gt;""),WEEKDAY(L$1,2)=6),1,0),IF(AND((N146&lt;&gt;"")+(O146&lt;&gt;""),WEEKDAY(N$1,2)=6),1,0),IF(AND((P146&lt;&gt;"")+(Q146&lt;&gt;""),WEEKDAY(P$1,2)=6),1,0),IF(AND((R146&lt;&gt;"")+(S146&lt;&gt;""),WEEKDAY(R$1,2)=6),1,0),IF(AND((T146&lt;&gt;"")+(U146&lt;&gt;""),WEEKDAY(T$1,2)=6),1,0),IF(AND((V146&lt;&gt;"")+(W146&lt;&gt;""),WEEKDAY(V$1,2)=6),1,0),IF(AND((X146&lt;&gt;"")+(Y146&lt;&gt;""),WEEKDAY(X$1,2)=6),1,0),IF(AND((Z146&lt;&gt;"")+(AA146&lt;&gt;""),WEEKDAY(Z$1,2)=6),1,0),IF(AND((AB146&lt;&gt;"")+(AC146&lt;&gt;""),WEEKDAY(AB$1,2)=6),1,0),IF(AND((AD146&lt;&gt;"")+(AE146&lt;&gt;""),WEEKDAY(AD$1,2)=6),1,0),IF(AND((AF146&lt;&gt;"")+(AG146&lt;&gt;""),WEEKDAY(AF$1,2)=6),1,0),IF(AND((AH146&lt;&gt;"")+(AI146&lt;&gt;""),WEEKDAY(AH$1,2)=6),1,0),IF(AND((AJ146&lt;&gt;"")+(AK146&lt;&gt;""),WEEKDAY(AJ$1,2)=6),1,0),IF(AND((AL146&lt;&gt;"")+(AM146&lt;&gt;""),WEEKDAY(AL$1,2)=6),1,0),IF(AND((AN146&lt;&gt;"")+(AO146&lt;&gt;""),WEEKDAY(AN$1,2)=6),1,0),IF(AND((AP146&lt;&gt;"")+(AQ146&lt;&gt;""),WEEKDAY(AP$1,2)=6),1,0),IF(AND((AR146&lt;&gt;"")+(AS146&lt;&gt;""),WEEKDAY(AR$1,2)=6),1,0),IF(AND((AT146&lt;&gt;"")+(AU146&lt;&gt;""),WEEKDAY(AT$1,2)=6),1,0),IF(AND((AV146&lt;&gt;"")+(AW146&lt;&gt;""),WEEKDAY(AV$1,2)=6),1,0),IF(AND((AX146&lt;&gt;"")+(AY146&lt;&gt;""),WEEKDAY(AX$1,2)=6),1,0),IF(AND((AZ146&lt;&gt;"")+(BA146&lt;&gt;""),WEEKDAY(AZ$1,2)=6),1,0),IF(AND((BB146&lt;&gt;"")+(BC146&lt;&gt;""),WEEKDAY(BB$1,2)=6),1,0),IF(AND((BD146&lt;&gt;"")+(BE146&lt;&gt;""),WEEKDAY(BD$1,2)=6),1,0),IF(AND((BF146&lt;&gt;"")+(BG146&lt;&gt;""),WEEKDAY(BF$1,2)=6),1,0),IF(AND((BH146&lt;&gt;"")+(BI146&lt;&gt;""),WEEKDAY(BH$1,2)=6),1,0),IF(AND((BJ146&lt;&gt;"")+(BK146&lt;&gt;""),WEEKDAY(BJ$1,2)=6),1,0),IF(AND((BL146&lt;&gt;"")+(BM146&lt;&gt;""),WEEKDAY(BL$1,2)=6),1,0))</f>
        <v>0</v>
      </c>
    </row>
    <row r="147" spans="1:68" ht="16.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>
        <f>SUM(IF(AND(D147&lt;&gt;"",WEEKDAY(D$1,2)&lt;6),1,0),IF(AND(F147&lt;&gt;"",WEEKDAY(F$1,2)&lt;6),1,0),IF(AND(H147&lt;&gt;"",WEEKDAY(H$1,2)&lt;6),1,0),IF(AND(J147&lt;&gt;"",WEEKDAY(J$1,2)&lt;6),1,0),IF(AND(L147&lt;&gt;"",WEEKDAY(L$1,2)&lt;6),1,0),IF(AND(N147&lt;&gt;"",WEEKDAY(N$1,2)&lt;6),1,0),IF(AND(P147&lt;&gt;"",WEEKDAY(P$1,2)&lt;6),1,0),IF(AND(R147&lt;&gt;"",WEEKDAY(R$1,2)&lt;6),1,0),IF(AND(T147&lt;&gt;"",WEEKDAY(T$1,2)&lt;6),1,0),IF(AND(V147&lt;&gt;"",WEEKDAY(V$1,2)&lt;6),1,0),IF(AND(X147&lt;&gt;"",WEEKDAY(X$1,2)&lt;6),1,0),IF(AND(Z147&lt;&gt;"",WEEKDAY(Z$1,2)&lt;6),1,0),IF(AND(AB147&lt;&gt;"",WEEKDAY(AB$1,2)&lt;6),1,0),IF(AND(AD147&lt;&gt;"",WEEKDAY(AD$1,2)&lt;6),1,0),IF(AND(AF147&lt;&gt;"",WEEKDAY(AF$1,2)&lt;6),1,0),IF(AND(AH147&lt;&gt;"",WEEKDAY(AH$1,2)&lt;6),1,0),IF(AND(AJ147&lt;&gt;"",WEEKDAY(AJ$1,2)&lt;6),1,0),IF(AND(AL147&lt;&gt;"",WEEKDAY(AL$1,2)&lt;6),1,0),IF(AND(AN147&lt;&gt;"",WEEKDAY(AN$1,2)&lt;6),1,0),IF(AND(AP147&lt;&gt;"",WEEKDAY(AP$1,2)&lt;6),1,0),IF(AND(AR147&lt;&gt;"",WEEKDAY(AR$1,2)&lt;6),1,0),IF(AND(AT147&lt;&gt;"",WEEKDAY(AT$1,2)&lt;6),1,0),IF(AND(AV147&lt;&gt;"",WEEKDAY(AV$1,2)&lt;6),1,0),IF(AND(AX147&lt;&gt;"",WEEKDAY(AX$1,2)&lt;6),1,0),IF(AND(AZ147&lt;&gt;"",WEEKDAY(AZ$1,2)&lt;6),1,0),IF(AND(BB147&lt;&gt;"",WEEKDAY(BB$1,2)&lt;6),1,0),IF(AND(BD147&lt;&gt;"",WEEKDAY(BD$1,2)&lt;6),1,0),IF(AND(BF147&lt;&gt;"",WEEKDAY(BF$1,2)&lt;6),1,0),IF(AND(BH147&lt;&gt;"",WEEKDAY(BH$1,2)&lt;6),1,0),IF(AND(BJ147&lt;&gt;"",WEEKDAY(BJ$1,2)&lt;6),1,0),IF(AND(BL147&lt;&gt;"",WEEKDAY(BL$1,2)&lt;6),1,0))</f>
        <v>0</v>
      </c>
      <c r="BO147" s="85">
        <f>SUM(IF(AND(E147&lt;&gt;"",WEEKDAY(D$1,2)&lt;6),1,0),IF(AND(G147&lt;&gt;"",WEEKDAY(F$1,2)&lt;6),1,0),IF(AND(I147&lt;&gt;"",WEEKDAY(H$1,2)&lt;6),1,0),IF(AND(K147&lt;&gt;"",WEEKDAY(J$1,2)&lt;6),1,0),IF(AND(M147&lt;&gt;"",WEEKDAY(L$1,2)&lt;6),1,0),IF(AND(O147&lt;&gt;"",WEEKDAY(N$1,2)&lt;6),1,0),IF(AND(Q147&lt;&gt;"",WEEKDAY(P$1,2)&lt;6),1,0),IF(AND(S147&lt;&gt;"",WEEKDAY(R$1,2)&lt;6),1,0),IF(AND(U147&lt;&gt;"",WEEKDAY(T$1,2)&lt;6),1,0),IF(AND(W147&lt;&gt;"",WEEKDAY(V$1,2)&lt;6),1,0),IF(AND(Y147&lt;&gt;"",WEEKDAY(X$1,2)&lt;6),1,0),IF(AND(AA147&lt;&gt;"",WEEKDAY(Z$1,2)&lt;6),1,0),IF(AND(AC147&lt;&gt;"",WEEKDAY(AB$1,2)&lt;6),1,0),IF(AND(AE147&lt;&gt;"",WEEKDAY(AD$1,2)&lt;6),1,0),IF(AND(AG147&lt;&gt;"",WEEKDAY(AF$1,2)&lt;6),1,0),IF(AND(AI147&lt;&gt;"",WEEKDAY(AH$1,2)&lt;6),1,0),IF(AND(AK147&lt;&gt;"",WEEKDAY(AJ$1,2)&lt;6),1,0),IF(AND(AM147&lt;&gt;"",WEEKDAY(AL$1,2)&lt;6),1,0),IF(AND(AO147&lt;&gt;"",WEEKDAY(AN$1,2)&lt;6),1,0),IF(AND(AQ147&lt;&gt;"",WEEKDAY(AP$1,2)&lt;6),1,0),IF(AND(AS147&lt;&gt;"",WEEKDAY(AR$1,2)&lt;6),1,0),IF(AND(AU147&lt;&gt;"",WEEKDAY(AT$1,2)&lt;6),1,0),IF(AND(AW147&lt;&gt;"",WEEKDAY(AV$1,2)&lt;6),1,0),IF(AND(AY147&lt;&gt;"",WEEKDAY(AX$1,2)&lt;6),1,0),IF(AND(BA147&lt;&gt;"",WEEKDAY(AZ$1,2)&lt;6),1,0),IF(AND(BC147&lt;&gt;"",WEEKDAY(BB$1,2)&lt;6),1,0),IF(AND(BE147&lt;&gt;"",WEEKDAY(BD$1,2)&lt;6),1,0),IF(AND(BG147&lt;&gt;"",WEEKDAY(BF$1,2)&lt;6),1,0),IF(AND(BI147&lt;&gt;"",WEEKDAY(BH$1,2)&lt;6),1,0),IF(AND(BK147&lt;&gt;"",WEEKDAY(BJ$1,2)&lt;6),1,0),IF(AND(BM147&lt;&gt;"",WEEKDAY(BL$1,2)&lt;6),1,0))</f>
        <v>0</v>
      </c>
      <c r="BP147" s="85">
        <f>SUM(IF(AND((D147&lt;&gt;"")+(E147&lt;&gt;""),WEEKDAY(D$1,2)=6),1,0),IF(AND((F147&lt;&gt;"")+(G147&lt;&gt;""),WEEKDAY(F$1,2)=6),1,0),IF(AND((H147&lt;&gt;"")+(I147&lt;&gt;""),WEEKDAY(H$1,2)=6),1,0),IF(AND((J147&lt;&gt;"")+(K147&lt;&gt;""),WEEKDAY(J$1,2)=6),1,0),IF(AND((L147&lt;&gt;"")+(M147&lt;&gt;""),WEEKDAY(L$1,2)=6),1,0),IF(AND((N147&lt;&gt;"")+(O147&lt;&gt;""),WEEKDAY(N$1,2)=6),1,0),IF(AND((P147&lt;&gt;"")+(Q147&lt;&gt;""),WEEKDAY(P$1,2)=6),1,0),IF(AND((R147&lt;&gt;"")+(S147&lt;&gt;""),WEEKDAY(R$1,2)=6),1,0),IF(AND((T147&lt;&gt;"")+(U147&lt;&gt;""),WEEKDAY(T$1,2)=6),1,0),IF(AND((V147&lt;&gt;"")+(W147&lt;&gt;""),WEEKDAY(V$1,2)=6),1,0),IF(AND((X147&lt;&gt;"")+(Y147&lt;&gt;""),WEEKDAY(X$1,2)=6),1,0),IF(AND((Z147&lt;&gt;"")+(AA147&lt;&gt;""),WEEKDAY(Z$1,2)=6),1,0),IF(AND((AB147&lt;&gt;"")+(AC147&lt;&gt;""),WEEKDAY(AB$1,2)=6),1,0),IF(AND((AD147&lt;&gt;"")+(AE147&lt;&gt;""),WEEKDAY(AD$1,2)=6),1,0),IF(AND((AF147&lt;&gt;"")+(AG147&lt;&gt;""),WEEKDAY(AF$1,2)=6),1,0),IF(AND((AH147&lt;&gt;"")+(AI147&lt;&gt;""),WEEKDAY(AH$1,2)=6),1,0),IF(AND((AJ147&lt;&gt;"")+(AK147&lt;&gt;""),WEEKDAY(AJ$1,2)=6),1,0),IF(AND((AL147&lt;&gt;"")+(AM147&lt;&gt;""),WEEKDAY(AL$1,2)=6),1,0),IF(AND((AN147&lt;&gt;"")+(AO147&lt;&gt;""),WEEKDAY(AN$1,2)=6),1,0),IF(AND((AP147&lt;&gt;"")+(AQ147&lt;&gt;""),WEEKDAY(AP$1,2)=6),1,0),IF(AND((AR147&lt;&gt;"")+(AS147&lt;&gt;""),WEEKDAY(AR$1,2)=6),1,0),IF(AND((AT147&lt;&gt;"")+(AU147&lt;&gt;""),WEEKDAY(AT$1,2)=6),1,0),IF(AND((AV147&lt;&gt;"")+(AW147&lt;&gt;""),WEEKDAY(AV$1,2)=6),1,0),IF(AND((AX147&lt;&gt;"")+(AY147&lt;&gt;""),WEEKDAY(AX$1,2)=6),1,0),IF(AND((AZ147&lt;&gt;"")+(BA147&lt;&gt;""),WEEKDAY(AZ$1,2)=6),1,0),IF(AND((BB147&lt;&gt;"")+(BC147&lt;&gt;""),WEEKDAY(BB$1,2)=6),1,0),IF(AND((BD147&lt;&gt;"")+(BE147&lt;&gt;""),WEEKDAY(BD$1,2)=6),1,0),IF(AND((BF147&lt;&gt;"")+(BG147&lt;&gt;""),WEEKDAY(BF$1,2)=6),1,0),IF(AND((BH147&lt;&gt;"")+(BI147&lt;&gt;""),WEEKDAY(BH$1,2)=6),1,0),IF(AND((BJ147&lt;&gt;"")+(BK147&lt;&gt;""),WEEKDAY(BJ$1,2)=6),1,0),IF(AND((BL147&lt;&gt;"")+(BM147&lt;&gt;""),WEEKDAY(BL$1,2)=6),1,0))</f>
        <v>0</v>
      </c>
    </row>
    <row r="148" spans="1:68" ht="16.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>
        <f>SUM(IF(AND(D148&lt;&gt;"",WEEKDAY(D$1,2)&lt;6),1,0),IF(AND(F148&lt;&gt;"",WEEKDAY(F$1,2)&lt;6),1,0),IF(AND(H148&lt;&gt;"",WEEKDAY(H$1,2)&lt;6),1,0),IF(AND(J148&lt;&gt;"",WEEKDAY(J$1,2)&lt;6),1,0),IF(AND(L148&lt;&gt;"",WEEKDAY(L$1,2)&lt;6),1,0),IF(AND(N148&lt;&gt;"",WEEKDAY(N$1,2)&lt;6),1,0),IF(AND(P148&lt;&gt;"",WEEKDAY(P$1,2)&lt;6),1,0),IF(AND(R148&lt;&gt;"",WEEKDAY(R$1,2)&lt;6),1,0),IF(AND(T148&lt;&gt;"",WEEKDAY(T$1,2)&lt;6),1,0),IF(AND(V148&lt;&gt;"",WEEKDAY(V$1,2)&lt;6),1,0),IF(AND(X148&lt;&gt;"",WEEKDAY(X$1,2)&lt;6),1,0),IF(AND(Z148&lt;&gt;"",WEEKDAY(Z$1,2)&lt;6),1,0),IF(AND(AB148&lt;&gt;"",WEEKDAY(AB$1,2)&lt;6),1,0),IF(AND(AD148&lt;&gt;"",WEEKDAY(AD$1,2)&lt;6),1,0),IF(AND(AF148&lt;&gt;"",WEEKDAY(AF$1,2)&lt;6),1,0),IF(AND(AH148&lt;&gt;"",WEEKDAY(AH$1,2)&lt;6),1,0),IF(AND(AJ148&lt;&gt;"",WEEKDAY(AJ$1,2)&lt;6),1,0),IF(AND(AL148&lt;&gt;"",WEEKDAY(AL$1,2)&lt;6),1,0),IF(AND(AN148&lt;&gt;"",WEEKDAY(AN$1,2)&lt;6),1,0),IF(AND(AP148&lt;&gt;"",WEEKDAY(AP$1,2)&lt;6),1,0),IF(AND(AR148&lt;&gt;"",WEEKDAY(AR$1,2)&lt;6),1,0),IF(AND(AT148&lt;&gt;"",WEEKDAY(AT$1,2)&lt;6),1,0),IF(AND(AV148&lt;&gt;"",WEEKDAY(AV$1,2)&lt;6),1,0),IF(AND(AX148&lt;&gt;"",WEEKDAY(AX$1,2)&lt;6),1,0),IF(AND(AZ148&lt;&gt;"",WEEKDAY(AZ$1,2)&lt;6),1,0),IF(AND(BB148&lt;&gt;"",WEEKDAY(BB$1,2)&lt;6),1,0),IF(AND(BD148&lt;&gt;"",WEEKDAY(BD$1,2)&lt;6),1,0),IF(AND(BF148&lt;&gt;"",WEEKDAY(BF$1,2)&lt;6),1,0),IF(AND(BH148&lt;&gt;"",WEEKDAY(BH$1,2)&lt;6),1,0),IF(AND(BJ148&lt;&gt;"",WEEKDAY(BJ$1,2)&lt;6),1,0),IF(AND(BL148&lt;&gt;"",WEEKDAY(BL$1,2)&lt;6),1,0))</f>
        <v>0</v>
      </c>
      <c r="BO148" s="85">
        <f>SUM(IF(AND(E148&lt;&gt;"",WEEKDAY(D$1,2)&lt;6),1,0),IF(AND(G148&lt;&gt;"",WEEKDAY(F$1,2)&lt;6),1,0),IF(AND(I148&lt;&gt;"",WEEKDAY(H$1,2)&lt;6),1,0),IF(AND(K148&lt;&gt;"",WEEKDAY(J$1,2)&lt;6),1,0),IF(AND(M148&lt;&gt;"",WEEKDAY(L$1,2)&lt;6),1,0),IF(AND(O148&lt;&gt;"",WEEKDAY(N$1,2)&lt;6),1,0),IF(AND(Q148&lt;&gt;"",WEEKDAY(P$1,2)&lt;6),1,0),IF(AND(S148&lt;&gt;"",WEEKDAY(R$1,2)&lt;6),1,0),IF(AND(U148&lt;&gt;"",WEEKDAY(T$1,2)&lt;6),1,0),IF(AND(W148&lt;&gt;"",WEEKDAY(V$1,2)&lt;6),1,0),IF(AND(Y148&lt;&gt;"",WEEKDAY(X$1,2)&lt;6),1,0),IF(AND(AA148&lt;&gt;"",WEEKDAY(Z$1,2)&lt;6),1,0),IF(AND(AC148&lt;&gt;"",WEEKDAY(AB$1,2)&lt;6),1,0),IF(AND(AE148&lt;&gt;"",WEEKDAY(AD$1,2)&lt;6),1,0),IF(AND(AG148&lt;&gt;"",WEEKDAY(AF$1,2)&lt;6),1,0),IF(AND(AI148&lt;&gt;"",WEEKDAY(AH$1,2)&lt;6),1,0),IF(AND(AK148&lt;&gt;"",WEEKDAY(AJ$1,2)&lt;6),1,0),IF(AND(AM148&lt;&gt;"",WEEKDAY(AL$1,2)&lt;6),1,0),IF(AND(AO148&lt;&gt;"",WEEKDAY(AN$1,2)&lt;6),1,0),IF(AND(AQ148&lt;&gt;"",WEEKDAY(AP$1,2)&lt;6),1,0),IF(AND(AS148&lt;&gt;"",WEEKDAY(AR$1,2)&lt;6),1,0),IF(AND(AU148&lt;&gt;"",WEEKDAY(AT$1,2)&lt;6),1,0),IF(AND(AW148&lt;&gt;"",WEEKDAY(AV$1,2)&lt;6),1,0),IF(AND(AY148&lt;&gt;"",WEEKDAY(AX$1,2)&lt;6),1,0),IF(AND(BA148&lt;&gt;"",WEEKDAY(AZ$1,2)&lt;6),1,0),IF(AND(BC148&lt;&gt;"",WEEKDAY(BB$1,2)&lt;6),1,0),IF(AND(BE148&lt;&gt;"",WEEKDAY(BD$1,2)&lt;6),1,0),IF(AND(BG148&lt;&gt;"",WEEKDAY(BF$1,2)&lt;6),1,0),IF(AND(BI148&lt;&gt;"",WEEKDAY(BH$1,2)&lt;6),1,0),IF(AND(BK148&lt;&gt;"",WEEKDAY(BJ$1,2)&lt;6),1,0),IF(AND(BM148&lt;&gt;"",WEEKDAY(BL$1,2)&lt;6),1,0))</f>
        <v>0</v>
      </c>
      <c r="BP148" s="85">
        <f>SUM(IF(AND((D148&lt;&gt;"")+(E148&lt;&gt;""),WEEKDAY(D$1,2)=6),1,0),IF(AND((F148&lt;&gt;"")+(G148&lt;&gt;""),WEEKDAY(F$1,2)=6),1,0),IF(AND((H148&lt;&gt;"")+(I148&lt;&gt;""),WEEKDAY(H$1,2)=6),1,0),IF(AND((J148&lt;&gt;"")+(K148&lt;&gt;""),WEEKDAY(J$1,2)=6),1,0),IF(AND((L148&lt;&gt;"")+(M148&lt;&gt;""),WEEKDAY(L$1,2)=6),1,0),IF(AND((N148&lt;&gt;"")+(O148&lt;&gt;""),WEEKDAY(N$1,2)=6),1,0),IF(AND((P148&lt;&gt;"")+(Q148&lt;&gt;""),WEEKDAY(P$1,2)=6),1,0),IF(AND((R148&lt;&gt;"")+(S148&lt;&gt;""),WEEKDAY(R$1,2)=6),1,0),IF(AND((T148&lt;&gt;"")+(U148&lt;&gt;""),WEEKDAY(T$1,2)=6),1,0),IF(AND((V148&lt;&gt;"")+(W148&lt;&gt;""),WEEKDAY(V$1,2)=6),1,0),IF(AND((X148&lt;&gt;"")+(Y148&lt;&gt;""),WEEKDAY(X$1,2)=6),1,0),IF(AND((Z148&lt;&gt;"")+(AA148&lt;&gt;""),WEEKDAY(Z$1,2)=6),1,0),IF(AND((AB148&lt;&gt;"")+(AC148&lt;&gt;""),WEEKDAY(AB$1,2)=6),1,0),IF(AND((AD148&lt;&gt;"")+(AE148&lt;&gt;""),WEEKDAY(AD$1,2)=6),1,0),IF(AND((AF148&lt;&gt;"")+(AG148&lt;&gt;""),WEEKDAY(AF$1,2)=6),1,0),IF(AND((AH148&lt;&gt;"")+(AI148&lt;&gt;""),WEEKDAY(AH$1,2)=6),1,0),IF(AND((AJ148&lt;&gt;"")+(AK148&lt;&gt;""),WEEKDAY(AJ$1,2)=6),1,0),IF(AND((AL148&lt;&gt;"")+(AM148&lt;&gt;""),WEEKDAY(AL$1,2)=6),1,0),IF(AND((AN148&lt;&gt;"")+(AO148&lt;&gt;""),WEEKDAY(AN$1,2)=6),1,0),IF(AND((AP148&lt;&gt;"")+(AQ148&lt;&gt;""),WEEKDAY(AP$1,2)=6),1,0),IF(AND((AR148&lt;&gt;"")+(AS148&lt;&gt;""),WEEKDAY(AR$1,2)=6),1,0),IF(AND((AT148&lt;&gt;"")+(AU148&lt;&gt;""),WEEKDAY(AT$1,2)=6),1,0),IF(AND((AV148&lt;&gt;"")+(AW148&lt;&gt;""),WEEKDAY(AV$1,2)=6),1,0),IF(AND((AX148&lt;&gt;"")+(AY148&lt;&gt;""),WEEKDAY(AX$1,2)=6),1,0),IF(AND((AZ148&lt;&gt;"")+(BA148&lt;&gt;""),WEEKDAY(AZ$1,2)=6),1,0),IF(AND((BB148&lt;&gt;"")+(BC148&lt;&gt;""),WEEKDAY(BB$1,2)=6),1,0),IF(AND((BD148&lt;&gt;"")+(BE148&lt;&gt;""),WEEKDAY(BD$1,2)=6),1,0),IF(AND((BF148&lt;&gt;"")+(BG148&lt;&gt;""),WEEKDAY(BF$1,2)=6),1,0),IF(AND((BH148&lt;&gt;"")+(BI148&lt;&gt;""),WEEKDAY(BH$1,2)=6),1,0),IF(AND((BJ148&lt;&gt;"")+(BK148&lt;&gt;""),WEEKDAY(BJ$1,2)=6),1,0),IF(AND((BL148&lt;&gt;"")+(BM148&lt;&gt;""),WEEKDAY(BL$1,2)=6),1,0))</f>
        <v>0</v>
      </c>
    </row>
    <row r="149" spans="1:68" ht="16.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>
        <f>SUM(IF(AND(D149&lt;&gt;"",WEEKDAY(D$1,2)&lt;6),1,0),IF(AND(F149&lt;&gt;"",WEEKDAY(F$1,2)&lt;6),1,0),IF(AND(H149&lt;&gt;"",WEEKDAY(H$1,2)&lt;6),1,0),IF(AND(J149&lt;&gt;"",WEEKDAY(J$1,2)&lt;6),1,0),IF(AND(L149&lt;&gt;"",WEEKDAY(L$1,2)&lt;6),1,0),IF(AND(N149&lt;&gt;"",WEEKDAY(N$1,2)&lt;6),1,0),IF(AND(P149&lt;&gt;"",WEEKDAY(P$1,2)&lt;6),1,0),IF(AND(R149&lt;&gt;"",WEEKDAY(R$1,2)&lt;6),1,0),IF(AND(T149&lt;&gt;"",WEEKDAY(T$1,2)&lt;6),1,0),IF(AND(V149&lt;&gt;"",WEEKDAY(V$1,2)&lt;6),1,0),IF(AND(X149&lt;&gt;"",WEEKDAY(X$1,2)&lt;6),1,0),IF(AND(Z149&lt;&gt;"",WEEKDAY(Z$1,2)&lt;6),1,0),IF(AND(AB149&lt;&gt;"",WEEKDAY(AB$1,2)&lt;6),1,0),IF(AND(AD149&lt;&gt;"",WEEKDAY(AD$1,2)&lt;6),1,0),IF(AND(AF149&lt;&gt;"",WEEKDAY(AF$1,2)&lt;6),1,0),IF(AND(AH149&lt;&gt;"",WEEKDAY(AH$1,2)&lt;6),1,0),IF(AND(AJ149&lt;&gt;"",WEEKDAY(AJ$1,2)&lt;6),1,0),IF(AND(AL149&lt;&gt;"",WEEKDAY(AL$1,2)&lt;6),1,0),IF(AND(AN149&lt;&gt;"",WEEKDAY(AN$1,2)&lt;6),1,0),IF(AND(AP149&lt;&gt;"",WEEKDAY(AP$1,2)&lt;6),1,0),IF(AND(AR149&lt;&gt;"",WEEKDAY(AR$1,2)&lt;6),1,0),IF(AND(AT149&lt;&gt;"",WEEKDAY(AT$1,2)&lt;6),1,0),IF(AND(AV149&lt;&gt;"",WEEKDAY(AV$1,2)&lt;6),1,0),IF(AND(AX149&lt;&gt;"",WEEKDAY(AX$1,2)&lt;6),1,0),IF(AND(AZ149&lt;&gt;"",WEEKDAY(AZ$1,2)&lt;6),1,0),IF(AND(BB149&lt;&gt;"",WEEKDAY(BB$1,2)&lt;6),1,0),IF(AND(BD149&lt;&gt;"",WEEKDAY(BD$1,2)&lt;6),1,0),IF(AND(BF149&lt;&gt;"",WEEKDAY(BF$1,2)&lt;6),1,0),IF(AND(BH149&lt;&gt;"",WEEKDAY(BH$1,2)&lt;6),1,0),IF(AND(BJ149&lt;&gt;"",WEEKDAY(BJ$1,2)&lt;6),1,0),IF(AND(BL149&lt;&gt;"",WEEKDAY(BL$1,2)&lt;6),1,0))</f>
        <v>0</v>
      </c>
      <c r="BO149" s="85">
        <f>SUM(IF(AND(E149&lt;&gt;"",WEEKDAY(D$1,2)&lt;6),1,0),IF(AND(G149&lt;&gt;"",WEEKDAY(F$1,2)&lt;6),1,0),IF(AND(I149&lt;&gt;"",WEEKDAY(H$1,2)&lt;6),1,0),IF(AND(K149&lt;&gt;"",WEEKDAY(J$1,2)&lt;6),1,0),IF(AND(M149&lt;&gt;"",WEEKDAY(L$1,2)&lt;6),1,0),IF(AND(O149&lt;&gt;"",WEEKDAY(N$1,2)&lt;6),1,0),IF(AND(Q149&lt;&gt;"",WEEKDAY(P$1,2)&lt;6),1,0),IF(AND(S149&lt;&gt;"",WEEKDAY(R$1,2)&lt;6),1,0),IF(AND(U149&lt;&gt;"",WEEKDAY(T$1,2)&lt;6),1,0),IF(AND(W149&lt;&gt;"",WEEKDAY(V$1,2)&lt;6),1,0),IF(AND(Y149&lt;&gt;"",WEEKDAY(X$1,2)&lt;6),1,0),IF(AND(AA149&lt;&gt;"",WEEKDAY(Z$1,2)&lt;6),1,0),IF(AND(AC149&lt;&gt;"",WEEKDAY(AB$1,2)&lt;6),1,0),IF(AND(AE149&lt;&gt;"",WEEKDAY(AD$1,2)&lt;6),1,0),IF(AND(AG149&lt;&gt;"",WEEKDAY(AF$1,2)&lt;6),1,0),IF(AND(AI149&lt;&gt;"",WEEKDAY(AH$1,2)&lt;6),1,0),IF(AND(AK149&lt;&gt;"",WEEKDAY(AJ$1,2)&lt;6),1,0),IF(AND(AM149&lt;&gt;"",WEEKDAY(AL$1,2)&lt;6),1,0),IF(AND(AO149&lt;&gt;"",WEEKDAY(AN$1,2)&lt;6),1,0),IF(AND(AQ149&lt;&gt;"",WEEKDAY(AP$1,2)&lt;6),1,0),IF(AND(AS149&lt;&gt;"",WEEKDAY(AR$1,2)&lt;6),1,0),IF(AND(AU149&lt;&gt;"",WEEKDAY(AT$1,2)&lt;6),1,0),IF(AND(AW149&lt;&gt;"",WEEKDAY(AV$1,2)&lt;6),1,0),IF(AND(AY149&lt;&gt;"",WEEKDAY(AX$1,2)&lt;6),1,0),IF(AND(BA149&lt;&gt;"",WEEKDAY(AZ$1,2)&lt;6),1,0),IF(AND(BC149&lt;&gt;"",WEEKDAY(BB$1,2)&lt;6),1,0),IF(AND(BE149&lt;&gt;"",WEEKDAY(BD$1,2)&lt;6),1,0),IF(AND(BG149&lt;&gt;"",WEEKDAY(BF$1,2)&lt;6),1,0),IF(AND(BI149&lt;&gt;"",WEEKDAY(BH$1,2)&lt;6),1,0),IF(AND(BK149&lt;&gt;"",WEEKDAY(BJ$1,2)&lt;6),1,0),IF(AND(BM149&lt;&gt;"",WEEKDAY(BL$1,2)&lt;6),1,0))</f>
        <v>0</v>
      </c>
      <c r="BP149" s="85">
        <f>SUM(IF(AND((D149&lt;&gt;"")+(E149&lt;&gt;""),WEEKDAY(D$1,2)=6),1,0),IF(AND((F149&lt;&gt;"")+(G149&lt;&gt;""),WEEKDAY(F$1,2)=6),1,0),IF(AND((H149&lt;&gt;"")+(I149&lt;&gt;""),WEEKDAY(H$1,2)=6),1,0),IF(AND((J149&lt;&gt;"")+(K149&lt;&gt;""),WEEKDAY(J$1,2)=6),1,0),IF(AND((L149&lt;&gt;"")+(M149&lt;&gt;""),WEEKDAY(L$1,2)=6),1,0),IF(AND((N149&lt;&gt;"")+(O149&lt;&gt;""),WEEKDAY(N$1,2)=6),1,0),IF(AND((P149&lt;&gt;"")+(Q149&lt;&gt;""),WEEKDAY(P$1,2)=6),1,0),IF(AND((R149&lt;&gt;"")+(S149&lt;&gt;""),WEEKDAY(R$1,2)=6),1,0),IF(AND((T149&lt;&gt;"")+(U149&lt;&gt;""),WEEKDAY(T$1,2)=6),1,0),IF(AND((V149&lt;&gt;"")+(W149&lt;&gt;""),WEEKDAY(V$1,2)=6),1,0),IF(AND((X149&lt;&gt;"")+(Y149&lt;&gt;""),WEEKDAY(X$1,2)=6),1,0),IF(AND((Z149&lt;&gt;"")+(AA149&lt;&gt;""),WEEKDAY(Z$1,2)=6),1,0),IF(AND((AB149&lt;&gt;"")+(AC149&lt;&gt;""),WEEKDAY(AB$1,2)=6),1,0),IF(AND((AD149&lt;&gt;"")+(AE149&lt;&gt;""),WEEKDAY(AD$1,2)=6),1,0),IF(AND((AF149&lt;&gt;"")+(AG149&lt;&gt;""),WEEKDAY(AF$1,2)=6),1,0),IF(AND((AH149&lt;&gt;"")+(AI149&lt;&gt;""),WEEKDAY(AH$1,2)=6),1,0),IF(AND((AJ149&lt;&gt;"")+(AK149&lt;&gt;""),WEEKDAY(AJ$1,2)=6),1,0),IF(AND((AL149&lt;&gt;"")+(AM149&lt;&gt;""),WEEKDAY(AL$1,2)=6),1,0),IF(AND((AN149&lt;&gt;"")+(AO149&lt;&gt;""),WEEKDAY(AN$1,2)=6),1,0),IF(AND((AP149&lt;&gt;"")+(AQ149&lt;&gt;""),WEEKDAY(AP$1,2)=6),1,0),IF(AND((AR149&lt;&gt;"")+(AS149&lt;&gt;""),WEEKDAY(AR$1,2)=6),1,0),IF(AND((AT149&lt;&gt;"")+(AU149&lt;&gt;""),WEEKDAY(AT$1,2)=6),1,0),IF(AND((AV149&lt;&gt;"")+(AW149&lt;&gt;""),WEEKDAY(AV$1,2)=6),1,0),IF(AND((AX149&lt;&gt;"")+(AY149&lt;&gt;""),WEEKDAY(AX$1,2)=6),1,0),IF(AND((AZ149&lt;&gt;"")+(BA149&lt;&gt;""),WEEKDAY(AZ$1,2)=6),1,0),IF(AND((BB149&lt;&gt;"")+(BC149&lt;&gt;""),WEEKDAY(BB$1,2)=6),1,0),IF(AND((BD149&lt;&gt;"")+(BE149&lt;&gt;""),WEEKDAY(BD$1,2)=6),1,0),IF(AND((BF149&lt;&gt;"")+(BG149&lt;&gt;""),WEEKDAY(BF$1,2)=6),1,0),IF(AND((BH149&lt;&gt;"")+(BI149&lt;&gt;""),WEEKDAY(BH$1,2)=6),1,0),IF(AND((BJ149&lt;&gt;"")+(BK149&lt;&gt;""),WEEKDAY(BJ$1,2)=6),1,0),IF(AND((BL149&lt;&gt;"")+(BM149&lt;&gt;""),WEEKDAY(BL$1,2)=6),1,0))</f>
        <v>0</v>
      </c>
    </row>
    <row r="150" spans="1:68" ht="16.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>
        <f>SUM(IF(AND(D150&lt;&gt;"",WEEKDAY(D$1,2)&lt;6),1,0),IF(AND(F150&lt;&gt;"",WEEKDAY(F$1,2)&lt;6),1,0),IF(AND(H150&lt;&gt;"",WEEKDAY(H$1,2)&lt;6),1,0),IF(AND(J150&lt;&gt;"",WEEKDAY(J$1,2)&lt;6),1,0),IF(AND(L150&lt;&gt;"",WEEKDAY(L$1,2)&lt;6),1,0),IF(AND(N150&lt;&gt;"",WEEKDAY(N$1,2)&lt;6),1,0),IF(AND(P150&lt;&gt;"",WEEKDAY(P$1,2)&lt;6),1,0),IF(AND(R150&lt;&gt;"",WEEKDAY(R$1,2)&lt;6),1,0),IF(AND(T150&lt;&gt;"",WEEKDAY(T$1,2)&lt;6),1,0),IF(AND(V150&lt;&gt;"",WEEKDAY(V$1,2)&lt;6),1,0),IF(AND(X150&lt;&gt;"",WEEKDAY(X$1,2)&lt;6),1,0),IF(AND(Z150&lt;&gt;"",WEEKDAY(Z$1,2)&lt;6),1,0),IF(AND(AB150&lt;&gt;"",WEEKDAY(AB$1,2)&lt;6),1,0),IF(AND(AD150&lt;&gt;"",WEEKDAY(AD$1,2)&lt;6),1,0),IF(AND(AF150&lt;&gt;"",WEEKDAY(AF$1,2)&lt;6),1,0),IF(AND(AH150&lt;&gt;"",WEEKDAY(AH$1,2)&lt;6),1,0),IF(AND(AJ150&lt;&gt;"",WEEKDAY(AJ$1,2)&lt;6),1,0),IF(AND(AL150&lt;&gt;"",WEEKDAY(AL$1,2)&lt;6),1,0),IF(AND(AN150&lt;&gt;"",WEEKDAY(AN$1,2)&lt;6),1,0),IF(AND(AP150&lt;&gt;"",WEEKDAY(AP$1,2)&lt;6),1,0),IF(AND(AR150&lt;&gt;"",WEEKDAY(AR$1,2)&lt;6),1,0),IF(AND(AT150&lt;&gt;"",WEEKDAY(AT$1,2)&lt;6),1,0),IF(AND(AV150&lt;&gt;"",WEEKDAY(AV$1,2)&lt;6),1,0),IF(AND(AX150&lt;&gt;"",WEEKDAY(AX$1,2)&lt;6),1,0),IF(AND(AZ150&lt;&gt;"",WEEKDAY(AZ$1,2)&lt;6),1,0),IF(AND(BB150&lt;&gt;"",WEEKDAY(BB$1,2)&lt;6),1,0),IF(AND(BD150&lt;&gt;"",WEEKDAY(BD$1,2)&lt;6),1,0),IF(AND(BF150&lt;&gt;"",WEEKDAY(BF$1,2)&lt;6),1,0),IF(AND(BH150&lt;&gt;"",WEEKDAY(BH$1,2)&lt;6),1,0),IF(AND(BJ150&lt;&gt;"",WEEKDAY(BJ$1,2)&lt;6),1,0),IF(AND(BL150&lt;&gt;"",WEEKDAY(BL$1,2)&lt;6),1,0))</f>
        <v>0</v>
      </c>
      <c r="BO150" s="85">
        <f>SUM(IF(AND(E150&lt;&gt;"",WEEKDAY(D$1,2)&lt;6),1,0),IF(AND(G150&lt;&gt;"",WEEKDAY(F$1,2)&lt;6),1,0),IF(AND(I150&lt;&gt;"",WEEKDAY(H$1,2)&lt;6),1,0),IF(AND(K150&lt;&gt;"",WEEKDAY(J$1,2)&lt;6),1,0),IF(AND(M150&lt;&gt;"",WEEKDAY(L$1,2)&lt;6),1,0),IF(AND(O150&lt;&gt;"",WEEKDAY(N$1,2)&lt;6),1,0),IF(AND(Q150&lt;&gt;"",WEEKDAY(P$1,2)&lt;6),1,0),IF(AND(S150&lt;&gt;"",WEEKDAY(R$1,2)&lt;6),1,0),IF(AND(U150&lt;&gt;"",WEEKDAY(T$1,2)&lt;6),1,0),IF(AND(W150&lt;&gt;"",WEEKDAY(V$1,2)&lt;6),1,0),IF(AND(Y150&lt;&gt;"",WEEKDAY(X$1,2)&lt;6),1,0),IF(AND(AA150&lt;&gt;"",WEEKDAY(Z$1,2)&lt;6),1,0),IF(AND(AC150&lt;&gt;"",WEEKDAY(AB$1,2)&lt;6),1,0),IF(AND(AE150&lt;&gt;"",WEEKDAY(AD$1,2)&lt;6),1,0),IF(AND(AG150&lt;&gt;"",WEEKDAY(AF$1,2)&lt;6),1,0),IF(AND(AI150&lt;&gt;"",WEEKDAY(AH$1,2)&lt;6),1,0),IF(AND(AK150&lt;&gt;"",WEEKDAY(AJ$1,2)&lt;6),1,0),IF(AND(AM150&lt;&gt;"",WEEKDAY(AL$1,2)&lt;6),1,0),IF(AND(AO150&lt;&gt;"",WEEKDAY(AN$1,2)&lt;6),1,0),IF(AND(AQ150&lt;&gt;"",WEEKDAY(AP$1,2)&lt;6),1,0),IF(AND(AS150&lt;&gt;"",WEEKDAY(AR$1,2)&lt;6),1,0),IF(AND(AU150&lt;&gt;"",WEEKDAY(AT$1,2)&lt;6),1,0),IF(AND(AW150&lt;&gt;"",WEEKDAY(AV$1,2)&lt;6),1,0),IF(AND(AY150&lt;&gt;"",WEEKDAY(AX$1,2)&lt;6),1,0),IF(AND(BA150&lt;&gt;"",WEEKDAY(AZ$1,2)&lt;6),1,0),IF(AND(BC150&lt;&gt;"",WEEKDAY(BB$1,2)&lt;6),1,0),IF(AND(BE150&lt;&gt;"",WEEKDAY(BD$1,2)&lt;6),1,0),IF(AND(BG150&lt;&gt;"",WEEKDAY(BF$1,2)&lt;6),1,0),IF(AND(BI150&lt;&gt;"",WEEKDAY(BH$1,2)&lt;6),1,0),IF(AND(BK150&lt;&gt;"",WEEKDAY(BJ$1,2)&lt;6),1,0),IF(AND(BM150&lt;&gt;"",WEEKDAY(BL$1,2)&lt;6),1,0))</f>
        <v>0</v>
      </c>
      <c r="BP150" s="85">
        <f>SUM(IF(AND((D150&lt;&gt;"")+(E150&lt;&gt;""),WEEKDAY(D$1,2)=6),1,0),IF(AND((F150&lt;&gt;"")+(G150&lt;&gt;""),WEEKDAY(F$1,2)=6),1,0),IF(AND((H150&lt;&gt;"")+(I150&lt;&gt;""),WEEKDAY(H$1,2)=6),1,0),IF(AND((J150&lt;&gt;"")+(K150&lt;&gt;""),WEEKDAY(J$1,2)=6),1,0),IF(AND((L150&lt;&gt;"")+(M150&lt;&gt;""),WEEKDAY(L$1,2)=6),1,0),IF(AND((N150&lt;&gt;"")+(O150&lt;&gt;""),WEEKDAY(N$1,2)=6),1,0),IF(AND((P150&lt;&gt;"")+(Q150&lt;&gt;""),WEEKDAY(P$1,2)=6),1,0),IF(AND((R150&lt;&gt;"")+(S150&lt;&gt;""),WEEKDAY(R$1,2)=6),1,0),IF(AND((T150&lt;&gt;"")+(U150&lt;&gt;""),WEEKDAY(T$1,2)=6),1,0),IF(AND((V150&lt;&gt;"")+(W150&lt;&gt;""),WEEKDAY(V$1,2)=6),1,0),IF(AND((X150&lt;&gt;"")+(Y150&lt;&gt;""),WEEKDAY(X$1,2)=6),1,0),IF(AND((Z150&lt;&gt;"")+(AA150&lt;&gt;""),WEEKDAY(Z$1,2)=6),1,0),IF(AND((AB150&lt;&gt;"")+(AC150&lt;&gt;""),WEEKDAY(AB$1,2)=6),1,0),IF(AND((AD150&lt;&gt;"")+(AE150&lt;&gt;""),WEEKDAY(AD$1,2)=6),1,0),IF(AND((AF150&lt;&gt;"")+(AG150&lt;&gt;""),WEEKDAY(AF$1,2)=6),1,0),IF(AND((AH150&lt;&gt;"")+(AI150&lt;&gt;""),WEEKDAY(AH$1,2)=6),1,0),IF(AND((AJ150&lt;&gt;"")+(AK150&lt;&gt;""),WEEKDAY(AJ$1,2)=6),1,0),IF(AND((AL150&lt;&gt;"")+(AM150&lt;&gt;""),WEEKDAY(AL$1,2)=6),1,0),IF(AND((AN150&lt;&gt;"")+(AO150&lt;&gt;""),WEEKDAY(AN$1,2)=6),1,0),IF(AND((AP150&lt;&gt;"")+(AQ150&lt;&gt;""),WEEKDAY(AP$1,2)=6),1,0),IF(AND((AR150&lt;&gt;"")+(AS150&lt;&gt;""),WEEKDAY(AR$1,2)=6),1,0),IF(AND((AT150&lt;&gt;"")+(AU150&lt;&gt;""),WEEKDAY(AT$1,2)=6),1,0),IF(AND((AV150&lt;&gt;"")+(AW150&lt;&gt;""),WEEKDAY(AV$1,2)=6),1,0),IF(AND((AX150&lt;&gt;"")+(AY150&lt;&gt;""),WEEKDAY(AX$1,2)=6),1,0),IF(AND((AZ150&lt;&gt;"")+(BA150&lt;&gt;""),WEEKDAY(AZ$1,2)=6),1,0),IF(AND((BB150&lt;&gt;"")+(BC150&lt;&gt;""),WEEKDAY(BB$1,2)=6),1,0),IF(AND((BD150&lt;&gt;"")+(BE150&lt;&gt;""),WEEKDAY(BD$1,2)=6),1,0),IF(AND((BF150&lt;&gt;"")+(BG150&lt;&gt;""),WEEKDAY(BF$1,2)=6),1,0),IF(AND((BH150&lt;&gt;"")+(BI150&lt;&gt;""),WEEKDAY(BH$1,2)=6),1,0),IF(AND((BJ150&lt;&gt;"")+(BK150&lt;&gt;""),WEEKDAY(BJ$1,2)=6),1,0),IF(AND((BL150&lt;&gt;"")+(BM150&lt;&gt;""),WEEKDAY(BL$1,2)=6),1,0))</f>
        <v>0</v>
      </c>
    </row>
    <row r="151" spans="1:68" ht="16.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>
        <f>SUM(IF(AND(D151&lt;&gt;"",WEEKDAY(D$1,2)&lt;6),1,0),IF(AND(F151&lt;&gt;"",WEEKDAY(F$1,2)&lt;6),1,0),IF(AND(H151&lt;&gt;"",WEEKDAY(H$1,2)&lt;6),1,0),IF(AND(J151&lt;&gt;"",WEEKDAY(J$1,2)&lt;6),1,0),IF(AND(L151&lt;&gt;"",WEEKDAY(L$1,2)&lt;6),1,0),IF(AND(N151&lt;&gt;"",WEEKDAY(N$1,2)&lt;6),1,0),IF(AND(P151&lt;&gt;"",WEEKDAY(P$1,2)&lt;6),1,0),IF(AND(R151&lt;&gt;"",WEEKDAY(R$1,2)&lt;6),1,0),IF(AND(T151&lt;&gt;"",WEEKDAY(T$1,2)&lt;6),1,0),IF(AND(V151&lt;&gt;"",WEEKDAY(V$1,2)&lt;6),1,0),IF(AND(X151&lt;&gt;"",WEEKDAY(X$1,2)&lt;6),1,0),IF(AND(Z151&lt;&gt;"",WEEKDAY(Z$1,2)&lt;6),1,0),IF(AND(AB151&lt;&gt;"",WEEKDAY(AB$1,2)&lt;6),1,0),IF(AND(AD151&lt;&gt;"",WEEKDAY(AD$1,2)&lt;6),1,0),IF(AND(AF151&lt;&gt;"",WEEKDAY(AF$1,2)&lt;6),1,0),IF(AND(AH151&lt;&gt;"",WEEKDAY(AH$1,2)&lt;6),1,0),IF(AND(AJ151&lt;&gt;"",WEEKDAY(AJ$1,2)&lt;6),1,0),IF(AND(AL151&lt;&gt;"",WEEKDAY(AL$1,2)&lt;6),1,0),IF(AND(AN151&lt;&gt;"",WEEKDAY(AN$1,2)&lt;6),1,0),IF(AND(AP151&lt;&gt;"",WEEKDAY(AP$1,2)&lt;6),1,0),IF(AND(AR151&lt;&gt;"",WEEKDAY(AR$1,2)&lt;6),1,0),IF(AND(AT151&lt;&gt;"",WEEKDAY(AT$1,2)&lt;6),1,0),IF(AND(AV151&lt;&gt;"",WEEKDAY(AV$1,2)&lt;6),1,0),IF(AND(AX151&lt;&gt;"",WEEKDAY(AX$1,2)&lt;6),1,0),IF(AND(AZ151&lt;&gt;"",WEEKDAY(AZ$1,2)&lt;6),1,0),IF(AND(BB151&lt;&gt;"",WEEKDAY(BB$1,2)&lt;6),1,0),IF(AND(BD151&lt;&gt;"",WEEKDAY(BD$1,2)&lt;6),1,0),IF(AND(BF151&lt;&gt;"",WEEKDAY(BF$1,2)&lt;6),1,0),IF(AND(BH151&lt;&gt;"",WEEKDAY(BH$1,2)&lt;6),1,0),IF(AND(BJ151&lt;&gt;"",WEEKDAY(BJ$1,2)&lt;6),1,0),IF(AND(BL151&lt;&gt;"",WEEKDAY(BL$1,2)&lt;6),1,0))</f>
        <v>0</v>
      </c>
      <c r="BO151" s="85">
        <f>SUM(IF(AND(E151&lt;&gt;"",WEEKDAY(D$1,2)&lt;6),1,0),IF(AND(G151&lt;&gt;"",WEEKDAY(F$1,2)&lt;6),1,0),IF(AND(I151&lt;&gt;"",WEEKDAY(H$1,2)&lt;6),1,0),IF(AND(K151&lt;&gt;"",WEEKDAY(J$1,2)&lt;6),1,0),IF(AND(M151&lt;&gt;"",WEEKDAY(L$1,2)&lt;6),1,0),IF(AND(O151&lt;&gt;"",WEEKDAY(N$1,2)&lt;6),1,0),IF(AND(Q151&lt;&gt;"",WEEKDAY(P$1,2)&lt;6),1,0),IF(AND(S151&lt;&gt;"",WEEKDAY(R$1,2)&lt;6),1,0),IF(AND(U151&lt;&gt;"",WEEKDAY(T$1,2)&lt;6),1,0),IF(AND(W151&lt;&gt;"",WEEKDAY(V$1,2)&lt;6),1,0),IF(AND(Y151&lt;&gt;"",WEEKDAY(X$1,2)&lt;6),1,0),IF(AND(AA151&lt;&gt;"",WEEKDAY(Z$1,2)&lt;6),1,0),IF(AND(AC151&lt;&gt;"",WEEKDAY(AB$1,2)&lt;6),1,0),IF(AND(AE151&lt;&gt;"",WEEKDAY(AD$1,2)&lt;6),1,0),IF(AND(AG151&lt;&gt;"",WEEKDAY(AF$1,2)&lt;6),1,0),IF(AND(AI151&lt;&gt;"",WEEKDAY(AH$1,2)&lt;6),1,0),IF(AND(AK151&lt;&gt;"",WEEKDAY(AJ$1,2)&lt;6),1,0),IF(AND(AM151&lt;&gt;"",WEEKDAY(AL$1,2)&lt;6),1,0),IF(AND(AO151&lt;&gt;"",WEEKDAY(AN$1,2)&lt;6),1,0),IF(AND(AQ151&lt;&gt;"",WEEKDAY(AP$1,2)&lt;6),1,0),IF(AND(AS151&lt;&gt;"",WEEKDAY(AR$1,2)&lt;6),1,0),IF(AND(AU151&lt;&gt;"",WEEKDAY(AT$1,2)&lt;6),1,0),IF(AND(AW151&lt;&gt;"",WEEKDAY(AV$1,2)&lt;6),1,0),IF(AND(AY151&lt;&gt;"",WEEKDAY(AX$1,2)&lt;6),1,0),IF(AND(BA151&lt;&gt;"",WEEKDAY(AZ$1,2)&lt;6),1,0),IF(AND(BC151&lt;&gt;"",WEEKDAY(BB$1,2)&lt;6),1,0),IF(AND(BE151&lt;&gt;"",WEEKDAY(BD$1,2)&lt;6),1,0),IF(AND(BG151&lt;&gt;"",WEEKDAY(BF$1,2)&lt;6),1,0),IF(AND(BI151&lt;&gt;"",WEEKDAY(BH$1,2)&lt;6),1,0),IF(AND(BK151&lt;&gt;"",WEEKDAY(BJ$1,2)&lt;6),1,0),IF(AND(BM151&lt;&gt;"",WEEKDAY(BL$1,2)&lt;6),1,0))</f>
        <v>0</v>
      </c>
      <c r="BP151" s="85">
        <f>SUM(IF(AND((D151&lt;&gt;"")+(E151&lt;&gt;""),WEEKDAY(D$1,2)=6),1,0),IF(AND((F151&lt;&gt;"")+(G151&lt;&gt;""),WEEKDAY(F$1,2)=6),1,0),IF(AND((H151&lt;&gt;"")+(I151&lt;&gt;""),WEEKDAY(H$1,2)=6),1,0),IF(AND((J151&lt;&gt;"")+(K151&lt;&gt;""),WEEKDAY(J$1,2)=6),1,0),IF(AND((L151&lt;&gt;"")+(M151&lt;&gt;""),WEEKDAY(L$1,2)=6),1,0),IF(AND((N151&lt;&gt;"")+(O151&lt;&gt;""),WEEKDAY(N$1,2)=6),1,0),IF(AND((P151&lt;&gt;"")+(Q151&lt;&gt;""),WEEKDAY(P$1,2)=6),1,0),IF(AND((R151&lt;&gt;"")+(S151&lt;&gt;""),WEEKDAY(R$1,2)=6),1,0),IF(AND((T151&lt;&gt;"")+(U151&lt;&gt;""),WEEKDAY(T$1,2)=6),1,0),IF(AND((V151&lt;&gt;"")+(W151&lt;&gt;""),WEEKDAY(V$1,2)=6),1,0),IF(AND((X151&lt;&gt;"")+(Y151&lt;&gt;""),WEEKDAY(X$1,2)=6),1,0),IF(AND((Z151&lt;&gt;"")+(AA151&lt;&gt;""),WEEKDAY(Z$1,2)=6),1,0),IF(AND((AB151&lt;&gt;"")+(AC151&lt;&gt;""),WEEKDAY(AB$1,2)=6),1,0),IF(AND((AD151&lt;&gt;"")+(AE151&lt;&gt;""),WEEKDAY(AD$1,2)=6),1,0),IF(AND((AF151&lt;&gt;"")+(AG151&lt;&gt;""),WEEKDAY(AF$1,2)=6),1,0),IF(AND((AH151&lt;&gt;"")+(AI151&lt;&gt;""),WEEKDAY(AH$1,2)=6),1,0),IF(AND((AJ151&lt;&gt;"")+(AK151&lt;&gt;""),WEEKDAY(AJ$1,2)=6),1,0),IF(AND((AL151&lt;&gt;"")+(AM151&lt;&gt;""),WEEKDAY(AL$1,2)=6),1,0),IF(AND((AN151&lt;&gt;"")+(AO151&lt;&gt;""),WEEKDAY(AN$1,2)=6),1,0),IF(AND((AP151&lt;&gt;"")+(AQ151&lt;&gt;""),WEEKDAY(AP$1,2)=6),1,0),IF(AND((AR151&lt;&gt;"")+(AS151&lt;&gt;""),WEEKDAY(AR$1,2)=6),1,0),IF(AND((AT151&lt;&gt;"")+(AU151&lt;&gt;""),WEEKDAY(AT$1,2)=6),1,0),IF(AND((AV151&lt;&gt;"")+(AW151&lt;&gt;""),WEEKDAY(AV$1,2)=6),1,0),IF(AND((AX151&lt;&gt;"")+(AY151&lt;&gt;""),WEEKDAY(AX$1,2)=6),1,0),IF(AND((AZ151&lt;&gt;"")+(BA151&lt;&gt;""),WEEKDAY(AZ$1,2)=6),1,0),IF(AND((BB151&lt;&gt;"")+(BC151&lt;&gt;""),WEEKDAY(BB$1,2)=6),1,0),IF(AND((BD151&lt;&gt;"")+(BE151&lt;&gt;""),WEEKDAY(BD$1,2)=6),1,0),IF(AND((BF151&lt;&gt;"")+(BG151&lt;&gt;""),WEEKDAY(BF$1,2)=6),1,0),IF(AND((BH151&lt;&gt;"")+(BI151&lt;&gt;""),WEEKDAY(BH$1,2)=6),1,0),IF(AND((BJ151&lt;&gt;"")+(BK151&lt;&gt;""),WEEKDAY(BJ$1,2)=6),1,0),IF(AND((BL151&lt;&gt;"")+(BM151&lt;&gt;""),WEEKDAY(BL$1,2)=6),1,0))</f>
        <v>0</v>
      </c>
    </row>
    <row r="152" spans="1:68" ht="16.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>
        <f>SUM(IF(AND(D152&lt;&gt;"",WEEKDAY(D$1,2)&lt;6),1,0),IF(AND(F152&lt;&gt;"",WEEKDAY(F$1,2)&lt;6),1,0),IF(AND(H152&lt;&gt;"",WEEKDAY(H$1,2)&lt;6),1,0),IF(AND(J152&lt;&gt;"",WEEKDAY(J$1,2)&lt;6),1,0),IF(AND(L152&lt;&gt;"",WEEKDAY(L$1,2)&lt;6),1,0),IF(AND(N152&lt;&gt;"",WEEKDAY(N$1,2)&lt;6),1,0),IF(AND(P152&lt;&gt;"",WEEKDAY(P$1,2)&lt;6),1,0),IF(AND(R152&lt;&gt;"",WEEKDAY(R$1,2)&lt;6),1,0),IF(AND(T152&lt;&gt;"",WEEKDAY(T$1,2)&lt;6),1,0),IF(AND(V152&lt;&gt;"",WEEKDAY(V$1,2)&lt;6),1,0),IF(AND(X152&lt;&gt;"",WEEKDAY(X$1,2)&lt;6),1,0),IF(AND(Z152&lt;&gt;"",WEEKDAY(Z$1,2)&lt;6),1,0),IF(AND(AB152&lt;&gt;"",WEEKDAY(AB$1,2)&lt;6),1,0),IF(AND(AD152&lt;&gt;"",WEEKDAY(AD$1,2)&lt;6),1,0),IF(AND(AF152&lt;&gt;"",WEEKDAY(AF$1,2)&lt;6),1,0),IF(AND(AH152&lt;&gt;"",WEEKDAY(AH$1,2)&lt;6),1,0),IF(AND(AJ152&lt;&gt;"",WEEKDAY(AJ$1,2)&lt;6),1,0),IF(AND(AL152&lt;&gt;"",WEEKDAY(AL$1,2)&lt;6),1,0),IF(AND(AN152&lt;&gt;"",WEEKDAY(AN$1,2)&lt;6),1,0),IF(AND(AP152&lt;&gt;"",WEEKDAY(AP$1,2)&lt;6),1,0),IF(AND(AR152&lt;&gt;"",WEEKDAY(AR$1,2)&lt;6),1,0),IF(AND(AT152&lt;&gt;"",WEEKDAY(AT$1,2)&lt;6),1,0),IF(AND(AV152&lt;&gt;"",WEEKDAY(AV$1,2)&lt;6),1,0),IF(AND(AX152&lt;&gt;"",WEEKDAY(AX$1,2)&lt;6),1,0),IF(AND(AZ152&lt;&gt;"",WEEKDAY(AZ$1,2)&lt;6),1,0),IF(AND(BB152&lt;&gt;"",WEEKDAY(BB$1,2)&lt;6),1,0),IF(AND(BD152&lt;&gt;"",WEEKDAY(BD$1,2)&lt;6),1,0),IF(AND(BF152&lt;&gt;"",WEEKDAY(BF$1,2)&lt;6),1,0),IF(AND(BH152&lt;&gt;"",WEEKDAY(BH$1,2)&lt;6),1,0),IF(AND(BJ152&lt;&gt;"",WEEKDAY(BJ$1,2)&lt;6),1,0),IF(AND(BL152&lt;&gt;"",WEEKDAY(BL$1,2)&lt;6),1,0))</f>
        <v>0</v>
      </c>
      <c r="BO152" s="85">
        <f>SUM(IF(AND(E152&lt;&gt;"",WEEKDAY(D$1,2)&lt;6),1,0),IF(AND(G152&lt;&gt;"",WEEKDAY(F$1,2)&lt;6),1,0),IF(AND(I152&lt;&gt;"",WEEKDAY(H$1,2)&lt;6),1,0),IF(AND(K152&lt;&gt;"",WEEKDAY(J$1,2)&lt;6),1,0),IF(AND(M152&lt;&gt;"",WEEKDAY(L$1,2)&lt;6),1,0),IF(AND(O152&lt;&gt;"",WEEKDAY(N$1,2)&lt;6),1,0),IF(AND(Q152&lt;&gt;"",WEEKDAY(P$1,2)&lt;6),1,0),IF(AND(S152&lt;&gt;"",WEEKDAY(R$1,2)&lt;6),1,0),IF(AND(U152&lt;&gt;"",WEEKDAY(T$1,2)&lt;6),1,0),IF(AND(W152&lt;&gt;"",WEEKDAY(V$1,2)&lt;6),1,0),IF(AND(Y152&lt;&gt;"",WEEKDAY(X$1,2)&lt;6),1,0),IF(AND(AA152&lt;&gt;"",WEEKDAY(Z$1,2)&lt;6),1,0),IF(AND(AC152&lt;&gt;"",WEEKDAY(AB$1,2)&lt;6),1,0),IF(AND(AE152&lt;&gt;"",WEEKDAY(AD$1,2)&lt;6),1,0),IF(AND(AG152&lt;&gt;"",WEEKDAY(AF$1,2)&lt;6),1,0),IF(AND(AI152&lt;&gt;"",WEEKDAY(AH$1,2)&lt;6),1,0),IF(AND(AK152&lt;&gt;"",WEEKDAY(AJ$1,2)&lt;6),1,0),IF(AND(AM152&lt;&gt;"",WEEKDAY(AL$1,2)&lt;6),1,0),IF(AND(AO152&lt;&gt;"",WEEKDAY(AN$1,2)&lt;6),1,0),IF(AND(AQ152&lt;&gt;"",WEEKDAY(AP$1,2)&lt;6),1,0),IF(AND(AS152&lt;&gt;"",WEEKDAY(AR$1,2)&lt;6),1,0),IF(AND(AU152&lt;&gt;"",WEEKDAY(AT$1,2)&lt;6),1,0),IF(AND(AW152&lt;&gt;"",WEEKDAY(AV$1,2)&lt;6),1,0),IF(AND(AY152&lt;&gt;"",WEEKDAY(AX$1,2)&lt;6),1,0),IF(AND(BA152&lt;&gt;"",WEEKDAY(AZ$1,2)&lt;6),1,0),IF(AND(BC152&lt;&gt;"",WEEKDAY(BB$1,2)&lt;6),1,0),IF(AND(BE152&lt;&gt;"",WEEKDAY(BD$1,2)&lt;6),1,0),IF(AND(BG152&lt;&gt;"",WEEKDAY(BF$1,2)&lt;6),1,0),IF(AND(BI152&lt;&gt;"",WEEKDAY(BH$1,2)&lt;6),1,0),IF(AND(BK152&lt;&gt;"",WEEKDAY(BJ$1,2)&lt;6),1,0),IF(AND(BM152&lt;&gt;"",WEEKDAY(BL$1,2)&lt;6),1,0))</f>
        <v>0</v>
      </c>
      <c r="BP152" s="85">
        <f>SUM(IF(AND((D152&lt;&gt;"")+(E152&lt;&gt;""),WEEKDAY(D$1,2)=6),1,0),IF(AND((F152&lt;&gt;"")+(G152&lt;&gt;""),WEEKDAY(F$1,2)=6),1,0),IF(AND((H152&lt;&gt;"")+(I152&lt;&gt;""),WEEKDAY(H$1,2)=6),1,0),IF(AND((J152&lt;&gt;"")+(K152&lt;&gt;""),WEEKDAY(J$1,2)=6),1,0),IF(AND((L152&lt;&gt;"")+(M152&lt;&gt;""),WEEKDAY(L$1,2)=6),1,0),IF(AND((N152&lt;&gt;"")+(O152&lt;&gt;""),WEEKDAY(N$1,2)=6),1,0),IF(AND((P152&lt;&gt;"")+(Q152&lt;&gt;""),WEEKDAY(P$1,2)=6),1,0),IF(AND((R152&lt;&gt;"")+(S152&lt;&gt;""),WEEKDAY(R$1,2)=6),1,0),IF(AND((T152&lt;&gt;"")+(U152&lt;&gt;""),WEEKDAY(T$1,2)=6),1,0),IF(AND((V152&lt;&gt;"")+(W152&lt;&gt;""),WEEKDAY(V$1,2)=6),1,0),IF(AND((X152&lt;&gt;"")+(Y152&lt;&gt;""),WEEKDAY(X$1,2)=6),1,0),IF(AND((Z152&lt;&gt;"")+(AA152&lt;&gt;""),WEEKDAY(Z$1,2)=6),1,0),IF(AND((AB152&lt;&gt;"")+(AC152&lt;&gt;""),WEEKDAY(AB$1,2)=6),1,0),IF(AND((AD152&lt;&gt;"")+(AE152&lt;&gt;""),WEEKDAY(AD$1,2)=6),1,0),IF(AND((AF152&lt;&gt;"")+(AG152&lt;&gt;""),WEEKDAY(AF$1,2)=6),1,0),IF(AND((AH152&lt;&gt;"")+(AI152&lt;&gt;""),WEEKDAY(AH$1,2)=6),1,0),IF(AND((AJ152&lt;&gt;"")+(AK152&lt;&gt;""),WEEKDAY(AJ$1,2)=6),1,0),IF(AND((AL152&lt;&gt;"")+(AM152&lt;&gt;""),WEEKDAY(AL$1,2)=6),1,0),IF(AND((AN152&lt;&gt;"")+(AO152&lt;&gt;""),WEEKDAY(AN$1,2)=6),1,0),IF(AND((AP152&lt;&gt;"")+(AQ152&lt;&gt;""),WEEKDAY(AP$1,2)=6),1,0),IF(AND((AR152&lt;&gt;"")+(AS152&lt;&gt;""),WEEKDAY(AR$1,2)=6),1,0),IF(AND((AT152&lt;&gt;"")+(AU152&lt;&gt;""),WEEKDAY(AT$1,2)=6),1,0),IF(AND((AV152&lt;&gt;"")+(AW152&lt;&gt;""),WEEKDAY(AV$1,2)=6),1,0),IF(AND((AX152&lt;&gt;"")+(AY152&lt;&gt;""),WEEKDAY(AX$1,2)=6),1,0),IF(AND((AZ152&lt;&gt;"")+(BA152&lt;&gt;""),WEEKDAY(AZ$1,2)=6),1,0),IF(AND((BB152&lt;&gt;"")+(BC152&lt;&gt;""),WEEKDAY(BB$1,2)=6),1,0),IF(AND((BD152&lt;&gt;"")+(BE152&lt;&gt;""),WEEKDAY(BD$1,2)=6),1,0),IF(AND((BF152&lt;&gt;"")+(BG152&lt;&gt;""),WEEKDAY(BF$1,2)=6),1,0),IF(AND((BH152&lt;&gt;"")+(BI152&lt;&gt;""),WEEKDAY(BH$1,2)=6),1,0),IF(AND((BJ152&lt;&gt;"")+(BK152&lt;&gt;""),WEEKDAY(BJ$1,2)=6),1,0),IF(AND((BL152&lt;&gt;"")+(BM152&lt;&gt;""),WEEKDAY(BL$1,2)=6),1,0))</f>
        <v>0</v>
      </c>
    </row>
    <row r="153" spans="1:68" ht="16.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>
        <f>SUM(IF(AND(D153&lt;&gt;"",WEEKDAY(D$1,2)&lt;6),1,0),IF(AND(F153&lt;&gt;"",WEEKDAY(F$1,2)&lt;6),1,0),IF(AND(H153&lt;&gt;"",WEEKDAY(H$1,2)&lt;6),1,0),IF(AND(J153&lt;&gt;"",WEEKDAY(J$1,2)&lt;6),1,0),IF(AND(L153&lt;&gt;"",WEEKDAY(L$1,2)&lt;6),1,0),IF(AND(N153&lt;&gt;"",WEEKDAY(N$1,2)&lt;6),1,0),IF(AND(P153&lt;&gt;"",WEEKDAY(P$1,2)&lt;6),1,0),IF(AND(R153&lt;&gt;"",WEEKDAY(R$1,2)&lt;6),1,0),IF(AND(T153&lt;&gt;"",WEEKDAY(T$1,2)&lt;6),1,0),IF(AND(V153&lt;&gt;"",WEEKDAY(V$1,2)&lt;6),1,0),IF(AND(X153&lt;&gt;"",WEEKDAY(X$1,2)&lt;6),1,0),IF(AND(Z153&lt;&gt;"",WEEKDAY(Z$1,2)&lt;6),1,0),IF(AND(AB153&lt;&gt;"",WEEKDAY(AB$1,2)&lt;6),1,0),IF(AND(AD153&lt;&gt;"",WEEKDAY(AD$1,2)&lt;6),1,0),IF(AND(AF153&lt;&gt;"",WEEKDAY(AF$1,2)&lt;6),1,0),IF(AND(AH153&lt;&gt;"",WEEKDAY(AH$1,2)&lt;6),1,0),IF(AND(AJ153&lt;&gt;"",WEEKDAY(AJ$1,2)&lt;6),1,0),IF(AND(AL153&lt;&gt;"",WEEKDAY(AL$1,2)&lt;6),1,0),IF(AND(AN153&lt;&gt;"",WEEKDAY(AN$1,2)&lt;6),1,0),IF(AND(AP153&lt;&gt;"",WEEKDAY(AP$1,2)&lt;6),1,0),IF(AND(AR153&lt;&gt;"",WEEKDAY(AR$1,2)&lt;6),1,0),IF(AND(AT153&lt;&gt;"",WEEKDAY(AT$1,2)&lt;6),1,0),IF(AND(AV153&lt;&gt;"",WEEKDAY(AV$1,2)&lt;6),1,0),IF(AND(AX153&lt;&gt;"",WEEKDAY(AX$1,2)&lt;6),1,0),IF(AND(AZ153&lt;&gt;"",WEEKDAY(AZ$1,2)&lt;6),1,0),IF(AND(BB153&lt;&gt;"",WEEKDAY(BB$1,2)&lt;6),1,0),IF(AND(BD153&lt;&gt;"",WEEKDAY(BD$1,2)&lt;6),1,0),IF(AND(BF153&lt;&gt;"",WEEKDAY(BF$1,2)&lt;6),1,0),IF(AND(BH153&lt;&gt;"",WEEKDAY(BH$1,2)&lt;6),1,0),IF(AND(BJ153&lt;&gt;"",WEEKDAY(BJ$1,2)&lt;6),1,0),IF(AND(BL153&lt;&gt;"",WEEKDAY(BL$1,2)&lt;6),1,0))</f>
        <v>0</v>
      </c>
      <c r="BO153" s="85">
        <f>SUM(IF(AND(E153&lt;&gt;"",WEEKDAY(D$1,2)&lt;6),1,0),IF(AND(G153&lt;&gt;"",WEEKDAY(F$1,2)&lt;6),1,0),IF(AND(I153&lt;&gt;"",WEEKDAY(H$1,2)&lt;6),1,0),IF(AND(K153&lt;&gt;"",WEEKDAY(J$1,2)&lt;6),1,0),IF(AND(M153&lt;&gt;"",WEEKDAY(L$1,2)&lt;6),1,0),IF(AND(O153&lt;&gt;"",WEEKDAY(N$1,2)&lt;6),1,0),IF(AND(Q153&lt;&gt;"",WEEKDAY(P$1,2)&lt;6),1,0),IF(AND(S153&lt;&gt;"",WEEKDAY(R$1,2)&lt;6),1,0),IF(AND(U153&lt;&gt;"",WEEKDAY(T$1,2)&lt;6),1,0),IF(AND(W153&lt;&gt;"",WEEKDAY(V$1,2)&lt;6),1,0),IF(AND(Y153&lt;&gt;"",WEEKDAY(X$1,2)&lt;6),1,0),IF(AND(AA153&lt;&gt;"",WEEKDAY(Z$1,2)&lt;6),1,0),IF(AND(AC153&lt;&gt;"",WEEKDAY(AB$1,2)&lt;6),1,0),IF(AND(AE153&lt;&gt;"",WEEKDAY(AD$1,2)&lt;6),1,0),IF(AND(AG153&lt;&gt;"",WEEKDAY(AF$1,2)&lt;6),1,0),IF(AND(AI153&lt;&gt;"",WEEKDAY(AH$1,2)&lt;6),1,0),IF(AND(AK153&lt;&gt;"",WEEKDAY(AJ$1,2)&lt;6),1,0),IF(AND(AM153&lt;&gt;"",WEEKDAY(AL$1,2)&lt;6),1,0),IF(AND(AO153&lt;&gt;"",WEEKDAY(AN$1,2)&lt;6),1,0),IF(AND(AQ153&lt;&gt;"",WEEKDAY(AP$1,2)&lt;6),1,0),IF(AND(AS153&lt;&gt;"",WEEKDAY(AR$1,2)&lt;6),1,0),IF(AND(AU153&lt;&gt;"",WEEKDAY(AT$1,2)&lt;6),1,0),IF(AND(AW153&lt;&gt;"",WEEKDAY(AV$1,2)&lt;6),1,0),IF(AND(AY153&lt;&gt;"",WEEKDAY(AX$1,2)&lt;6),1,0),IF(AND(BA153&lt;&gt;"",WEEKDAY(AZ$1,2)&lt;6),1,0),IF(AND(BC153&lt;&gt;"",WEEKDAY(BB$1,2)&lt;6),1,0),IF(AND(BE153&lt;&gt;"",WEEKDAY(BD$1,2)&lt;6),1,0),IF(AND(BG153&lt;&gt;"",WEEKDAY(BF$1,2)&lt;6),1,0),IF(AND(BI153&lt;&gt;"",WEEKDAY(BH$1,2)&lt;6),1,0),IF(AND(BK153&lt;&gt;"",WEEKDAY(BJ$1,2)&lt;6),1,0),IF(AND(BM153&lt;&gt;"",WEEKDAY(BL$1,2)&lt;6),1,0))</f>
        <v>0</v>
      </c>
      <c r="BP153" s="85">
        <f>SUM(IF(AND((D153&lt;&gt;"")+(E153&lt;&gt;""),WEEKDAY(D$1,2)=6),1,0),IF(AND((F153&lt;&gt;"")+(G153&lt;&gt;""),WEEKDAY(F$1,2)=6),1,0),IF(AND((H153&lt;&gt;"")+(I153&lt;&gt;""),WEEKDAY(H$1,2)=6),1,0),IF(AND((J153&lt;&gt;"")+(K153&lt;&gt;""),WEEKDAY(J$1,2)=6),1,0),IF(AND((L153&lt;&gt;"")+(M153&lt;&gt;""),WEEKDAY(L$1,2)=6),1,0),IF(AND((N153&lt;&gt;"")+(O153&lt;&gt;""),WEEKDAY(N$1,2)=6),1,0),IF(AND((P153&lt;&gt;"")+(Q153&lt;&gt;""),WEEKDAY(P$1,2)=6),1,0),IF(AND((R153&lt;&gt;"")+(S153&lt;&gt;""),WEEKDAY(R$1,2)=6),1,0),IF(AND((T153&lt;&gt;"")+(U153&lt;&gt;""),WEEKDAY(T$1,2)=6),1,0),IF(AND((V153&lt;&gt;"")+(W153&lt;&gt;""),WEEKDAY(V$1,2)=6),1,0),IF(AND((X153&lt;&gt;"")+(Y153&lt;&gt;""),WEEKDAY(X$1,2)=6),1,0),IF(AND((Z153&lt;&gt;"")+(AA153&lt;&gt;""),WEEKDAY(Z$1,2)=6),1,0),IF(AND((AB153&lt;&gt;"")+(AC153&lt;&gt;""),WEEKDAY(AB$1,2)=6),1,0),IF(AND((AD153&lt;&gt;"")+(AE153&lt;&gt;""),WEEKDAY(AD$1,2)=6),1,0),IF(AND((AF153&lt;&gt;"")+(AG153&lt;&gt;""),WEEKDAY(AF$1,2)=6),1,0),IF(AND((AH153&lt;&gt;"")+(AI153&lt;&gt;""),WEEKDAY(AH$1,2)=6),1,0),IF(AND((AJ153&lt;&gt;"")+(AK153&lt;&gt;""),WEEKDAY(AJ$1,2)=6),1,0),IF(AND((AL153&lt;&gt;"")+(AM153&lt;&gt;""),WEEKDAY(AL$1,2)=6),1,0),IF(AND((AN153&lt;&gt;"")+(AO153&lt;&gt;""),WEEKDAY(AN$1,2)=6),1,0),IF(AND((AP153&lt;&gt;"")+(AQ153&lt;&gt;""),WEEKDAY(AP$1,2)=6),1,0),IF(AND((AR153&lt;&gt;"")+(AS153&lt;&gt;""),WEEKDAY(AR$1,2)=6),1,0),IF(AND((AT153&lt;&gt;"")+(AU153&lt;&gt;""),WEEKDAY(AT$1,2)=6),1,0),IF(AND((AV153&lt;&gt;"")+(AW153&lt;&gt;""),WEEKDAY(AV$1,2)=6),1,0),IF(AND((AX153&lt;&gt;"")+(AY153&lt;&gt;""),WEEKDAY(AX$1,2)=6),1,0),IF(AND((AZ153&lt;&gt;"")+(BA153&lt;&gt;""),WEEKDAY(AZ$1,2)=6),1,0),IF(AND((BB153&lt;&gt;"")+(BC153&lt;&gt;""),WEEKDAY(BB$1,2)=6),1,0),IF(AND((BD153&lt;&gt;"")+(BE153&lt;&gt;""),WEEKDAY(BD$1,2)=6),1,0),IF(AND((BF153&lt;&gt;"")+(BG153&lt;&gt;""),WEEKDAY(BF$1,2)=6),1,0),IF(AND((BH153&lt;&gt;"")+(BI153&lt;&gt;""),WEEKDAY(BH$1,2)=6),1,0),IF(AND((BJ153&lt;&gt;"")+(BK153&lt;&gt;""),WEEKDAY(BJ$1,2)=6),1,0),IF(AND((BL153&lt;&gt;"")+(BM153&lt;&gt;""),WEEKDAY(BL$1,2)=6),1,0))</f>
        <v>0</v>
      </c>
    </row>
    <row r="154" spans="1:68" ht="16.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>
        <f>SUM(IF(AND(D154&lt;&gt;"",WEEKDAY(D$1,2)&lt;6),1,0),IF(AND(F154&lt;&gt;"",WEEKDAY(F$1,2)&lt;6),1,0),IF(AND(H154&lt;&gt;"",WEEKDAY(H$1,2)&lt;6),1,0),IF(AND(J154&lt;&gt;"",WEEKDAY(J$1,2)&lt;6),1,0),IF(AND(L154&lt;&gt;"",WEEKDAY(L$1,2)&lt;6),1,0),IF(AND(N154&lt;&gt;"",WEEKDAY(N$1,2)&lt;6),1,0),IF(AND(P154&lt;&gt;"",WEEKDAY(P$1,2)&lt;6),1,0),IF(AND(R154&lt;&gt;"",WEEKDAY(R$1,2)&lt;6),1,0),IF(AND(T154&lt;&gt;"",WEEKDAY(T$1,2)&lt;6),1,0),IF(AND(V154&lt;&gt;"",WEEKDAY(V$1,2)&lt;6),1,0),IF(AND(X154&lt;&gt;"",WEEKDAY(X$1,2)&lt;6),1,0),IF(AND(Z154&lt;&gt;"",WEEKDAY(Z$1,2)&lt;6),1,0),IF(AND(AB154&lt;&gt;"",WEEKDAY(AB$1,2)&lt;6),1,0),IF(AND(AD154&lt;&gt;"",WEEKDAY(AD$1,2)&lt;6),1,0),IF(AND(AF154&lt;&gt;"",WEEKDAY(AF$1,2)&lt;6),1,0),IF(AND(AH154&lt;&gt;"",WEEKDAY(AH$1,2)&lt;6),1,0),IF(AND(AJ154&lt;&gt;"",WEEKDAY(AJ$1,2)&lt;6),1,0),IF(AND(AL154&lt;&gt;"",WEEKDAY(AL$1,2)&lt;6),1,0),IF(AND(AN154&lt;&gt;"",WEEKDAY(AN$1,2)&lt;6),1,0),IF(AND(AP154&lt;&gt;"",WEEKDAY(AP$1,2)&lt;6),1,0),IF(AND(AR154&lt;&gt;"",WEEKDAY(AR$1,2)&lt;6),1,0),IF(AND(AT154&lt;&gt;"",WEEKDAY(AT$1,2)&lt;6),1,0),IF(AND(AV154&lt;&gt;"",WEEKDAY(AV$1,2)&lt;6),1,0),IF(AND(AX154&lt;&gt;"",WEEKDAY(AX$1,2)&lt;6),1,0),IF(AND(AZ154&lt;&gt;"",WEEKDAY(AZ$1,2)&lt;6),1,0),IF(AND(BB154&lt;&gt;"",WEEKDAY(BB$1,2)&lt;6),1,0),IF(AND(BD154&lt;&gt;"",WEEKDAY(BD$1,2)&lt;6),1,0),IF(AND(BF154&lt;&gt;"",WEEKDAY(BF$1,2)&lt;6),1,0),IF(AND(BH154&lt;&gt;"",WEEKDAY(BH$1,2)&lt;6),1,0),IF(AND(BJ154&lt;&gt;"",WEEKDAY(BJ$1,2)&lt;6),1,0),IF(AND(BL154&lt;&gt;"",WEEKDAY(BL$1,2)&lt;6),1,0))</f>
        <v>0</v>
      </c>
      <c r="BO154" s="85">
        <f>SUM(IF(AND(E154&lt;&gt;"",WEEKDAY(D$1,2)&lt;6),1,0),IF(AND(G154&lt;&gt;"",WEEKDAY(F$1,2)&lt;6),1,0),IF(AND(I154&lt;&gt;"",WEEKDAY(H$1,2)&lt;6),1,0),IF(AND(K154&lt;&gt;"",WEEKDAY(J$1,2)&lt;6),1,0),IF(AND(M154&lt;&gt;"",WEEKDAY(L$1,2)&lt;6),1,0),IF(AND(O154&lt;&gt;"",WEEKDAY(N$1,2)&lt;6),1,0),IF(AND(Q154&lt;&gt;"",WEEKDAY(P$1,2)&lt;6),1,0),IF(AND(S154&lt;&gt;"",WEEKDAY(R$1,2)&lt;6),1,0),IF(AND(U154&lt;&gt;"",WEEKDAY(T$1,2)&lt;6),1,0),IF(AND(W154&lt;&gt;"",WEEKDAY(V$1,2)&lt;6),1,0),IF(AND(Y154&lt;&gt;"",WEEKDAY(X$1,2)&lt;6),1,0),IF(AND(AA154&lt;&gt;"",WEEKDAY(Z$1,2)&lt;6),1,0),IF(AND(AC154&lt;&gt;"",WEEKDAY(AB$1,2)&lt;6),1,0),IF(AND(AE154&lt;&gt;"",WEEKDAY(AD$1,2)&lt;6),1,0),IF(AND(AG154&lt;&gt;"",WEEKDAY(AF$1,2)&lt;6),1,0),IF(AND(AI154&lt;&gt;"",WEEKDAY(AH$1,2)&lt;6),1,0),IF(AND(AK154&lt;&gt;"",WEEKDAY(AJ$1,2)&lt;6),1,0),IF(AND(AM154&lt;&gt;"",WEEKDAY(AL$1,2)&lt;6),1,0),IF(AND(AO154&lt;&gt;"",WEEKDAY(AN$1,2)&lt;6),1,0),IF(AND(AQ154&lt;&gt;"",WEEKDAY(AP$1,2)&lt;6),1,0),IF(AND(AS154&lt;&gt;"",WEEKDAY(AR$1,2)&lt;6),1,0),IF(AND(AU154&lt;&gt;"",WEEKDAY(AT$1,2)&lt;6),1,0),IF(AND(AW154&lt;&gt;"",WEEKDAY(AV$1,2)&lt;6),1,0),IF(AND(AY154&lt;&gt;"",WEEKDAY(AX$1,2)&lt;6),1,0),IF(AND(BA154&lt;&gt;"",WEEKDAY(AZ$1,2)&lt;6),1,0),IF(AND(BC154&lt;&gt;"",WEEKDAY(BB$1,2)&lt;6),1,0),IF(AND(BE154&lt;&gt;"",WEEKDAY(BD$1,2)&lt;6),1,0),IF(AND(BG154&lt;&gt;"",WEEKDAY(BF$1,2)&lt;6),1,0),IF(AND(BI154&lt;&gt;"",WEEKDAY(BH$1,2)&lt;6),1,0),IF(AND(BK154&lt;&gt;"",WEEKDAY(BJ$1,2)&lt;6),1,0),IF(AND(BM154&lt;&gt;"",WEEKDAY(BL$1,2)&lt;6),1,0))</f>
        <v>0</v>
      </c>
      <c r="BP154" s="85">
        <f>SUM(IF(AND((D154&lt;&gt;"")+(E154&lt;&gt;""),WEEKDAY(D$1,2)=6),1,0),IF(AND((F154&lt;&gt;"")+(G154&lt;&gt;""),WEEKDAY(F$1,2)=6),1,0),IF(AND((H154&lt;&gt;"")+(I154&lt;&gt;""),WEEKDAY(H$1,2)=6),1,0),IF(AND((J154&lt;&gt;"")+(K154&lt;&gt;""),WEEKDAY(J$1,2)=6),1,0),IF(AND((L154&lt;&gt;"")+(M154&lt;&gt;""),WEEKDAY(L$1,2)=6),1,0),IF(AND((N154&lt;&gt;"")+(O154&lt;&gt;""),WEEKDAY(N$1,2)=6),1,0),IF(AND((P154&lt;&gt;"")+(Q154&lt;&gt;""),WEEKDAY(P$1,2)=6),1,0),IF(AND((R154&lt;&gt;"")+(S154&lt;&gt;""),WEEKDAY(R$1,2)=6),1,0),IF(AND((T154&lt;&gt;"")+(U154&lt;&gt;""),WEEKDAY(T$1,2)=6),1,0),IF(AND((V154&lt;&gt;"")+(W154&lt;&gt;""),WEEKDAY(V$1,2)=6),1,0),IF(AND((X154&lt;&gt;"")+(Y154&lt;&gt;""),WEEKDAY(X$1,2)=6),1,0),IF(AND((Z154&lt;&gt;"")+(AA154&lt;&gt;""),WEEKDAY(Z$1,2)=6),1,0),IF(AND((AB154&lt;&gt;"")+(AC154&lt;&gt;""),WEEKDAY(AB$1,2)=6),1,0),IF(AND((AD154&lt;&gt;"")+(AE154&lt;&gt;""),WEEKDAY(AD$1,2)=6),1,0),IF(AND((AF154&lt;&gt;"")+(AG154&lt;&gt;""),WEEKDAY(AF$1,2)=6),1,0),IF(AND((AH154&lt;&gt;"")+(AI154&lt;&gt;""),WEEKDAY(AH$1,2)=6),1,0),IF(AND((AJ154&lt;&gt;"")+(AK154&lt;&gt;""),WEEKDAY(AJ$1,2)=6),1,0),IF(AND((AL154&lt;&gt;"")+(AM154&lt;&gt;""),WEEKDAY(AL$1,2)=6),1,0),IF(AND((AN154&lt;&gt;"")+(AO154&lt;&gt;""),WEEKDAY(AN$1,2)=6),1,0),IF(AND((AP154&lt;&gt;"")+(AQ154&lt;&gt;""),WEEKDAY(AP$1,2)=6),1,0),IF(AND((AR154&lt;&gt;"")+(AS154&lt;&gt;""),WEEKDAY(AR$1,2)=6),1,0),IF(AND((AT154&lt;&gt;"")+(AU154&lt;&gt;""),WEEKDAY(AT$1,2)=6),1,0),IF(AND((AV154&lt;&gt;"")+(AW154&lt;&gt;""),WEEKDAY(AV$1,2)=6),1,0),IF(AND((AX154&lt;&gt;"")+(AY154&lt;&gt;""),WEEKDAY(AX$1,2)=6),1,0),IF(AND((AZ154&lt;&gt;"")+(BA154&lt;&gt;""),WEEKDAY(AZ$1,2)=6),1,0),IF(AND((BB154&lt;&gt;"")+(BC154&lt;&gt;""),WEEKDAY(BB$1,2)=6),1,0),IF(AND((BD154&lt;&gt;"")+(BE154&lt;&gt;""),WEEKDAY(BD$1,2)=6),1,0),IF(AND((BF154&lt;&gt;"")+(BG154&lt;&gt;""),WEEKDAY(BF$1,2)=6),1,0),IF(AND((BH154&lt;&gt;"")+(BI154&lt;&gt;""),WEEKDAY(BH$1,2)=6),1,0),IF(AND((BJ154&lt;&gt;"")+(BK154&lt;&gt;""),WEEKDAY(BJ$1,2)=6),1,0),IF(AND((BL154&lt;&gt;"")+(BM154&lt;&gt;""),WEEKDAY(BL$1,2)=6),1,0))</f>
        <v>0</v>
      </c>
    </row>
    <row r="155" spans="1:68" ht="16.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>
        <f>SUM(IF(AND(D155&lt;&gt;"",WEEKDAY(D$1,2)&lt;6),1,0),IF(AND(F155&lt;&gt;"",WEEKDAY(F$1,2)&lt;6),1,0),IF(AND(H155&lt;&gt;"",WEEKDAY(H$1,2)&lt;6),1,0),IF(AND(J155&lt;&gt;"",WEEKDAY(J$1,2)&lt;6),1,0),IF(AND(L155&lt;&gt;"",WEEKDAY(L$1,2)&lt;6),1,0),IF(AND(N155&lt;&gt;"",WEEKDAY(N$1,2)&lt;6),1,0),IF(AND(P155&lt;&gt;"",WEEKDAY(P$1,2)&lt;6),1,0),IF(AND(R155&lt;&gt;"",WEEKDAY(R$1,2)&lt;6),1,0),IF(AND(T155&lt;&gt;"",WEEKDAY(T$1,2)&lt;6),1,0),IF(AND(V155&lt;&gt;"",WEEKDAY(V$1,2)&lt;6),1,0),IF(AND(X155&lt;&gt;"",WEEKDAY(X$1,2)&lt;6),1,0),IF(AND(Z155&lt;&gt;"",WEEKDAY(Z$1,2)&lt;6),1,0),IF(AND(AB155&lt;&gt;"",WEEKDAY(AB$1,2)&lt;6),1,0),IF(AND(AD155&lt;&gt;"",WEEKDAY(AD$1,2)&lt;6),1,0),IF(AND(AF155&lt;&gt;"",WEEKDAY(AF$1,2)&lt;6),1,0),IF(AND(AH155&lt;&gt;"",WEEKDAY(AH$1,2)&lt;6),1,0),IF(AND(AJ155&lt;&gt;"",WEEKDAY(AJ$1,2)&lt;6),1,0),IF(AND(AL155&lt;&gt;"",WEEKDAY(AL$1,2)&lt;6),1,0),IF(AND(AN155&lt;&gt;"",WEEKDAY(AN$1,2)&lt;6),1,0),IF(AND(AP155&lt;&gt;"",WEEKDAY(AP$1,2)&lt;6),1,0),IF(AND(AR155&lt;&gt;"",WEEKDAY(AR$1,2)&lt;6),1,0),IF(AND(AT155&lt;&gt;"",WEEKDAY(AT$1,2)&lt;6),1,0),IF(AND(AV155&lt;&gt;"",WEEKDAY(AV$1,2)&lt;6),1,0),IF(AND(AX155&lt;&gt;"",WEEKDAY(AX$1,2)&lt;6),1,0),IF(AND(AZ155&lt;&gt;"",WEEKDAY(AZ$1,2)&lt;6),1,0),IF(AND(BB155&lt;&gt;"",WEEKDAY(BB$1,2)&lt;6),1,0),IF(AND(BD155&lt;&gt;"",WEEKDAY(BD$1,2)&lt;6),1,0),IF(AND(BF155&lt;&gt;"",WEEKDAY(BF$1,2)&lt;6),1,0),IF(AND(BH155&lt;&gt;"",WEEKDAY(BH$1,2)&lt;6),1,0),IF(AND(BJ155&lt;&gt;"",WEEKDAY(BJ$1,2)&lt;6),1,0),IF(AND(BL155&lt;&gt;"",WEEKDAY(BL$1,2)&lt;6),1,0))</f>
        <v>0</v>
      </c>
      <c r="BO155" s="85">
        <f>SUM(IF(AND(E155&lt;&gt;"",WEEKDAY(D$1,2)&lt;6),1,0),IF(AND(G155&lt;&gt;"",WEEKDAY(F$1,2)&lt;6),1,0),IF(AND(I155&lt;&gt;"",WEEKDAY(H$1,2)&lt;6),1,0),IF(AND(K155&lt;&gt;"",WEEKDAY(J$1,2)&lt;6),1,0),IF(AND(M155&lt;&gt;"",WEEKDAY(L$1,2)&lt;6),1,0),IF(AND(O155&lt;&gt;"",WEEKDAY(N$1,2)&lt;6),1,0),IF(AND(Q155&lt;&gt;"",WEEKDAY(P$1,2)&lt;6),1,0),IF(AND(S155&lt;&gt;"",WEEKDAY(R$1,2)&lt;6),1,0),IF(AND(U155&lt;&gt;"",WEEKDAY(T$1,2)&lt;6),1,0),IF(AND(W155&lt;&gt;"",WEEKDAY(V$1,2)&lt;6),1,0),IF(AND(Y155&lt;&gt;"",WEEKDAY(X$1,2)&lt;6),1,0),IF(AND(AA155&lt;&gt;"",WEEKDAY(Z$1,2)&lt;6),1,0),IF(AND(AC155&lt;&gt;"",WEEKDAY(AB$1,2)&lt;6),1,0),IF(AND(AE155&lt;&gt;"",WEEKDAY(AD$1,2)&lt;6),1,0),IF(AND(AG155&lt;&gt;"",WEEKDAY(AF$1,2)&lt;6),1,0),IF(AND(AI155&lt;&gt;"",WEEKDAY(AH$1,2)&lt;6),1,0),IF(AND(AK155&lt;&gt;"",WEEKDAY(AJ$1,2)&lt;6),1,0),IF(AND(AM155&lt;&gt;"",WEEKDAY(AL$1,2)&lt;6),1,0),IF(AND(AO155&lt;&gt;"",WEEKDAY(AN$1,2)&lt;6),1,0),IF(AND(AQ155&lt;&gt;"",WEEKDAY(AP$1,2)&lt;6),1,0),IF(AND(AS155&lt;&gt;"",WEEKDAY(AR$1,2)&lt;6),1,0),IF(AND(AU155&lt;&gt;"",WEEKDAY(AT$1,2)&lt;6),1,0),IF(AND(AW155&lt;&gt;"",WEEKDAY(AV$1,2)&lt;6),1,0),IF(AND(AY155&lt;&gt;"",WEEKDAY(AX$1,2)&lt;6),1,0),IF(AND(BA155&lt;&gt;"",WEEKDAY(AZ$1,2)&lt;6),1,0),IF(AND(BC155&lt;&gt;"",WEEKDAY(BB$1,2)&lt;6),1,0),IF(AND(BE155&lt;&gt;"",WEEKDAY(BD$1,2)&lt;6),1,0),IF(AND(BG155&lt;&gt;"",WEEKDAY(BF$1,2)&lt;6),1,0),IF(AND(BI155&lt;&gt;"",WEEKDAY(BH$1,2)&lt;6),1,0),IF(AND(BK155&lt;&gt;"",WEEKDAY(BJ$1,2)&lt;6),1,0),IF(AND(BM155&lt;&gt;"",WEEKDAY(BL$1,2)&lt;6),1,0))</f>
        <v>0</v>
      </c>
      <c r="BP155" s="85">
        <f>SUM(IF(AND((D155&lt;&gt;"")+(E155&lt;&gt;""),WEEKDAY(D$1,2)=6),1,0),IF(AND((F155&lt;&gt;"")+(G155&lt;&gt;""),WEEKDAY(F$1,2)=6),1,0),IF(AND((H155&lt;&gt;"")+(I155&lt;&gt;""),WEEKDAY(H$1,2)=6),1,0),IF(AND((J155&lt;&gt;"")+(K155&lt;&gt;""),WEEKDAY(J$1,2)=6),1,0),IF(AND((L155&lt;&gt;"")+(M155&lt;&gt;""),WEEKDAY(L$1,2)=6),1,0),IF(AND((N155&lt;&gt;"")+(O155&lt;&gt;""),WEEKDAY(N$1,2)=6),1,0),IF(AND((P155&lt;&gt;"")+(Q155&lt;&gt;""),WEEKDAY(P$1,2)=6),1,0),IF(AND((R155&lt;&gt;"")+(S155&lt;&gt;""),WEEKDAY(R$1,2)=6),1,0),IF(AND((T155&lt;&gt;"")+(U155&lt;&gt;""),WEEKDAY(T$1,2)=6),1,0),IF(AND((V155&lt;&gt;"")+(W155&lt;&gt;""),WEEKDAY(V$1,2)=6),1,0),IF(AND((X155&lt;&gt;"")+(Y155&lt;&gt;""),WEEKDAY(X$1,2)=6),1,0),IF(AND((Z155&lt;&gt;"")+(AA155&lt;&gt;""),WEEKDAY(Z$1,2)=6),1,0),IF(AND((AB155&lt;&gt;"")+(AC155&lt;&gt;""),WEEKDAY(AB$1,2)=6),1,0),IF(AND((AD155&lt;&gt;"")+(AE155&lt;&gt;""),WEEKDAY(AD$1,2)=6),1,0),IF(AND((AF155&lt;&gt;"")+(AG155&lt;&gt;""),WEEKDAY(AF$1,2)=6),1,0),IF(AND((AH155&lt;&gt;"")+(AI155&lt;&gt;""),WEEKDAY(AH$1,2)=6),1,0),IF(AND((AJ155&lt;&gt;"")+(AK155&lt;&gt;""),WEEKDAY(AJ$1,2)=6),1,0),IF(AND((AL155&lt;&gt;"")+(AM155&lt;&gt;""),WEEKDAY(AL$1,2)=6),1,0),IF(AND((AN155&lt;&gt;"")+(AO155&lt;&gt;""),WEEKDAY(AN$1,2)=6),1,0),IF(AND((AP155&lt;&gt;"")+(AQ155&lt;&gt;""),WEEKDAY(AP$1,2)=6),1,0),IF(AND((AR155&lt;&gt;"")+(AS155&lt;&gt;""),WEEKDAY(AR$1,2)=6),1,0),IF(AND((AT155&lt;&gt;"")+(AU155&lt;&gt;""),WEEKDAY(AT$1,2)=6),1,0),IF(AND((AV155&lt;&gt;"")+(AW155&lt;&gt;""),WEEKDAY(AV$1,2)=6),1,0),IF(AND((AX155&lt;&gt;"")+(AY155&lt;&gt;""),WEEKDAY(AX$1,2)=6),1,0),IF(AND((AZ155&lt;&gt;"")+(BA155&lt;&gt;""),WEEKDAY(AZ$1,2)=6),1,0),IF(AND((BB155&lt;&gt;"")+(BC155&lt;&gt;""),WEEKDAY(BB$1,2)=6),1,0),IF(AND((BD155&lt;&gt;"")+(BE155&lt;&gt;""),WEEKDAY(BD$1,2)=6),1,0),IF(AND((BF155&lt;&gt;"")+(BG155&lt;&gt;""),WEEKDAY(BF$1,2)=6),1,0),IF(AND((BH155&lt;&gt;"")+(BI155&lt;&gt;""),WEEKDAY(BH$1,2)=6),1,0),IF(AND((BJ155&lt;&gt;"")+(BK155&lt;&gt;""),WEEKDAY(BJ$1,2)=6),1,0),IF(AND((BL155&lt;&gt;"")+(BM155&lt;&gt;""),WEEKDAY(BL$1,2)=6),1,0))</f>
        <v>0</v>
      </c>
    </row>
    <row r="156" spans="1:68" ht="16.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>
        <f>SUM(IF(AND(D156&lt;&gt;"",WEEKDAY(D$1,2)&lt;6),1,0),IF(AND(F156&lt;&gt;"",WEEKDAY(F$1,2)&lt;6),1,0),IF(AND(H156&lt;&gt;"",WEEKDAY(H$1,2)&lt;6),1,0),IF(AND(J156&lt;&gt;"",WEEKDAY(J$1,2)&lt;6),1,0),IF(AND(L156&lt;&gt;"",WEEKDAY(L$1,2)&lt;6),1,0),IF(AND(N156&lt;&gt;"",WEEKDAY(N$1,2)&lt;6),1,0),IF(AND(P156&lt;&gt;"",WEEKDAY(P$1,2)&lt;6),1,0),IF(AND(R156&lt;&gt;"",WEEKDAY(R$1,2)&lt;6),1,0),IF(AND(T156&lt;&gt;"",WEEKDAY(T$1,2)&lt;6),1,0),IF(AND(V156&lt;&gt;"",WEEKDAY(V$1,2)&lt;6),1,0),IF(AND(X156&lt;&gt;"",WEEKDAY(X$1,2)&lt;6),1,0),IF(AND(Z156&lt;&gt;"",WEEKDAY(Z$1,2)&lt;6),1,0),IF(AND(AB156&lt;&gt;"",WEEKDAY(AB$1,2)&lt;6),1,0),IF(AND(AD156&lt;&gt;"",WEEKDAY(AD$1,2)&lt;6),1,0),IF(AND(AF156&lt;&gt;"",WEEKDAY(AF$1,2)&lt;6),1,0),IF(AND(AH156&lt;&gt;"",WEEKDAY(AH$1,2)&lt;6),1,0),IF(AND(AJ156&lt;&gt;"",WEEKDAY(AJ$1,2)&lt;6),1,0),IF(AND(AL156&lt;&gt;"",WEEKDAY(AL$1,2)&lt;6),1,0),IF(AND(AN156&lt;&gt;"",WEEKDAY(AN$1,2)&lt;6),1,0),IF(AND(AP156&lt;&gt;"",WEEKDAY(AP$1,2)&lt;6),1,0),IF(AND(AR156&lt;&gt;"",WEEKDAY(AR$1,2)&lt;6),1,0),IF(AND(AT156&lt;&gt;"",WEEKDAY(AT$1,2)&lt;6),1,0),IF(AND(AV156&lt;&gt;"",WEEKDAY(AV$1,2)&lt;6),1,0),IF(AND(AX156&lt;&gt;"",WEEKDAY(AX$1,2)&lt;6),1,0),IF(AND(AZ156&lt;&gt;"",WEEKDAY(AZ$1,2)&lt;6),1,0),IF(AND(BB156&lt;&gt;"",WEEKDAY(BB$1,2)&lt;6),1,0),IF(AND(BD156&lt;&gt;"",WEEKDAY(BD$1,2)&lt;6),1,0),IF(AND(BF156&lt;&gt;"",WEEKDAY(BF$1,2)&lt;6),1,0),IF(AND(BH156&lt;&gt;"",WEEKDAY(BH$1,2)&lt;6),1,0),IF(AND(BJ156&lt;&gt;"",WEEKDAY(BJ$1,2)&lt;6),1,0),IF(AND(BL156&lt;&gt;"",WEEKDAY(BL$1,2)&lt;6),1,0))</f>
        <v>0</v>
      </c>
      <c r="BO156" s="85">
        <f>SUM(IF(AND(E156&lt;&gt;"",WEEKDAY(D$1,2)&lt;6),1,0),IF(AND(G156&lt;&gt;"",WEEKDAY(F$1,2)&lt;6),1,0),IF(AND(I156&lt;&gt;"",WEEKDAY(H$1,2)&lt;6),1,0),IF(AND(K156&lt;&gt;"",WEEKDAY(J$1,2)&lt;6),1,0),IF(AND(M156&lt;&gt;"",WEEKDAY(L$1,2)&lt;6),1,0),IF(AND(O156&lt;&gt;"",WEEKDAY(N$1,2)&lt;6),1,0),IF(AND(Q156&lt;&gt;"",WEEKDAY(P$1,2)&lt;6),1,0),IF(AND(S156&lt;&gt;"",WEEKDAY(R$1,2)&lt;6),1,0),IF(AND(U156&lt;&gt;"",WEEKDAY(T$1,2)&lt;6),1,0),IF(AND(W156&lt;&gt;"",WEEKDAY(V$1,2)&lt;6),1,0),IF(AND(Y156&lt;&gt;"",WEEKDAY(X$1,2)&lt;6),1,0),IF(AND(AA156&lt;&gt;"",WEEKDAY(Z$1,2)&lt;6),1,0),IF(AND(AC156&lt;&gt;"",WEEKDAY(AB$1,2)&lt;6),1,0),IF(AND(AE156&lt;&gt;"",WEEKDAY(AD$1,2)&lt;6),1,0),IF(AND(AG156&lt;&gt;"",WEEKDAY(AF$1,2)&lt;6),1,0),IF(AND(AI156&lt;&gt;"",WEEKDAY(AH$1,2)&lt;6),1,0),IF(AND(AK156&lt;&gt;"",WEEKDAY(AJ$1,2)&lt;6),1,0),IF(AND(AM156&lt;&gt;"",WEEKDAY(AL$1,2)&lt;6),1,0),IF(AND(AO156&lt;&gt;"",WEEKDAY(AN$1,2)&lt;6),1,0),IF(AND(AQ156&lt;&gt;"",WEEKDAY(AP$1,2)&lt;6),1,0),IF(AND(AS156&lt;&gt;"",WEEKDAY(AR$1,2)&lt;6),1,0),IF(AND(AU156&lt;&gt;"",WEEKDAY(AT$1,2)&lt;6),1,0),IF(AND(AW156&lt;&gt;"",WEEKDAY(AV$1,2)&lt;6),1,0),IF(AND(AY156&lt;&gt;"",WEEKDAY(AX$1,2)&lt;6),1,0),IF(AND(BA156&lt;&gt;"",WEEKDAY(AZ$1,2)&lt;6),1,0),IF(AND(BC156&lt;&gt;"",WEEKDAY(BB$1,2)&lt;6),1,0),IF(AND(BE156&lt;&gt;"",WEEKDAY(BD$1,2)&lt;6),1,0),IF(AND(BG156&lt;&gt;"",WEEKDAY(BF$1,2)&lt;6),1,0),IF(AND(BI156&lt;&gt;"",WEEKDAY(BH$1,2)&lt;6),1,0),IF(AND(BK156&lt;&gt;"",WEEKDAY(BJ$1,2)&lt;6),1,0),IF(AND(BM156&lt;&gt;"",WEEKDAY(BL$1,2)&lt;6),1,0))</f>
        <v>0</v>
      </c>
      <c r="BP156" s="85">
        <f>SUM(IF(AND((D156&lt;&gt;"")+(E156&lt;&gt;""),WEEKDAY(D$1,2)=6),1,0),IF(AND((F156&lt;&gt;"")+(G156&lt;&gt;""),WEEKDAY(F$1,2)=6),1,0),IF(AND((H156&lt;&gt;"")+(I156&lt;&gt;""),WEEKDAY(H$1,2)=6),1,0),IF(AND((J156&lt;&gt;"")+(K156&lt;&gt;""),WEEKDAY(J$1,2)=6),1,0),IF(AND((L156&lt;&gt;"")+(M156&lt;&gt;""),WEEKDAY(L$1,2)=6),1,0),IF(AND((N156&lt;&gt;"")+(O156&lt;&gt;""),WEEKDAY(N$1,2)=6),1,0),IF(AND((P156&lt;&gt;"")+(Q156&lt;&gt;""),WEEKDAY(P$1,2)=6),1,0),IF(AND((R156&lt;&gt;"")+(S156&lt;&gt;""),WEEKDAY(R$1,2)=6),1,0),IF(AND((T156&lt;&gt;"")+(U156&lt;&gt;""),WEEKDAY(T$1,2)=6),1,0),IF(AND((V156&lt;&gt;"")+(W156&lt;&gt;""),WEEKDAY(V$1,2)=6),1,0),IF(AND((X156&lt;&gt;"")+(Y156&lt;&gt;""),WEEKDAY(X$1,2)=6),1,0),IF(AND((Z156&lt;&gt;"")+(AA156&lt;&gt;""),WEEKDAY(Z$1,2)=6),1,0),IF(AND((AB156&lt;&gt;"")+(AC156&lt;&gt;""),WEEKDAY(AB$1,2)=6),1,0),IF(AND((AD156&lt;&gt;"")+(AE156&lt;&gt;""),WEEKDAY(AD$1,2)=6),1,0),IF(AND((AF156&lt;&gt;"")+(AG156&lt;&gt;""),WEEKDAY(AF$1,2)=6),1,0),IF(AND((AH156&lt;&gt;"")+(AI156&lt;&gt;""),WEEKDAY(AH$1,2)=6),1,0),IF(AND((AJ156&lt;&gt;"")+(AK156&lt;&gt;""),WEEKDAY(AJ$1,2)=6),1,0),IF(AND((AL156&lt;&gt;"")+(AM156&lt;&gt;""),WEEKDAY(AL$1,2)=6),1,0),IF(AND((AN156&lt;&gt;"")+(AO156&lt;&gt;""),WEEKDAY(AN$1,2)=6),1,0),IF(AND((AP156&lt;&gt;"")+(AQ156&lt;&gt;""),WEEKDAY(AP$1,2)=6),1,0),IF(AND((AR156&lt;&gt;"")+(AS156&lt;&gt;""),WEEKDAY(AR$1,2)=6),1,0),IF(AND((AT156&lt;&gt;"")+(AU156&lt;&gt;""),WEEKDAY(AT$1,2)=6),1,0),IF(AND((AV156&lt;&gt;"")+(AW156&lt;&gt;""),WEEKDAY(AV$1,2)=6),1,0),IF(AND((AX156&lt;&gt;"")+(AY156&lt;&gt;""),WEEKDAY(AX$1,2)=6),1,0),IF(AND((AZ156&lt;&gt;"")+(BA156&lt;&gt;""),WEEKDAY(AZ$1,2)=6),1,0),IF(AND((BB156&lt;&gt;"")+(BC156&lt;&gt;""),WEEKDAY(BB$1,2)=6),1,0),IF(AND((BD156&lt;&gt;"")+(BE156&lt;&gt;""),WEEKDAY(BD$1,2)=6),1,0),IF(AND((BF156&lt;&gt;"")+(BG156&lt;&gt;""),WEEKDAY(BF$1,2)=6),1,0),IF(AND((BH156&lt;&gt;"")+(BI156&lt;&gt;""),WEEKDAY(BH$1,2)=6),1,0),IF(AND((BJ156&lt;&gt;"")+(BK156&lt;&gt;""),WEEKDAY(BJ$1,2)=6),1,0),IF(AND((BL156&lt;&gt;"")+(BM156&lt;&gt;""),WEEKDAY(BL$1,2)=6),1,0))</f>
        <v>0</v>
      </c>
    </row>
    <row r="157" spans="1:68" ht="16.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>
        <f>SUM(IF(AND(D157&lt;&gt;"",WEEKDAY(D$1,2)&lt;6),1,0),IF(AND(F157&lt;&gt;"",WEEKDAY(F$1,2)&lt;6),1,0),IF(AND(H157&lt;&gt;"",WEEKDAY(H$1,2)&lt;6),1,0),IF(AND(J157&lt;&gt;"",WEEKDAY(J$1,2)&lt;6),1,0),IF(AND(L157&lt;&gt;"",WEEKDAY(L$1,2)&lt;6),1,0),IF(AND(N157&lt;&gt;"",WEEKDAY(N$1,2)&lt;6),1,0),IF(AND(P157&lt;&gt;"",WEEKDAY(P$1,2)&lt;6),1,0),IF(AND(R157&lt;&gt;"",WEEKDAY(R$1,2)&lt;6),1,0),IF(AND(T157&lt;&gt;"",WEEKDAY(T$1,2)&lt;6),1,0),IF(AND(V157&lt;&gt;"",WEEKDAY(V$1,2)&lt;6),1,0),IF(AND(X157&lt;&gt;"",WEEKDAY(X$1,2)&lt;6),1,0),IF(AND(Z157&lt;&gt;"",WEEKDAY(Z$1,2)&lt;6),1,0),IF(AND(AB157&lt;&gt;"",WEEKDAY(AB$1,2)&lt;6),1,0),IF(AND(AD157&lt;&gt;"",WEEKDAY(AD$1,2)&lt;6),1,0),IF(AND(AF157&lt;&gt;"",WEEKDAY(AF$1,2)&lt;6),1,0),IF(AND(AH157&lt;&gt;"",WEEKDAY(AH$1,2)&lt;6),1,0),IF(AND(AJ157&lt;&gt;"",WEEKDAY(AJ$1,2)&lt;6),1,0),IF(AND(AL157&lt;&gt;"",WEEKDAY(AL$1,2)&lt;6),1,0),IF(AND(AN157&lt;&gt;"",WEEKDAY(AN$1,2)&lt;6),1,0),IF(AND(AP157&lt;&gt;"",WEEKDAY(AP$1,2)&lt;6),1,0),IF(AND(AR157&lt;&gt;"",WEEKDAY(AR$1,2)&lt;6),1,0),IF(AND(AT157&lt;&gt;"",WEEKDAY(AT$1,2)&lt;6),1,0),IF(AND(AV157&lt;&gt;"",WEEKDAY(AV$1,2)&lt;6),1,0),IF(AND(AX157&lt;&gt;"",WEEKDAY(AX$1,2)&lt;6),1,0),IF(AND(AZ157&lt;&gt;"",WEEKDAY(AZ$1,2)&lt;6),1,0),IF(AND(BB157&lt;&gt;"",WEEKDAY(BB$1,2)&lt;6),1,0),IF(AND(BD157&lt;&gt;"",WEEKDAY(BD$1,2)&lt;6),1,0),IF(AND(BF157&lt;&gt;"",WEEKDAY(BF$1,2)&lt;6),1,0),IF(AND(BH157&lt;&gt;"",WEEKDAY(BH$1,2)&lt;6),1,0),IF(AND(BJ157&lt;&gt;"",WEEKDAY(BJ$1,2)&lt;6),1,0),IF(AND(BL157&lt;&gt;"",WEEKDAY(BL$1,2)&lt;6),1,0))</f>
        <v>0</v>
      </c>
      <c r="BO157" s="85">
        <f>SUM(IF(AND(E157&lt;&gt;"",WEEKDAY(D$1,2)&lt;6),1,0),IF(AND(G157&lt;&gt;"",WEEKDAY(F$1,2)&lt;6),1,0),IF(AND(I157&lt;&gt;"",WEEKDAY(H$1,2)&lt;6),1,0),IF(AND(K157&lt;&gt;"",WEEKDAY(J$1,2)&lt;6),1,0),IF(AND(M157&lt;&gt;"",WEEKDAY(L$1,2)&lt;6),1,0),IF(AND(O157&lt;&gt;"",WEEKDAY(N$1,2)&lt;6),1,0),IF(AND(Q157&lt;&gt;"",WEEKDAY(P$1,2)&lt;6),1,0),IF(AND(S157&lt;&gt;"",WEEKDAY(R$1,2)&lt;6),1,0),IF(AND(U157&lt;&gt;"",WEEKDAY(T$1,2)&lt;6),1,0),IF(AND(W157&lt;&gt;"",WEEKDAY(V$1,2)&lt;6),1,0),IF(AND(Y157&lt;&gt;"",WEEKDAY(X$1,2)&lt;6),1,0),IF(AND(AA157&lt;&gt;"",WEEKDAY(Z$1,2)&lt;6),1,0),IF(AND(AC157&lt;&gt;"",WEEKDAY(AB$1,2)&lt;6),1,0),IF(AND(AE157&lt;&gt;"",WEEKDAY(AD$1,2)&lt;6),1,0),IF(AND(AG157&lt;&gt;"",WEEKDAY(AF$1,2)&lt;6),1,0),IF(AND(AI157&lt;&gt;"",WEEKDAY(AH$1,2)&lt;6),1,0),IF(AND(AK157&lt;&gt;"",WEEKDAY(AJ$1,2)&lt;6),1,0),IF(AND(AM157&lt;&gt;"",WEEKDAY(AL$1,2)&lt;6),1,0),IF(AND(AO157&lt;&gt;"",WEEKDAY(AN$1,2)&lt;6),1,0),IF(AND(AQ157&lt;&gt;"",WEEKDAY(AP$1,2)&lt;6),1,0),IF(AND(AS157&lt;&gt;"",WEEKDAY(AR$1,2)&lt;6),1,0),IF(AND(AU157&lt;&gt;"",WEEKDAY(AT$1,2)&lt;6),1,0),IF(AND(AW157&lt;&gt;"",WEEKDAY(AV$1,2)&lt;6),1,0),IF(AND(AY157&lt;&gt;"",WEEKDAY(AX$1,2)&lt;6),1,0),IF(AND(BA157&lt;&gt;"",WEEKDAY(AZ$1,2)&lt;6),1,0),IF(AND(BC157&lt;&gt;"",WEEKDAY(BB$1,2)&lt;6),1,0),IF(AND(BE157&lt;&gt;"",WEEKDAY(BD$1,2)&lt;6),1,0),IF(AND(BG157&lt;&gt;"",WEEKDAY(BF$1,2)&lt;6),1,0),IF(AND(BI157&lt;&gt;"",WEEKDAY(BH$1,2)&lt;6),1,0),IF(AND(BK157&lt;&gt;"",WEEKDAY(BJ$1,2)&lt;6),1,0),IF(AND(BM157&lt;&gt;"",WEEKDAY(BL$1,2)&lt;6),1,0))</f>
        <v>0</v>
      </c>
      <c r="BP157" s="85">
        <f>SUM(IF(AND((D157&lt;&gt;"")+(E157&lt;&gt;""),WEEKDAY(D$1,2)=6),1,0),IF(AND((F157&lt;&gt;"")+(G157&lt;&gt;""),WEEKDAY(F$1,2)=6),1,0),IF(AND((H157&lt;&gt;"")+(I157&lt;&gt;""),WEEKDAY(H$1,2)=6),1,0),IF(AND((J157&lt;&gt;"")+(K157&lt;&gt;""),WEEKDAY(J$1,2)=6),1,0),IF(AND((L157&lt;&gt;"")+(M157&lt;&gt;""),WEEKDAY(L$1,2)=6),1,0),IF(AND((N157&lt;&gt;"")+(O157&lt;&gt;""),WEEKDAY(N$1,2)=6),1,0),IF(AND((P157&lt;&gt;"")+(Q157&lt;&gt;""),WEEKDAY(P$1,2)=6),1,0),IF(AND((R157&lt;&gt;"")+(S157&lt;&gt;""),WEEKDAY(R$1,2)=6),1,0),IF(AND((T157&lt;&gt;"")+(U157&lt;&gt;""),WEEKDAY(T$1,2)=6),1,0),IF(AND((V157&lt;&gt;"")+(W157&lt;&gt;""),WEEKDAY(V$1,2)=6),1,0),IF(AND((X157&lt;&gt;"")+(Y157&lt;&gt;""),WEEKDAY(X$1,2)=6),1,0),IF(AND((Z157&lt;&gt;"")+(AA157&lt;&gt;""),WEEKDAY(Z$1,2)=6),1,0),IF(AND((AB157&lt;&gt;"")+(AC157&lt;&gt;""),WEEKDAY(AB$1,2)=6),1,0),IF(AND((AD157&lt;&gt;"")+(AE157&lt;&gt;""),WEEKDAY(AD$1,2)=6),1,0),IF(AND((AF157&lt;&gt;"")+(AG157&lt;&gt;""),WEEKDAY(AF$1,2)=6),1,0),IF(AND((AH157&lt;&gt;"")+(AI157&lt;&gt;""),WEEKDAY(AH$1,2)=6),1,0),IF(AND((AJ157&lt;&gt;"")+(AK157&lt;&gt;""),WEEKDAY(AJ$1,2)=6),1,0),IF(AND((AL157&lt;&gt;"")+(AM157&lt;&gt;""),WEEKDAY(AL$1,2)=6),1,0),IF(AND((AN157&lt;&gt;"")+(AO157&lt;&gt;""),WEEKDAY(AN$1,2)=6),1,0),IF(AND((AP157&lt;&gt;"")+(AQ157&lt;&gt;""),WEEKDAY(AP$1,2)=6),1,0),IF(AND((AR157&lt;&gt;"")+(AS157&lt;&gt;""),WEEKDAY(AR$1,2)=6),1,0),IF(AND((AT157&lt;&gt;"")+(AU157&lt;&gt;""),WEEKDAY(AT$1,2)=6),1,0),IF(AND((AV157&lt;&gt;"")+(AW157&lt;&gt;""),WEEKDAY(AV$1,2)=6),1,0),IF(AND((AX157&lt;&gt;"")+(AY157&lt;&gt;""),WEEKDAY(AX$1,2)=6),1,0),IF(AND((AZ157&lt;&gt;"")+(BA157&lt;&gt;""),WEEKDAY(AZ$1,2)=6),1,0),IF(AND((BB157&lt;&gt;"")+(BC157&lt;&gt;""),WEEKDAY(BB$1,2)=6),1,0),IF(AND((BD157&lt;&gt;"")+(BE157&lt;&gt;""),WEEKDAY(BD$1,2)=6),1,0),IF(AND((BF157&lt;&gt;"")+(BG157&lt;&gt;""),WEEKDAY(BF$1,2)=6),1,0),IF(AND((BH157&lt;&gt;"")+(BI157&lt;&gt;""),WEEKDAY(BH$1,2)=6),1,0),IF(AND((BJ157&lt;&gt;"")+(BK157&lt;&gt;""),WEEKDAY(BJ$1,2)=6),1,0),IF(AND((BL157&lt;&gt;"")+(BM157&lt;&gt;""),WEEKDAY(BL$1,2)=6),1,0))</f>
        <v>0</v>
      </c>
    </row>
    <row r="158" spans="1:68" ht="16.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>
        <f>SUM(IF(AND(D158&lt;&gt;"",WEEKDAY(D$1,2)&lt;6),1,0),IF(AND(F158&lt;&gt;"",WEEKDAY(F$1,2)&lt;6),1,0),IF(AND(H158&lt;&gt;"",WEEKDAY(H$1,2)&lt;6),1,0),IF(AND(J158&lt;&gt;"",WEEKDAY(J$1,2)&lt;6),1,0),IF(AND(L158&lt;&gt;"",WEEKDAY(L$1,2)&lt;6),1,0),IF(AND(N158&lt;&gt;"",WEEKDAY(N$1,2)&lt;6),1,0),IF(AND(P158&lt;&gt;"",WEEKDAY(P$1,2)&lt;6),1,0),IF(AND(R158&lt;&gt;"",WEEKDAY(R$1,2)&lt;6),1,0),IF(AND(T158&lt;&gt;"",WEEKDAY(T$1,2)&lt;6),1,0),IF(AND(V158&lt;&gt;"",WEEKDAY(V$1,2)&lt;6),1,0),IF(AND(X158&lt;&gt;"",WEEKDAY(X$1,2)&lt;6),1,0),IF(AND(Z158&lt;&gt;"",WEEKDAY(Z$1,2)&lt;6),1,0),IF(AND(AB158&lt;&gt;"",WEEKDAY(AB$1,2)&lt;6),1,0),IF(AND(AD158&lt;&gt;"",WEEKDAY(AD$1,2)&lt;6),1,0),IF(AND(AF158&lt;&gt;"",WEEKDAY(AF$1,2)&lt;6),1,0),IF(AND(AH158&lt;&gt;"",WEEKDAY(AH$1,2)&lt;6),1,0),IF(AND(AJ158&lt;&gt;"",WEEKDAY(AJ$1,2)&lt;6),1,0),IF(AND(AL158&lt;&gt;"",WEEKDAY(AL$1,2)&lt;6),1,0),IF(AND(AN158&lt;&gt;"",WEEKDAY(AN$1,2)&lt;6),1,0),IF(AND(AP158&lt;&gt;"",WEEKDAY(AP$1,2)&lt;6),1,0),IF(AND(AR158&lt;&gt;"",WEEKDAY(AR$1,2)&lt;6),1,0),IF(AND(AT158&lt;&gt;"",WEEKDAY(AT$1,2)&lt;6),1,0),IF(AND(AV158&lt;&gt;"",WEEKDAY(AV$1,2)&lt;6),1,0),IF(AND(AX158&lt;&gt;"",WEEKDAY(AX$1,2)&lt;6),1,0),IF(AND(AZ158&lt;&gt;"",WEEKDAY(AZ$1,2)&lt;6),1,0),IF(AND(BB158&lt;&gt;"",WEEKDAY(BB$1,2)&lt;6),1,0),IF(AND(BD158&lt;&gt;"",WEEKDAY(BD$1,2)&lt;6),1,0),IF(AND(BF158&lt;&gt;"",WEEKDAY(BF$1,2)&lt;6),1,0),IF(AND(BH158&lt;&gt;"",WEEKDAY(BH$1,2)&lt;6),1,0),IF(AND(BJ158&lt;&gt;"",WEEKDAY(BJ$1,2)&lt;6),1,0),IF(AND(BL158&lt;&gt;"",WEEKDAY(BL$1,2)&lt;6),1,0))</f>
        <v>0</v>
      </c>
      <c r="BO158" s="85">
        <f>SUM(IF(AND(E158&lt;&gt;"",WEEKDAY(D$1,2)&lt;6),1,0),IF(AND(G158&lt;&gt;"",WEEKDAY(F$1,2)&lt;6),1,0),IF(AND(I158&lt;&gt;"",WEEKDAY(H$1,2)&lt;6),1,0),IF(AND(K158&lt;&gt;"",WEEKDAY(J$1,2)&lt;6),1,0),IF(AND(M158&lt;&gt;"",WEEKDAY(L$1,2)&lt;6),1,0),IF(AND(O158&lt;&gt;"",WEEKDAY(N$1,2)&lt;6),1,0),IF(AND(Q158&lt;&gt;"",WEEKDAY(P$1,2)&lt;6),1,0),IF(AND(S158&lt;&gt;"",WEEKDAY(R$1,2)&lt;6),1,0),IF(AND(U158&lt;&gt;"",WEEKDAY(T$1,2)&lt;6),1,0),IF(AND(W158&lt;&gt;"",WEEKDAY(V$1,2)&lt;6),1,0),IF(AND(Y158&lt;&gt;"",WEEKDAY(X$1,2)&lt;6),1,0),IF(AND(AA158&lt;&gt;"",WEEKDAY(Z$1,2)&lt;6),1,0),IF(AND(AC158&lt;&gt;"",WEEKDAY(AB$1,2)&lt;6),1,0),IF(AND(AE158&lt;&gt;"",WEEKDAY(AD$1,2)&lt;6),1,0),IF(AND(AG158&lt;&gt;"",WEEKDAY(AF$1,2)&lt;6),1,0),IF(AND(AI158&lt;&gt;"",WEEKDAY(AH$1,2)&lt;6),1,0),IF(AND(AK158&lt;&gt;"",WEEKDAY(AJ$1,2)&lt;6),1,0),IF(AND(AM158&lt;&gt;"",WEEKDAY(AL$1,2)&lt;6),1,0),IF(AND(AO158&lt;&gt;"",WEEKDAY(AN$1,2)&lt;6),1,0),IF(AND(AQ158&lt;&gt;"",WEEKDAY(AP$1,2)&lt;6),1,0),IF(AND(AS158&lt;&gt;"",WEEKDAY(AR$1,2)&lt;6),1,0),IF(AND(AU158&lt;&gt;"",WEEKDAY(AT$1,2)&lt;6),1,0),IF(AND(AW158&lt;&gt;"",WEEKDAY(AV$1,2)&lt;6),1,0),IF(AND(AY158&lt;&gt;"",WEEKDAY(AX$1,2)&lt;6),1,0),IF(AND(BA158&lt;&gt;"",WEEKDAY(AZ$1,2)&lt;6),1,0),IF(AND(BC158&lt;&gt;"",WEEKDAY(BB$1,2)&lt;6),1,0),IF(AND(BE158&lt;&gt;"",WEEKDAY(BD$1,2)&lt;6),1,0),IF(AND(BG158&lt;&gt;"",WEEKDAY(BF$1,2)&lt;6),1,0),IF(AND(BI158&lt;&gt;"",WEEKDAY(BH$1,2)&lt;6),1,0),IF(AND(BK158&lt;&gt;"",WEEKDAY(BJ$1,2)&lt;6),1,0),IF(AND(BM158&lt;&gt;"",WEEKDAY(BL$1,2)&lt;6),1,0))</f>
        <v>0</v>
      </c>
      <c r="BP158" s="85">
        <f>SUM(IF(AND((D158&lt;&gt;"")+(E158&lt;&gt;""),WEEKDAY(D$1,2)=6),1,0),IF(AND((F158&lt;&gt;"")+(G158&lt;&gt;""),WEEKDAY(F$1,2)=6),1,0),IF(AND((H158&lt;&gt;"")+(I158&lt;&gt;""),WEEKDAY(H$1,2)=6),1,0),IF(AND((J158&lt;&gt;"")+(K158&lt;&gt;""),WEEKDAY(J$1,2)=6),1,0),IF(AND((L158&lt;&gt;"")+(M158&lt;&gt;""),WEEKDAY(L$1,2)=6),1,0),IF(AND((N158&lt;&gt;"")+(O158&lt;&gt;""),WEEKDAY(N$1,2)=6),1,0),IF(AND((P158&lt;&gt;"")+(Q158&lt;&gt;""),WEEKDAY(P$1,2)=6),1,0),IF(AND((R158&lt;&gt;"")+(S158&lt;&gt;""),WEEKDAY(R$1,2)=6),1,0),IF(AND((T158&lt;&gt;"")+(U158&lt;&gt;""),WEEKDAY(T$1,2)=6),1,0),IF(AND((V158&lt;&gt;"")+(W158&lt;&gt;""),WEEKDAY(V$1,2)=6),1,0),IF(AND((X158&lt;&gt;"")+(Y158&lt;&gt;""),WEEKDAY(X$1,2)=6),1,0),IF(AND((Z158&lt;&gt;"")+(AA158&lt;&gt;""),WEEKDAY(Z$1,2)=6),1,0),IF(AND((AB158&lt;&gt;"")+(AC158&lt;&gt;""),WEEKDAY(AB$1,2)=6),1,0),IF(AND((AD158&lt;&gt;"")+(AE158&lt;&gt;""),WEEKDAY(AD$1,2)=6),1,0),IF(AND((AF158&lt;&gt;"")+(AG158&lt;&gt;""),WEEKDAY(AF$1,2)=6),1,0),IF(AND((AH158&lt;&gt;"")+(AI158&lt;&gt;""),WEEKDAY(AH$1,2)=6),1,0),IF(AND((AJ158&lt;&gt;"")+(AK158&lt;&gt;""),WEEKDAY(AJ$1,2)=6),1,0),IF(AND((AL158&lt;&gt;"")+(AM158&lt;&gt;""),WEEKDAY(AL$1,2)=6),1,0),IF(AND((AN158&lt;&gt;"")+(AO158&lt;&gt;""),WEEKDAY(AN$1,2)=6),1,0),IF(AND((AP158&lt;&gt;"")+(AQ158&lt;&gt;""),WEEKDAY(AP$1,2)=6),1,0),IF(AND((AR158&lt;&gt;"")+(AS158&lt;&gt;""),WEEKDAY(AR$1,2)=6),1,0),IF(AND((AT158&lt;&gt;"")+(AU158&lt;&gt;""),WEEKDAY(AT$1,2)=6),1,0),IF(AND((AV158&lt;&gt;"")+(AW158&lt;&gt;""),WEEKDAY(AV$1,2)=6),1,0),IF(AND((AX158&lt;&gt;"")+(AY158&lt;&gt;""),WEEKDAY(AX$1,2)=6),1,0),IF(AND((AZ158&lt;&gt;"")+(BA158&lt;&gt;""),WEEKDAY(AZ$1,2)=6),1,0),IF(AND((BB158&lt;&gt;"")+(BC158&lt;&gt;""),WEEKDAY(BB$1,2)=6),1,0),IF(AND((BD158&lt;&gt;"")+(BE158&lt;&gt;""),WEEKDAY(BD$1,2)=6),1,0),IF(AND((BF158&lt;&gt;"")+(BG158&lt;&gt;""),WEEKDAY(BF$1,2)=6),1,0),IF(AND((BH158&lt;&gt;"")+(BI158&lt;&gt;""),WEEKDAY(BH$1,2)=6),1,0),IF(AND((BJ158&lt;&gt;"")+(BK158&lt;&gt;""),WEEKDAY(BJ$1,2)=6),1,0),IF(AND((BL158&lt;&gt;"")+(BM158&lt;&gt;""),WEEKDAY(BL$1,2)=6),1,0))</f>
        <v>0</v>
      </c>
    </row>
    <row r="159" spans="1:68" ht="16.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>
        <f>SUM(IF(AND(D159&lt;&gt;"",WEEKDAY(D$1,2)&lt;6),1,0),IF(AND(F159&lt;&gt;"",WEEKDAY(F$1,2)&lt;6),1,0),IF(AND(H159&lt;&gt;"",WEEKDAY(H$1,2)&lt;6),1,0),IF(AND(J159&lt;&gt;"",WEEKDAY(J$1,2)&lt;6),1,0),IF(AND(L159&lt;&gt;"",WEEKDAY(L$1,2)&lt;6),1,0),IF(AND(N159&lt;&gt;"",WEEKDAY(N$1,2)&lt;6),1,0),IF(AND(P159&lt;&gt;"",WEEKDAY(P$1,2)&lt;6),1,0),IF(AND(R159&lt;&gt;"",WEEKDAY(R$1,2)&lt;6),1,0),IF(AND(T159&lt;&gt;"",WEEKDAY(T$1,2)&lt;6),1,0),IF(AND(V159&lt;&gt;"",WEEKDAY(V$1,2)&lt;6),1,0),IF(AND(X159&lt;&gt;"",WEEKDAY(X$1,2)&lt;6),1,0),IF(AND(Z159&lt;&gt;"",WEEKDAY(Z$1,2)&lt;6),1,0),IF(AND(AB159&lt;&gt;"",WEEKDAY(AB$1,2)&lt;6),1,0),IF(AND(AD159&lt;&gt;"",WEEKDAY(AD$1,2)&lt;6),1,0),IF(AND(AF159&lt;&gt;"",WEEKDAY(AF$1,2)&lt;6),1,0),IF(AND(AH159&lt;&gt;"",WEEKDAY(AH$1,2)&lt;6),1,0),IF(AND(AJ159&lt;&gt;"",WEEKDAY(AJ$1,2)&lt;6),1,0),IF(AND(AL159&lt;&gt;"",WEEKDAY(AL$1,2)&lt;6),1,0),IF(AND(AN159&lt;&gt;"",WEEKDAY(AN$1,2)&lt;6),1,0),IF(AND(AP159&lt;&gt;"",WEEKDAY(AP$1,2)&lt;6),1,0),IF(AND(AR159&lt;&gt;"",WEEKDAY(AR$1,2)&lt;6),1,0),IF(AND(AT159&lt;&gt;"",WEEKDAY(AT$1,2)&lt;6),1,0),IF(AND(AV159&lt;&gt;"",WEEKDAY(AV$1,2)&lt;6),1,0),IF(AND(AX159&lt;&gt;"",WEEKDAY(AX$1,2)&lt;6),1,0),IF(AND(AZ159&lt;&gt;"",WEEKDAY(AZ$1,2)&lt;6),1,0),IF(AND(BB159&lt;&gt;"",WEEKDAY(BB$1,2)&lt;6),1,0),IF(AND(BD159&lt;&gt;"",WEEKDAY(BD$1,2)&lt;6),1,0),IF(AND(BF159&lt;&gt;"",WEEKDAY(BF$1,2)&lt;6),1,0),IF(AND(BH159&lt;&gt;"",WEEKDAY(BH$1,2)&lt;6),1,0),IF(AND(BJ159&lt;&gt;"",WEEKDAY(BJ$1,2)&lt;6),1,0),IF(AND(BL159&lt;&gt;"",WEEKDAY(BL$1,2)&lt;6),1,0))</f>
        <v>0</v>
      </c>
      <c r="BO159" s="85">
        <f>SUM(IF(AND(E159&lt;&gt;"",WEEKDAY(D$1,2)&lt;6),1,0),IF(AND(G159&lt;&gt;"",WEEKDAY(F$1,2)&lt;6),1,0),IF(AND(I159&lt;&gt;"",WEEKDAY(H$1,2)&lt;6),1,0),IF(AND(K159&lt;&gt;"",WEEKDAY(J$1,2)&lt;6),1,0),IF(AND(M159&lt;&gt;"",WEEKDAY(L$1,2)&lt;6),1,0),IF(AND(O159&lt;&gt;"",WEEKDAY(N$1,2)&lt;6),1,0),IF(AND(Q159&lt;&gt;"",WEEKDAY(P$1,2)&lt;6),1,0),IF(AND(S159&lt;&gt;"",WEEKDAY(R$1,2)&lt;6),1,0),IF(AND(U159&lt;&gt;"",WEEKDAY(T$1,2)&lt;6),1,0),IF(AND(W159&lt;&gt;"",WEEKDAY(V$1,2)&lt;6),1,0),IF(AND(Y159&lt;&gt;"",WEEKDAY(X$1,2)&lt;6),1,0),IF(AND(AA159&lt;&gt;"",WEEKDAY(Z$1,2)&lt;6),1,0),IF(AND(AC159&lt;&gt;"",WEEKDAY(AB$1,2)&lt;6),1,0),IF(AND(AE159&lt;&gt;"",WEEKDAY(AD$1,2)&lt;6),1,0),IF(AND(AG159&lt;&gt;"",WEEKDAY(AF$1,2)&lt;6),1,0),IF(AND(AI159&lt;&gt;"",WEEKDAY(AH$1,2)&lt;6),1,0),IF(AND(AK159&lt;&gt;"",WEEKDAY(AJ$1,2)&lt;6),1,0),IF(AND(AM159&lt;&gt;"",WEEKDAY(AL$1,2)&lt;6),1,0),IF(AND(AO159&lt;&gt;"",WEEKDAY(AN$1,2)&lt;6),1,0),IF(AND(AQ159&lt;&gt;"",WEEKDAY(AP$1,2)&lt;6),1,0),IF(AND(AS159&lt;&gt;"",WEEKDAY(AR$1,2)&lt;6),1,0),IF(AND(AU159&lt;&gt;"",WEEKDAY(AT$1,2)&lt;6),1,0),IF(AND(AW159&lt;&gt;"",WEEKDAY(AV$1,2)&lt;6),1,0),IF(AND(AY159&lt;&gt;"",WEEKDAY(AX$1,2)&lt;6),1,0),IF(AND(BA159&lt;&gt;"",WEEKDAY(AZ$1,2)&lt;6),1,0),IF(AND(BC159&lt;&gt;"",WEEKDAY(BB$1,2)&lt;6),1,0),IF(AND(BE159&lt;&gt;"",WEEKDAY(BD$1,2)&lt;6),1,0),IF(AND(BG159&lt;&gt;"",WEEKDAY(BF$1,2)&lt;6),1,0),IF(AND(BI159&lt;&gt;"",WEEKDAY(BH$1,2)&lt;6),1,0),IF(AND(BK159&lt;&gt;"",WEEKDAY(BJ$1,2)&lt;6),1,0),IF(AND(BM159&lt;&gt;"",WEEKDAY(BL$1,2)&lt;6),1,0))</f>
        <v>0</v>
      </c>
      <c r="BP159" s="85">
        <f>SUM(IF(AND((D159&lt;&gt;"")+(E159&lt;&gt;""),WEEKDAY(D$1,2)=6),1,0),IF(AND((F159&lt;&gt;"")+(G159&lt;&gt;""),WEEKDAY(F$1,2)=6),1,0),IF(AND((H159&lt;&gt;"")+(I159&lt;&gt;""),WEEKDAY(H$1,2)=6),1,0),IF(AND((J159&lt;&gt;"")+(K159&lt;&gt;""),WEEKDAY(J$1,2)=6),1,0),IF(AND((L159&lt;&gt;"")+(M159&lt;&gt;""),WEEKDAY(L$1,2)=6),1,0),IF(AND((N159&lt;&gt;"")+(O159&lt;&gt;""),WEEKDAY(N$1,2)=6),1,0),IF(AND((P159&lt;&gt;"")+(Q159&lt;&gt;""),WEEKDAY(P$1,2)=6),1,0),IF(AND((R159&lt;&gt;"")+(S159&lt;&gt;""),WEEKDAY(R$1,2)=6),1,0),IF(AND((T159&lt;&gt;"")+(U159&lt;&gt;""),WEEKDAY(T$1,2)=6),1,0),IF(AND((V159&lt;&gt;"")+(W159&lt;&gt;""),WEEKDAY(V$1,2)=6),1,0),IF(AND((X159&lt;&gt;"")+(Y159&lt;&gt;""),WEEKDAY(X$1,2)=6),1,0),IF(AND((Z159&lt;&gt;"")+(AA159&lt;&gt;""),WEEKDAY(Z$1,2)=6),1,0),IF(AND((AB159&lt;&gt;"")+(AC159&lt;&gt;""),WEEKDAY(AB$1,2)=6),1,0),IF(AND((AD159&lt;&gt;"")+(AE159&lt;&gt;""),WEEKDAY(AD$1,2)=6),1,0),IF(AND((AF159&lt;&gt;"")+(AG159&lt;&gt;""),WEEKDAY(AF$1,2)=6),1,0),IF(AND((AH159&lt;&gt;"")+(AI159&lt;&gt;""),WEEKDAY(AH$1,2)=6),1,0),IF(AND((AJ159&lt;&gt;"")+(AK159&lt;&gt;""),WEEKDAY(AJ$1,2)=6),1,0),IF(AND((AL159&lt;&gt;"")+(AM159&lt;&gt;""),WEEKDAY(AL$1,2)=6),1,0),IF(AND((AN159&lt;&gt;"")+(AO159&lt;&gt;""),WEEKDAY(AN$1,2)=6),1,0),IF(AND((AP159&lt;&gt;"")+(AQ159&lt;&gt;""),WEEKDAY(AP$1,2)=6),1,0),IF(AND((AR159&lt;&gt;"")+(AS159&lt;&gt;""),WEEKDAY(AR$1,2)=6),1,0),IF(AND((AT159&lt;&gt;"")+(AU159&lt;&gt;""),WEEKDAY(AT$1,2)=6),1,0),IF(AND((AV159&lt;&gt;"")+(AW159&lt;&gt;""),WEEKDAY(AV$1,2)=6),1,0),IF(AND((AX159&lt;&gt;"")+(AY159&lt;&gt;""),WEEKDAY(AX$1,2)=6),1,0),IF(AND((AZ159&lt;&gt;"")+(BA159&lt;&gt;""),WEEKDAY(AZ$1,2)=6),1,0),IF(AND((BB159&lt;&gt;"")+(BC159&lt;&gt;""),WEEKDAY(BB$1,2)=6),1,0),IF(AND((BD159&lt;&gt;"")+(BE159&lt;&gt;""),WEEKDAY(BD$1,2)=6),1,0),IF(AND((BF159&lt;&gt;"")+(BG159&lt;&gt;""),WEEKDAY(BF$1,2)=6),1,0),IF(AND((BH159&lt;&gt;"")+(BI159&lt;&gt;""),WEEKDAY(BH$1,2)=6),1,0),IF(AND((BJ159&lt;&gt;"")+(BK159&lt;&gt;""),WEEKDAY(BJ$1,2)=6),1,0),IF(AND((BL159&lt;&gt;"")+(BM159&lt;&gt;""),WEEKDAY(BL$1,2)=6),1,0))</f>
        <v>0</v>
      </c>
    </row>
    <row r="160" spans="1:68" ht="16.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>
        <f>SUM(IF(AND(D160&lt;&gt;"",WEEKDAY(D$1,2)&lt;6),1,0),IF(AND(F160&lt;&gt;"",WEEKDAY(F$1,2)&lt;6),1,0),IF(AND(H160&lt;&gt;"",WEEKDAY(H$1,2)&lt;6),1,0),IF(AND(J160&lt;&gt;"",WEEKDAY(J$1,2)&lt;6),1,0),IF(AND(L160&lt;&gt;"",WEEKDAY(L$1,2)&lt;6),1,0),IF(AND(N160&lt;&gt;"",WEEKDAY(N$1,2)&lt;6),1,0),IF(AND(P160&lt;&gt;"",WEEKDAY(P$1,2)&lt;6),1,0),IF(AND(R160&lt;&gt;"",WEEKDAY(R$1,2)&lt;6),1,0),IF(AND(T160&lt;&gt;"",WEEKDAY(T$1,2)&lt;6),1,0),IF(AND(V160&lt;&gt;"",WEEKDAY(V$1,2)&lt;6),1,0),IF(AND(X160&lt;&gt;"",WEEKDAY(X$1,2)&lt;6),1,0),IF(AND(Z160&lt;&gt;"",WEEKDAY(Z$1,2)&lt;6),1,0),IF(AND(AB160&lt;&gt;"",WEEKDAY(AB$1,2)&lt;6),1,0),IF(AND(AD160&lt;&gt;"",WEEKDAY(AD$1,2)&lt;6),1,0),IF(AND(AF160&lt;&gt;"",WEEKDAY(AF$1,2)&lt;6),1,0),IF(AND(AH160&lt;&gt;"",WEEKDAY(AH$1,2)&lt;6),1,0),IF(AND(AJ160&lt;&gt;"",WEEKDAY(AJ$1,2)&lt;6),1,0),IF(AND(AL160&lt;&gt;"",WEEKDAY(AL$1,2)&lt;6),1,0),IF(AND(AN160&lt;&gt;"",WEEKDAY(AN$1,2)&lt;6),1,0),IF(AND(AP160&lt;&gt;"",WEEKDAY(AP$1,2)&lt;6),1,0),IF(AND(AR160&lt;&gt;"",WEEKDAY(AR$1,2)&lt;6),1,0),IF(AND(AT160&lt;&gt;"",WEEKDAY(AT$1,2)&lt;6),1,0),IF(AND(AV160&lt;&gt;"",WEEKDAY(AV$1,2)&lt;6),1,0),IF(AND(AX160&lt;&gt;"",WEEKDAY(AX$1,2)&lt;6),1,0),IF(AND(AZ160&lt;&gt;"",WEEKDAY(AZ$1,2)&lt;6),1,0),IF(AND(BB160&lt;&gt;"",WEEKDAY(BB$1,2)&lt;6),1,0),IF(AND(BD160&lt;&gt;"",WEEKDAY(BD$1,2)&lt;6),1,0),IF(AND(BF160&lt;&gt;"",WEEKDAY(BF$1,2)&lt;6),1,0),IF(AND(BH160&lt;&gt;"",WEEKDAY(BH$1,2)&lt;6),1,0),IF(AND(BJ160&lt;&gt;"",WEEKDAY(BJ$1,2)&lt;6),1,0),IF(AND(BL160&lt;&gt;"",WEEKDAY(BL$1,2)&lt;6),1,0))</f>
        <v>0</v>
      </c>
      <c r="BO160" s="85">
        <f>SUM(IF(AND(E160&lt;&gt;"",WEEKDAY(D$1,2)&lt;6),1,0),IF(AND(G160&lt;&gt;"",WEEKDAY(F$1,2)&lt;6),1,0),IF(AND(I160&lt;&gt;"",WEEKDAY(H$1,2)&lt;6),1,0),IF(AND(K160&lt;&gt;"",WEEKDAY(J$1,2)&lt;6),1,0),IF(AND(M160&lt;&gt;"",WEEKDAY(L$1,2)&lt;6),1,0),IF(AND(O160&lt;&gt;"",WEEKDAY(N$1,2)&lt;6),1,0),IF(AND(Q160&lt;&gt;"",WEEKDAY(P$1,2)&lt;6),1,0),IF(AND(S160&lt;&gt;"",WEEKDAY(R$1,2)&lt;6),1,0),IF(AND(U160&lt;&gt;"",WEEKDAY(T$1,2)&lt;6),1,0),IF(AND(W160&lt;&gt;"",WEEKDAY(V$1,2)&lt;6),1,0),IF(AND(Y160&lt;&gt;"",WEEKDAY(X$1,2)&lt;6),1,0),IF(AND(AA160&lt;&gt;"",WEEKDAY(Z$1,2)&lt;6),1,0),IF(AND(AC160&lt;&gt;"",WEEKDAY(AB$1,2)&lt;6),1,0),IF(AND(AE160&lt;&gt;"",WEEKDAY(AD$1,2)&lt;6),1,0),IF(AND(AG160&lt;&gt;"",WEEKDAY(AF$1,2)&lt;6),1,0),IF(AND(AI160&lt;&gt;"",WEEKDAY(AH$1,2)&lt;6),1,0),IF(AND(AK160&lt;&gt;"",WEEKDAY(AJ$1,2)&lt;6),1,0),IF(AND(AM160&lt;&gt;"",WEEKDAY(AL$1,2)&lt;6),1,0),IF(AND(AO160&lt;&gt;"",WEEKDAY(AN$1,2)&lt;6),1,0),IF(AND(AQ160&lt;&gt;"",WEEKDAY(AP$1,2)&lt;6),1,0),IF(AND(AS160&lt;&gt;"",WEEKDAY(AR$1,2)&lt;6),1,0),IF(AND(AU160&lt;&gt;"",WEEKDAY(AT$1,2)&lt;6),1,0),IF(AND(AW160&lt;&gt;"",WEEKDAY(AV$1,2)&lt;6),1,0),IF(AND(AY160&lt;&gt;"",WEEKDAY(AX$1,2)&lt;6),1,0),IF(AND(BA160&lt;&gt;"",WEEKDAY(AZ$1,2)&lt;6),1,0),IF(AND(BC160&lt;&gt;"",WEEKDAY(BB$1,2)&lt;6),1,0),IF(AND(BE160&lt;&gt;"",WEEKDAY(BD$1,2)&lt;6),1,0),IF(AND(BG160&lt;&gt;"",WEEKDAY(BF$1,2)&lt;6),1,0),IF(AND(BI160&lt;&gt;"",WEEKDAY(BH$1,2)&lt;6),1,0),IF(AND(BK160&lt;&gt;"",WEEKDAY(BJ$1,2)&lt;6),1,0),IF(AND(BM160&lt;&gt;"",WEEKDAY(BL$1,2)&lt;6),1,0))</f>
        <v>0</v>
      </c>
      <c r="BP160" s="85">
        <f>SUM(IF(AND((D160&lt;&gt;"")+(E160&lt;&gt;""),WEEKDAY(D$1,2)=6),1,0),IF(AND((F160&lt;&gt;"")+(G160&lt;&gt;""),WEEKDAY(F$1,2)=6),1,0),IF(AND((H160&lt;&gt;"")+(I160&lt;&gt;""),WEEKDAY(H$1,2)=6),1,0),IF(AND((J160&lt;&gt;"")+(K160&lt;&gt;""),WEEKDAY(J$1,2)=6),1,0),IF(AND((L160&lt;&gt;"")+(M160&lt;&gt;""),WEEKDAY(L$1,2)=6),1,0),IF(AND((N160&lt;&gt;"")+(O160&lt;&gt;""),WEEKDAY(N$1,2)=6),1,0),IF(AND((P160&lt;&gt;"")+(Q160&lt;&gt;""),WEEKDAY(P$1,2)=6),1,0),IF(AND((R160&lt;&gt;"")+(S160&lt;&gt;""),WEEKDAY(R$1,2)=6),1,0),IF(AND((T160&lt;&gt;"")+(U160&lt;&gt;""),WEEKDAY(T$1,2)=6),1,0),IF(AND((V160&lt;&gt;"")+(W160&lt;&gt;""),WEEKDAY(V$1,2)=6),1,0),IF(AND((X160&lt;&gt;"")+(Y160&lt;&gt;""),WEEKDAY(X$1,2)=6),1,0),IF(AND((Z160&lt;&gt;"")+(AA160&lt;&gt;""),WEEKDAY(Z$1,2)=6),1,0),IF(AND((AB160&lt;&gt;"")+(AC160&lt;&gt;""),WEEKDAY(AB$1,2)=6),1,0),IF(AND((AD160&lt;&gt;"")+(AE160&lt;&gt;""),WEEKDAY(AD$1,2)=6),1,0),IF(AND((AF160&lt;&gt;"")+(AG160&lt;&gt;""),WEEKDAY(AF$1,2)=6),1,0),IF(AND((AH160&lt;&gt;"")+(AI160&lt;&gt;""),WEEKDAY(AH$1,2)=6),1,0),IF(AND((AJ160&lt;&gt;"")+(AK160&lt;&gt;""),WEEKDAY(AJ$1,2)=6),1,0),IF(AND((AL160&lt;&gt;"")+(AM160&lt;&gt;""),WEEKDAY(AL$1,2)=6),1,0),IF(AND((AN160&lt;&gt;"")+(AO160&lt;&gt;""),WEEKDAY(AN$1,2)=6),1,0),IF(AND((AP160&lt;&gt;"")+(AQ160&lt;&gt;""),WEEKDAY(AP$1,2)=6),1,0),IF(AND((AR160&lt;&gt;"")+(AS160&lt;&gt;""),WEEKDAY(AR$1,2)=6),1,0),IF(AND((AT160&lt;&gt;"")+(AU160&lt;&gt;""),WEEKDAY(AT$1,2)=6),1,0),IF(AND((AV160&lt;&gt;"")+(AW160&lt;&gt;""),WEEKDAY(AV$1,2)=6),1,0),IF(AND((AX160&lt;&gt;"")+(AY160&lt;&gt;""),WEEKDAY(AX$1,2)=6),1,0),IF(AND((AZ160&lt;&gt;"")+(BA160&lt;&gt;""),WEEKDAY(AZ$1,2)=6),1,0),IF(AND((BB160&lt;&gt;"")+(BC160&lt;&gt;""),WEEKDAY(BB$1,2)=6),1,0),IF(AND((BD160&lt;&gt;"")+(BE160&lt;&gt;""),WEEKDAY(BD$1,2)=6),1,0),IF(AND((BF160&lt;&gt;"")+(BG160&lt;&gt;""),WEEKDAY(BF$1,2)=6),1,0),IF(AND((BH160&lt;&gt;"")+(BI160&lt;&gt;""),WEEKDAY(BH$1,2)=6),1,0),IF(AND((BJ160&lt;&gt;"")+(BK160&lt;&gt;""),WEEKDAY(BJ$1,2)=6),1,0),IF(AND((BL160&lt;&gt;"")+(BM160&lt;&gt;""),WEEKDAY(BL$1,2)=6),1,0))</f>
        <v>0</v>
      </c>
    </row>
    <row r="161" spans="1:68" ht="16.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>
        <f>SUM(IF(AND(D161&lt;&gt;"",WEEKDAY(D$1,2)&lt;6),1,0),IF(AND(F161&lt;&gt;"",WEEKDAY(F$1,2)&lt;6),1,0),IF(AND(H161&lt;&gt;"",WEEKDAY(H$1,2)&lt;6),1,0),IF(AND(J161&lt;&gt;"",WEEKDAY(J$1,2)&lt;6),1,0),IF(AND(L161&lt;&gt;"",WEEKDAY(L$1,2)&lt;6),1,0),IF(AND(N161&lt;&gt;"",WEEKDAY(N$1,2)&lt;6),1,0),IF(AND(P161&lt;&gt;"",WEEKDAY(P$1,2)&lt;6),1,0),IF(AND(R161&lt;&gt;"",WEEKDAY(R$1,2)&lt;6),1,0),IF(AND(T161&lt;&gt;"",WEEKDAY(T$1,2)&lt;6),1,0),IF(AND(V161&lt;&gt;"",WEEKDAY(V$1,2)&lt;6),1,0),IF(AND(X161&lt;&gt;"",WEEKDAY(X$1,2)&lt;6),1,0),IF(AND(Z161&lt;&gt;"",WEEKDAY(Z$1,2)&lt;6),1,0),IF(AND(AB161&lt;&gt;"",WEEKDAY(AB$1,2)&lt;6),1,0),IF(AND(AD161&lt;&gt;"",WEEKDAY(AD$1,2)&lt;6),1,0),IF(AND(AF161&lt;&gt;"",WEEKDAY(AF$1,2)&lt;6),1,0),IF(AND(AH161&lt;&gt;"",WEEKDAY(AH$1,2)&lt;6),1,0),IF(AND(AJ161&lt;&gt;"",WEEKDAY(AJ$1,2)&lt;6),1,0),IF(AND(AL161&lt;&gt;"",WEEKDAY(AL$1,2)&lt;6),1,0),IF(AND(AN161&lt;&gt;"",WEEKDAY(AN$1,2)&lt;6),1,0),IF(AND(AP161&lt;&gt;"",WEEKDAY(AP$1,2)&lt;6),1,0),IF(AND(AR161&lt;&gt;"",WEEKDAY(AR$1,2)&lt;6),1,0),IF(AND(AT161&lt;&gt;"",WEEKDAY(AT$1,2)&lt;6),1,0),IF(AND(AV161&lt;&gt;"",WEEKDAY(AV$1,2)&lt;6),1,0),IF(AND(AX161&lt;&gt;"",WEEKDAY(AX$1,2)&lt;6),1,0),IF(AND(AZ161&lt;&gt;"",WEEKDAY(AZ$1,2)&lt;6),1,0),IF(AND(BB161&lt;&gt;"",WEEKDAY(BB$1,2)&lt;6),1,0),IF(AND(BD161&lt;&gt;"",WEEKDAY(BD$1,2)&lt;6),1,0),IF(AND(BF161&lt;&gt;"",WEEKDAY(BF$1,2)&lt;6),1,0),IF(AND(BH161&lt;&gt;"",WEEKDAY(BH$1,2)&lt;6),1,0),IF(AND(BJ161&lt;&gt;"",WEEKDAY(BJ$1,2)&lt;6),1,0),IF(AND(BL161&lt;&gt;"",WEEKDAY(BL$1,2)&lt;6),1,0))</f>
        <v>0</v>
      </c>
      <c r="BO161" s="85">
        <f>SUM(IF(AND(E161&lt;&gt;"",WEEKDAY(D$1,2)&lt;6),1,0),IF(AND(G161&lt;&gt;"",WEEKDAY(F$1,2)&lt;6),1,0),IF(AND(I161&lt;&gt;"",WEEKDAY(H$1,2)&lt;6),1,0),IF(AND(K161&lt;&gt;"",WEEKDAY(J$1,2)&lt;6),1,0),IF(AND(M161&lt;&gt;"",WEEKDAY(L$1,2)&lt;6),1,0),IF(AND(O161&lt;&gt;"",WEEKDAY(N$1,2)&lt;6),1,0),IF(AND(Q161&lt;&gt;"",WEEKDAY(P$1,2)&lt;6),1,0),IF(AND(S161&lt;&gt;"",WEEKDAY(R$1,2)&lt;6),1,0),IF(AND(U161&lt;&gt;"",WEEKDAY(T$1,2)&lt;6),1,0),IF(AND(W161&lt;&gt;"",WEEKDAY(V$1,2)&lt;6),1,0),IF(AND(Y161&lt;&gt;"",WEEKDAY(X$1,2)&lt;6),1,0),IF(AND(AA161&lt;&gt;"",WEEKDAY(Z$1,2)&lt;6),1,0),IF(AND(AC161&lt;&gt;"",WEEKDAY(AB$1,2)&lt;6),1,0),IF(AND(AE161&lt;&gt;"",WEEKDAY(AD$1,2)&lt;6),1,0),IF(AND(AG161&lt;&gt;"",WEEKDAY(AF$1,2)&lt;6),1,0),IF(AND(AI161&lt;&gt;"",WEEKDAY(AH$1,2)&lt;6),1,0),IF(AND(AK161&lt;&gt;"",WEEKDAY(AJ$1,2)&lt;6),1,0),IF(AND(AM161&lt;&gt;"",WEEKDAY(AL$1,2)&lt;6),1,0),IF(AND(AO161&lt;&gt;"",WEEKDAY(AN$1,2)&lt;6),1,0),IF(AND(AQ161&lt;&gt;"",WEEKDAY(AP$1,2)&lt;6),1,0),IF(AND(AS161&lt;&gt;"",WEEKDAY(AR$1,2)&lt;6),1,0),IF(AND(AU161&lt;&gt;"",WEEKDAY(AT$1,2)&lt;6),1,0),IF(AND(AW161&lt;&gt;"",WEEKDAY(AV$1,2)&lt;6),1,0),IF(AND(AY161&lt;&gt;"",WEEKDAY(AX$1,2)&lt;6),1,0),IF(AND(BA161&lt;&gt;"",WEEKDAY(AZ$1,2)&lt;6),1,0),IF(AND(BC161&lt;&gt;"",WEEKDAY(BB$1,2)&lt;6),1,0),IF(AND(BE161&lt;&gt;"",WEEKDAY(BD$1,2)&lt;6),1,0),IF(AND(BG161&lt;&gt;"",WEEKDAY(BF$1,2)&lt;6),1,0),IF(AND(BI161&lt;&gt;"",WEEKDAY(BH$1,2)&lt;6),1,0),IF(AND(BK161&lt;&gt;"",WEEKDAY(BJ$1,2)&lt;6),1,0),IF(AND(BM161&lt;&gt;"",WEEKDAY(BL$1,2)&lt;6),1,0))</f>
        <v>0</v>
      </c>
      <c r="BP161" s="85">
        <f>SUM(IF(AND((D161&lt;&gt;"")+(E161&lt;&gt;""),WEEKDAY(D$1,2)=6),1,0),IF(AND((F161&lt;&gt;"")+(G161&lt;&gt;""),WEEKDAY(F$1,2)=6),1,0),IF(AND((H161&lt;&gt;"")+(I161&lt;&gt;""),WEEKDAY(H$1,2)=6),1,0),IF(AND((J161&lt;&gt;"")+(K161&lt;&gt;""),WEEKDAY(J$1,2)=6),1,0),IF(AND((L161&lt;&gt;"")+(M161&lt;&gt;""),WEEKDAY(L$1,2)=6),1,0),IF(AND((N161&lt;&gt;"")+(O161&lt;&gt;""),WEEKDAY(N$1,2)=6),1,0),IF(AND((P161&lt;&gt;"")+(Q161&lt;&gt;""),WEEKDAY(P$1,2)=6),1,0),IF(AND((R161&lt;&gt;"")+(S161&lt;&gt;""),WEEKDAY(R$1,2)=6),1,0),IF(AND((T161&lt;&gt;"")+(U161&lt;&gt;""),WEEKDAY(T$1,2)=6),1,0),IF(AND((V161&lt;&gt;"")+(W161&lt;&gt;""),WEEKDAY(V$1,2)=6),1,0),IF(AND((X161&lt;&gt;"")+(Y161&lt;&gt;""),WEEKDAY(X$1,2)=6),1,0),IF(AND((Z161&lt;&gt;"")+(AA161&lt;&gt;""),WEEKDAY(Z$1,2)=6),1,0),IF(AND((AB161&lt;&gt;"")+(AC161&lt;&gt;""),WEEKDAY(AB$1,2)=6),1,0),IF(AND((AD161&lt;&gt;"")+(AE161&lt;&gt;""),WEEKDAY(AD$1,2)=6),1,0),IF(AND((AF161&lt;&gt;"")+(AG161&lt;&gt;""),WEEKDAY(AF$1,2)=6),1,0),IF(AND((AH161&lt;&gt;"")+(AI161&lt;&gt;""),WEEKDAY(AH$1,2)=6),1,0),IF(AND((AJ161&lt;&gt;"")+(AK161&lt;&gt;""),WEEKDAY(AJ$1,2)=6),1,0),IF(AND((AL161&lt;&gt;"")+(AM161&lt;&gt;""),WEEKDAY(AL$1,2)=6),1,0),IF(AND((AN161&lt;&gt;"")+(AO161&lt;&gt;""),WEEKDAY(AN$1,2)=6),1,0),IF(AND((AP161&lt;&gt;"")+(AQ161&lt;&gt;""),WEEKDAY(AP$1,2)=6),1,0),IF(AND((AR161&lt;&gt;"")+(AS161&lt;&gt;""),WEEKDAY(AR$1,2)=6),1,0),IF(AND((AT161&lt;&gt;"")+(AU161&lt;&gt;""),WEEKDAY(AT$1,2)=6),1,0),IF(AND((AV161&lt;&gt;"")+(AW161&lt;&gt;""),WEEKDAY(AV$1,2)=6),1,0),IF(AND((AX161&lt;&gt;"")+(AY161&lt;&gt;""),WEEKDAY(AX$1,2)=6),1,0),IF(AND((AZ161&lt;&gt;"")+(BA161&lt;&gt;""),WEEKDAY(AZ$1,2)=6),1,0),IF(AND((BB161&lt;&gt;"")+(BC161&lt;&gt;""),WEEKDAY(BB$1,2)=6),1,0),IF(AND((BD161&lt;&gt;"")+(BE161&lt;&gt;""),WEEKDAY(BD$1,2)=6),1,0),IF(AND((BF161&lt;&gt;"")+(BG161&lt;&gt;""),WEEKDAY(BF$1,2)=6),1,0),IF(AND((BH161&lt;&gt;"")+(BI161&lt;&gt;""),WEEKDAY(BH$1,2)=6),1,0),IF(AND((BJ161&lt;&gt;"")+(BK161&lt;&gt;""),WEEKDAY(BJ$1,2)=6),1,0),IF(AND((BL161&lt;&gt;"")+(BM161&lt;&gt;""),WEEKDAY(BL$1,2)=6),1,0))</f>
        <v>0</v>
      </c>
    </row>
    <row r="162" spans="1:68" ht="16.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>
        <f>SUM(IF(AND(D162&lt;&gt;"",WEEKDAY(D$1,2)&lt;6),1,0),IF(AND(F162&lt;&gt;"",WEEKDAY(F$1,2)&lt;6),1,0),IF(AND(H162&lt;&gt;"",WEEKDAY(H$1,2)&lt;6),1,0),IF(AND(J162&lt;&gt;"",WEEKDAY(J$1,2)&lt;6),1,0),IF(AND(L162&lt;&gt;"",WEEKDAY(L$1,2)&lt;6),1,0),IF(AND(N162&lt;&gt;"",WEEKDAY(N$1,2)&lt;6),1,0),IF(AND(P162&lt;&gt;"",WEEKDAY(P$1,2)&lt;6),1,0),IF(AND(R162&lt;&gt;"",WEEKDAY(R$1,2)&lt;6),1,0),IF(AND(T162&lt;&gt;"",WEEKDAY(T$1,2)&lt;6),1,0),IF(AND(V162&lt;&gt;"",WEEKDAY(V$1,2)&lt;6),1,0),IF(AND(X162&lt;&gt;"",WEEKDAY(X$1,2)&lt;6),1,0),IF(AND(Z162&lt;&gt;"",WEEKDAY(Z$1,2)&lt;6),1,0),IF(AND(AB162&lt;&gt;"",WEEKDAY(AB$1,2)&lt;6),1,0),IF(AND(AD162&lt;&gt;"",WEEKDAY(AD$1,2)&lt;6),1,0),IF(AND(AF162&lt;&gt;"",WEEKDAY(AF$1,2)&lt;6),1,0),IF(AND(AH162&lt;&gt;"",WEEKDAY(AH$1,2)&lt;6),1,0),IF(AND(AJ162&lt;&gt;"",WEEKDAY(AJ$1,2)&lt;6),1,0),IF(AND(AL162&lt;&gt;"",WEEKDAY(AL$1,2)&lt;6),1,0),IF(AND(AN162&lt;&gt;"",WEEKDAY(AN$1,2)&lt;6),1,0),IF(AND(AP162&lt;&gt;"",WEEKDAY(AP$1,2)&lt;6),1,0),IF(AND(AR162&lt;&gt;"",WEEKDAY(AR$1,2)&lt;6),1,0),IF(AND(AT162&lt;&gt;"",WEEKDAY(AT$1,2)&lt;6),1,0),IF(AND(AV162&lt;&gt;"",WEEKDAY(AV$1,2)&lt;6),1,0),IF(AND(AX162&lt;&gt;"",WEEKDAY(AX$1,2)&lt;6),1,0),IF(AND(AZ162&lt;&gt;"",WEEKDAY(AZ$1,2)&lt;6),1,0),IF(AND(BB162&lt;&gt;"",WEEKDAY(BB$1,2)&lt;6),1,0),IF(AND(BD162&lt;&gt;"",WEEKDAY(BD$1,2)&lt;6),1,0),IF(AND(BF162&lt;&gt;"",WEEKDAY(BF$1,2)&lt;6),1,0),IF(AND(BH162&lt;&gt;"",WEEKDAY(BH$1,2)&lt;6),1,0),IF(AND(BJ162&lt;&gt;"",WEEKDAY(BJ$1,2)&lt;6),1,0),IF(AND(BL162&lt;&gt;"",WEEKDAY(BL$1,2)&lt;6),1,0))</f>
        <v>0</v>
      </c>
      <c r="BO162" s="85">
        <f>SUM(IF(AND(E162&lt;&gt;"",WEEKDAY(D$1,2)&lt;6),1,0),IF(AND(G162&lt;&gt;"",WEEKDAY(F$1,2)&lt;6),1,0),IF(AND(I162&lt;&gt;"",WEEKDAY(H$1,2)&lt;6),1,0),IF(AND(K162&lt;&gt;"",WEEKDAY(J$1,2)&lt;6),1,0),IF(AND(M162&lt;&gt;"",WEEKDAY(L$1,2)&lt;6),1,0),IF(AND(O162&lt;&gt;"",WEEKDAY(N$1,2)&lt;6),1,0),IF(AND(Q162&lt;&gt;"",WEEKDAY(P$1,2)&lt;6),1,0),IF(AND(S162&lt;&gt;"",WEEKDAY(R$1,2)&lt;6),1,0),IF(AND(U162&lt;&gt;"",WEEKDAY(T$1,2)&lt;6),1,0),IF(AND(W162&lt;&gt;"",WEEKDAY(V$1,2)&lt;6),1,0),IF(AND(Y162&lt;&gt;"",WEEKDAY(X$1,2)&lt;6),1,0),IF(AND(AA162&lt;&gt;"",WEEKDAY(Z$1,2)&lt;6),1,0),IF(AND(AC162&lt;&gt;"",WEEKDAY(AB$1,2)&lt;6),1,0),IF(AND(AE162&lt;&gt;"",WEEKDAY(AD$1,2)&lt;6),1,0),IF(AND(AG162&lt;&gt;"",WEEKDAY(AF$1,2)&lt;6),1,0),IF(AND(AI162&lt;&gt;"",WEEKDAY(AH$1,2)&lt;6),1,0),IF(AND(AK162&lt;&gt;"",WEEKDAY(AJ$1,2)&lt;6),1,0),IF(AND(AM162&lt;&gt;"",WEEKDAY(AL$1,2)&lt;6),1,0),IF(AND(AO162&lt;&gt;"",WEEKDAY(AN$1,2)&lt;6),1,0),IF(AND(AQ162&lt;&gt;"",WEEKDAY(AP$1,2)&lt;6),1,0),IF(AND(AS162&lt;&gt;"",WEEKDAY(AR$1,2)&lt;6),1,0),IF(AND(AU162&lt;&gt;"",WEEKDAY(AT$1,2)&lt;6),1,0),IF(AND(AW162&lt;&gt;"",WEEKDAY(AV$1,2)&lt;6),1,0),IF(AND(AY162&lt;&gt;"",WEEKDAY(AX$1,2)&lt;6),1,0),IF(AND(BA162&lt;&gt;"",WEEKDAY(AZ$1,2)&lt;6),1,0),IF(AND(BC162&lt;&gt;"",WEEKDAY(BB$1,2)&lt;6),1,0),IF(AND(BE162&lt;&gt;"",WEEKDAY(BD$1,2)&lt;6),1,0),IF(AND(BG162&lt;&gt;"",WEEKDAY(BF$1,2)&lt;6),1,0),IF(AND(BI162&lt;&gt;"",WEEKDAY(BH$1,2)&lt;6),1,0),IF(AND(BK162&lt;&gt;"",WEEKDAY(BJ$1,2)&lt;6),1,0),IF(AND(BM162&lt;&gt;"",WEEKDAY(BL$1,2)&lt;6),1,0))</f>
        <v>0</v>
      </c>
      <c r="BP162" s="85">
        <f>SUM(IF(AND((D162&lt;&gt;"")+(E162&lt;&gt;""),WEEKDAY(D$1,2)=6),1,0),IF(AND((F162&lt;&gt;"")+(G162&lt;&gt;""),WEEKDAY(F$1,2)=6),1,0),IF(AND((H162&lt;&gt;"")+(I162&lt;&gt;""),WEEKDAY(H$1,2)=6),1,0),IF(AND((J162&lt;&gt;"")+(K162&lt;&gt;""),WEEKDAY(J$1,2)=6),1,0),IF(AND((L162&lt;&gt;"")+(M162&lt;&gt;""),WEEKDAY(L$1,2)=6),1,0),IF(AND((N162&lt;&gt;"")+(O162&lt;&gt;""),WEEKDAY(N$1,2)=6),1,0),IF(AND((P162&lt;&gt;"")+(Q162&lt;&gt;""),WEEKDAY(P$1,2)=6),1,0),IF(AND((R162&lt;&gt;"")+(S162&lt;&gt;""),WEEKDAY(R$1,2)=6),1,0),IF(AND((T162&lt;&gt;"")+(U162&lt;&gt;""),WEEKDAY(T$1,2)=6),1,0),IF(AND((V162&lt;&gt;"")+(W162&lt;&gt;""),WEEKDAY(V$1,2)=6),1,0),IF(AND((X162&lt;&gt;"")+(Y162&lt;&gt;""),WEEKDAY(X$1,2)=6),1,0),IF(AND((Z162&lt;&gt;"")+(AA162&lt;&gt;""),WEEKDAY(Z$1,2)=6),1,0),IF(AND((AB162&lt;&gt;"")+(AC162&lt;&gt;""),WEEKDAY(AB$1,2)=6),1,0),IF(AND((AD162&lt;&gt;"")+(AE162&lt;&gt;""),WEEKDAY(AD$1,2)=6),1,0),IF(AND((AF162&lt;&gt;"")+(AG162&lt;&gt;""),WEEKDAY(AF$1,2)=6),1,0),IF(AND((AH162&lt;&gt;"")+(AI162&lt;&gt;""),WEEKDAY(AH$1,2)=6),1,0),IF(AND((AJ162&lt;&gt;"")+(AK162&lt;&gt;""),WEEKDAY(AJ$1,2)=6),1,0),IF(AND((AL162&lt;&gt;"")+(AM162&lt;&gt;""),WEEKDAY(AL$1,2)=6),1,0),IF(AND((AN162&lt;&gt;"")+(AO162&lt;&gt;""),WEEKDAY(AN$1,2)=6),1,0),IF(AND((AP162&lt;&gt;"")+(AQ162&lt;&gt;""),WEEKDAY(AP$1,2)=6),1,0),IF(AND((AR162&lt;&gt;"")+(AS162&lt;&gt;""),WEEKDAY(AR$1,2)=6),1,0),IF(AND((AT162&lt;&gt;"")+(AU162&lt;&gt;""),WEEKDAY(AT$1,2)=6),1,0),IF(AND((AV162&lt;&gt;"")+(AW162&lt;&gt;""),WEEKDAY(AV$1,2)=6),1,0),IF(AND((AX162&lt;&gt;"")+(AY162&lt;&gt;""),WEEKDAY(AX$1,2)=6),1,0),IF(AND((AZ162&lt;&gt;"")+(BA162&lt;&gt;""),WEEKDAY(AZ$1,2)=6),1,0),IF(AND((BB162&lt;&gt;"")+(BC162&lt;&gt;""),WEEKDAY(BB$1,2)=6),1,0),IF(AND((BD162&lt;&gt;"")+(BE162&lt;&gt;""),WEEKDAY(BD$1,2)=6),1,0),IF(AND((BF162&lt;&gt;"")+(BG162&lt;&gt;""),WEEKDAY(BF$1,2)=6),1,0),IF(AND((BH162&lt;&gt;"")+(BI162&lt;&gt;""),WEEKDAY(BH$1,2)=6),1,0),IF(AND((BJ162&lt;&gt;"")+(BK162&lt;&gt;""),WEEKDAY(BJ$1,2)=6),1,0),IF(AND((BL162&lt;&gt;"")+(BM162&lt;&gt;""),WEEKDAY(BL$1,2)=6),1,0))</f>
        <v>0</v>
      </c>
    </row>
    <row r="163" spans="1:68" ht="16.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>
        <f>SUM(IF(AND(D163&lt;&gt;"",WEEKDAY(D$1,2)&lt;6),1,0),IF(AND(F163&lt;&gt;"",WEEKDAY(F$1,2)&lt;6),1,0),IF(AND(H163&lt;&gt;"",WEEKDAY(H$1,2)&lt;6),1,0),IF(AND(J163&lt;&gt;"",WEEKDAY(J$1,2)&lt;6),1,0),IF(AND(L163&lt;&gt;"",WEEKDAY(L$1,2)&lt;6),1,0),IF(AND(N163&lt;&gt;"",WEEKDAY(N$1,2)&lt;6),1,0),IF(AND(P163&lt;&gt;"",WEEKDAY(P$1,2)&lt;6),1,0),IF(AND(R163&lt;&gt;"",WEEKDAY(R$1,2)&lt;6),1,0),IF(AND(T163&lt;&gt;"",WEEKDAY(T$1,2)&lt;6),1,0),IF(AND(V163&lt;&gt;"",WEEKDAY(V$1,2)&lt;6),1,0),IF(AND(X163&lt;&gt;"",WEEKDAY(X$1,2)&lt;6),1,0),IF(AND(Z163&lt;&gt;"",WEEKDAY(Z$1,2)&lt;6),1,0),IF(AND(AB163&lt;&gt;"",WEEKDAY(AB$1,2)&lt;6),1,0),IF(AND(AD163&lt;&gt;"",WEEKDAY(AD$1,2)&lt;6),1,0),IF(AND(AF163&lt;&gt;"",WEEKDAY(AF$1,2)&lt;6),1,0),IF(AND(AH163&lt;&gt;"",WEEKDAY(AH$1,2)&lt;6),1,0),IF(AND(AJ163&lt;&gt;"",WEEKDAY(AJ$1,2)&lt;6),1,0),IF(AND(AL163&lt;&gt;"",WEEKDAY(AL$1,2)&lt;6),1,0),IF(AND(AN163&lt;&gt;"",WEEKDAY(AN$1,2)&lt;6),1,0),IF(AND(AP163&lt;&gt;"",WEEKDAY(AP$1,2)&lt;6),1,0),IF(AND(AR163&lt;&gt;"",WEEKDAY(AR$1,2)&lt;6),1,0),IF(AND(AT163&lt;&gt;"",WEEKDAY(AT$1,2)&lt;6),1,0),IF(AND(AV163&lt;&gt;"",WEEKDAY(AV$1,2)&lt;6),1,0),IF(AND(AX163&lt;&gt;"",WEEKDAY(AX$1,2)&lt;6),1,0),IF(AND(AZ163&lt;&gt;"",WEEKDAY(AZ$1,2)&lt;6),1,0),IF(AND(BB163&lt;&gt;"",WEEKDAY(BB$1,2)&lt;6),1,0),IF(AND(BD163&lt;&gt;"",WEEKDAY(BD$1,2)&lt;6),1,0),IF(AND(BF163&lt;&gt;"",WEEKDAY(BF$1,2)&lt;6),1,0),IF(AND(BH163&lt;&gt;"",WEEKDAY(BH$1,2)&lt;6),1,0),IF(AND(BJ163&lt;&gt;"",WEEKDAY(BJ$1,2)&lt;6),1,0),IF(AND(BL163&lt;&gt;"",WEEKDAY(BL$1,2)&lt;6),1,0))</f>
        <v>0</v>
      </c>
      <c r="BO163" s="85">
        <f>SUM(IF(AND(E163&lt;&gt;"",WEEKDAY(D$1,2)&lt;6),1,0),IF(AND(G163&lt;&gt;"",WEEKDAY(F$1,2)&lt;6),1,0),IF(AND(I163&lt;&gt;"",WEEKDAY(H$1,2)&lt;6),1,0),IF(AND(K163&lt;&gt;"",WEEKDAY(J$1,2)&lt;6),1,0),IF(AND(M163&lt;&gt;"",WEEKDAY(L$1,2)&lt;6),1,0),IF(AND(O163&lt;&gt;"",WEEKDAY(N$1,2)&lt;6),1,0),IF(AND(Q163&lt;&gt;"",WEEKDAY(P$1,2)&lt;6),1,0),IF(AND(S163&lt;&gt;"",WEEKDAY(R$1,2)&lt;6),1,0),IF(AND(U163&lt;&gt;"",WEEKDAY(T$1,2)&lt;6),1,0),IF(AND(W163&lt;&gt;"",WEEKDAY(V$1,2)&lt;6),1,0),IF(AND(Y163&lt;&gt;"",WEEKDAY(X$1,2)&lt;6),1,0),IF(AND(AA163&lt;&gt;"",WEEKDAY(Z$1,2)&lt;6),1,0),IF(AND(AC163&lt;&gt;"",WEEKDAY(AB$1,2)&lt;6),1,0),IF(AND(AE163&lt;&gt;"",WEEKDAY(AD$1,2)&lt;6),1,0),IF(AND(AG163&lt;&gt;"",WEEKDAY(AF$1,2)&lt;6),1,0),IF(AND(AI163&lt;&gt;"",WEEKDAY(AH$1,2)&lt;6),1,0),IF(AND(AK163&lt;&gt;"",WEEKDAY(AJ$1,2)&lt;6),1,0),IF(AND(AM163&lt;&gt;"",WEEKDAY(AL$1,2)&lt;6),1,0),IF(AND(AO163&lt;&gt;"",WEEKDAY(AN$1,2)&lt;6),1,0),IF(AND(AQ163&lt;&gt;"",WEEKDAY(AP$1,2)&lt;6),1,0),IF(AND(AS163&lt;&gt;"",WEEKDAY(AR$1,2)&lt;6),1,0),IF(AND(AU163&lt;&gt;"",WEEKDAY(AT$1,2)&lt;6),1,0),IF(AND(AW163&lt;&gt;"",WEEKDAY(AV$1,2)&lt;6),1,0),IF(AND(AY163&lt;&gt;"",WEEKDAY(AX$1,2)&lt;6),1,0),IF(AND(BA163&lt;&gt;"",WEEKDAY(AZ$1,2)&lt;6),1,0),IF(AND(BC163&lt;&gt;"",WEEKDAY(BB$1,2)&lt;6),1,0),IF(AND(BE163&lt;&gt;"",WEEKDAY(BD$1,2)&lt;6),1,0),IF(AND(BG163&lt;&gt;"",WEEKDAY(BF$1,2)&lt;6),1,0),IF(AND(BI163&lt;&gt;"",WEEKDAY(BH$1,2)&lt;6),1,0),IF(AND(BK163&lt;&gt;"",WEEKDAY(BJ$1,2)&lt;6),1,0),IF(AND(BM163&lt;&gt;"",WEEKDAY(BL$1,2)&lt;6),1,0))</f>
        <v>0</v>
      </c>
      <c r="BP163" s="85">
        <f>SUM(IF(AND((D163&lt;&gt;"")+(E163&lt;&gt;""),WEEKDAY(D$1,2)=6),1,0),IF(AND((F163&lt;&gt;"")+(G163&lt;&gt;""),WEEKDAY(F$1,2)=6),1,0),IF(AND((H163&lt;&gt;"")+(I163&lt;&gt;""),WEEKDAY(H$1,2)=6),1,0),IF(AND((J163&lt;&gt;"")+(K163&lt;&gt;""),WEEKDAY(J$1,2)=6),1,0),IF(AND((L163&lt;&gt;"")+(M163&lt;&gt;""),WEEKDAY(L$1,2)=6),1,0),IF(AND((N163&lt;&gt;"")+(O163&lt;&gt;""),WEEKDAY(N$1,2)=6),1,0),IF(AND((P163&lt;&gt;"")+(Q163&lt;&gt;""),WEEKDAY(P$1,2)=6),1,0),IF(AND((R163&lt;&gt;"")+(S163&lt;&gt;""),WEEKDAY(R$1,2)=6),1,0),IF(AND((T163&lt;&gt;"")+(U163&lt;&gt;""),WEEKDAY(T$1,2)=6),1,0),IF(AND((V163&lt;&gt;"")+(W163&lt;&gt;""),WEEKDAY(V$1,2)=6),1,0),IF(AND((X163&lt;&gt;"")+(Y163&lt;&gt;""),WEEKDAY(X$1,2)=6),1,0),IF(AND((Z163&lt;&gt;"")+(AA163&lt;&gt;""),WEEKDAY(Z$1,2)=6),1,0),IF(AND((AB163&lt;&gt;"")+(AC163&lt;&gt;""),WEEKDAY(AB$1,2)=6),1,0),IF(AND((AD163&lt;&gt;"")+(AE163&lt;&gt;""),WEEKDAY(AD$1,2)=6),1,0),IF(AND((AF163&lt;&gt;"")+(AG163&lt;&gt;""),WEEKDAY(AF$1,2)=6),1,0),IF(AND((AH163&lt;&gt;"")+(AI163&lt;&gt;""),WEEKDAY(AH$1,2)=6),1,0),IF(AND((AJ163&lt;&gt;"")+(AK163&lt;&gt;""),WEEKDAY(AJ$1,2)=6),1,0),IF(AND((AL163&lt;&gt;"")+(AM163&lt;&gt;""),WEEKDAY(AL$1,2)=6),1,0),IF(AND((AN163&lt;&gt;"")+(AO163&lt;&gt;""),WEEKDAY(AN$1,2)=6),1,0),IF(AND((AP163&lt;&gt;"")+(AQ163&lt;&gt;""),WEEKDAY(AP$1,2)=6),1,0),IF(AND((AR163&lt;&gt;"")+(AS163&lt;&gt;""),WEEKDAY(AR$1,2)=6),1,0),IF(AND((AT163&lt;&gt;"")+(AU163&lt;&gt;""),WEEKDAY(AT$1,2)=6),1,0),IF(AND((AV163&lt;&gt;"")+(AW163&lt;&gt;""),WEEKDAY(AV$1,2)=6),1,0),IF(AND((AX163&lt;&gt;"")+(AY163&lt;&gt;""),WEEKDAY(AX$1,2)=6),1,0),IF(AND((AZ163&lt;&gt;"")+(BA163&lt;&gt;""),WEEKDAY(AZ$1,2)=6),1,0),IF(AND((BB163&lt;&gt;"")+(BC163&lt;&gt;""),WEEKDAY(BB$1,2)=6),1,0),IF(AND((BD163&lt;&gt;"")+(BE163&lt;&gt;""),WEEKDAY(BD$1,2)=6),1,0),IF(AND((BF163&lt;&gt;"")+(BG163&lt;&gt;""),WEEKDAY(BF$1,2)=6),1,0),IF(AND((BH163&lt;&gt;"")+(BI163&lt;&gt;""),WEEKDAY(BH$1,2)=6),1,0),IF(AND((BJ163&lt;&gt;"")+(BK163&lt;&gt;""),WEEKDAY(BJ$1,2)=6),1,0),IF(AND((BL163&lt;&gt;"")+(BM163&lt;&gt;""),WEEKDAY(BL$1,2)=6),1,0))</f>
        <v>0</v>
      </c>
    </row>
    <row r="164" spans="1:68" ht="16.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>
        <f>SUM(IF(AND(D164&lt;&gt;"",WEEKDAY(D$1,2)&lt;6),1,0),IF(AND(F164&lt;&gt;"",WEEKDAY(F$1,2)&lt;6),1,0),IF(AND(H164&lt;&gt;"",WEEKDAY(H$1,2)&lt;6),1,0),IF(AND(J164&lt;&gt;"",WEEKDAY(J$1,2)&lt;6),1,0),IF(AND(L164&lt;&gt;"",WEEKDAY(L$1,2)&lt;6),1,0),IF(AND(N164&lt;&gt;"",WEEKDAY(N$1,2)&lt;6),1,0),IF(AND(P164&lt;&gt;"",WEEKDAY(P$1,2)&lt;6),1,0),IF(AND(R164&lt;&gt;"",WEEKDAY(R$1,2)&lt;6),1,0),IF(AND(T164&lt;&gt;"",WEEKDAY(T$1,2)&lt;6),1,0),IF(AND(V164&lt;&gt;"",WEEKDAY(V$1,2)&lt;6),1,0),IF(AND(X164&lt;&gt;"",WEEKDAY(X$1,2)&lt;6),1,0),IF(AND(Z164&lt;&gt;"",WEEKDAY(Z$1,2)&lt;6),1,0),IF(AND(AB164&lt;&gt;"",WEEKDAY(AB$1,2)&lt;6),1,0),IF(AND(AD164&lt;&gt;"",WEEKDAY(AD$1,2)&lt;6),1,0),IF(AND(AF164&lt;&gt;"",WEEKDAY(AF$1,2)&lt;6),1,0),IF(AND(AH164&lt;&gt;"",WEEKDAY(AH$1,2)&lt;6),1,0),IF(AND(AJ164&lt;&gt;"",WEEKDAY(AJ$1,2)&lt;6),1,0),IF(AND(AL164&lt;&gt;"",WEEKDAY(AL$1,2)&lt;6),1,0),IF(AND(AN164&lt;&gt;"",WEEKDAY(AN$1,2)&lt;6),1,0),IF(AND(AP164&lt;&gt;"",WEEKDAY(AP$1,2)&lt;6),1,0),IF(AND(AR164&lt;&gt;"",WEEKDAY(AR$1,2)&lt;6),1,0),IF(AND(AT164&lt;&gt;"",WEEKDAY(AT$1,2)&lt;6),1,0),IF(AND(AV164&lt;&gt;"",WEEKDAY(AV$1,2)&lt;6),1,0),IF(AND(AX164&lt;&gt;"",WEEKDAY(AX$1,2)&lt;6),1,0),IF(AND(AZ164&lt;&gt;"",WEEKDAY(AZ$1,2)&lt;6),1,0),IF(AND(BB164&lt;&gt;"",WEEKDAY(BB$1,2)&lt;6),1,0),IF(AND(BD164&lt;&gt;"",WEEKDAY(BD$1,2)&lt;6),1,0),IF(AND(BF164&lt;&gt;"",WEEKDAY(BF$1,2)&lt;6),1,0),IF(AND(BH164&lt;&gt;"",WEEKDAY(BH$1,2)&lt;6),1,0),IF(AND(BJ164&lt;&gt;"",WEEKDAY(BJ$1,2)&lt;6),1,0),IF(AND(BL164&lt;&gt;"",WEEKDAY(BL$1,2)&lt;6),1,0))</f>
        <v>0</v>
      </c>
      <c r="BO164" s="85">
        <f>SUM(IF(AND(E164&lt;&gt;"",WEEKDAY(D$1,2)&lt;6),1,0),IF(AND(G164&lt;&gt;"",WEEKDAY(F$1,2)&lt;6),1,0),IF(AND(I164&lt;&gt;"",WEEKDAY(H$1,2)&lt;6),1,0),IF(AND(K164&lt;&gt;"",WEEKDAY(J$1,2)&lt;6),1,0),IF(AND(M164&lt;&gt;"",WEEKDAY(L$1,2)&lt;6),1,0),IF(AND(O164&lt;&gt;"",WEEKDAY(N$1,2)&lt;6),1,0),IF(AND(Q164&lt;&gt;"",WEEKDAY(P$1,2)&lt;6),1,0),IF(AND(S164&lt;&gt;"",WEEKDAY(R$1,2)&lt;6),1,0),IF(AND(U164&lt;&gt;"",WEEKDAY(T$1,2)&lt;6),1,0),IF(AND(W164&lt;&gt;"",WEEKDAY(V$1,2)&lt;6),1,0),IF(AND(Y164&lt;&gt;"",WEEKDAY(X$1,2)&lt;6),1,0),IF(AND(AA164&lt;&gt;"",WEEKDAY(Z$1,2)&lt;6),1,0),IF(AND(AC164&lt;&gt;"",WEEKDAY(AB$1,2)&lt;6),1,0),IF(AND(AE164&lt;&gt;"",WEEKDAY(AD$1,2)&lt;6),1,0),IF(AND(AG164&lt;&gt;"",WEEKDAY(AF$1,2)&lt;6),1,0),IF(AND(AI164&lt;&gt;"",WEEKDAY(AH$1,2)&lt;6),1,0),IF(AND(AK164&lt;&gt;"",WEEKDAY(AJ$1,2)&lt;6),1,0),IF(AND(AM164&lt;&gt;"",WEEKDAY(AL$1,2)&lt;6),1,0),IF(AND(AO164&lt;&gt;"",WEEKDAY(AN$1,2)&lt;6),1,0),IF(AND(AQ164&lt;&gt;"",WEEKDAY(AP$1,2)&lt;6),1,0),IF(AND(AS164&lt;&gt;"",WEEKDAY(AR$1,2)&lt;6),1,0),IF(AND(AU164&lt;&gt;"",WEEKDAY(AT$1,2)&lt;6),1,0),IF(AND(AW164&lt;&gt;"",WEEKDAY(AV$1,2)&lt;6),1,0),IF(AND(AY164&lt;&gt;"",WEEKDAY(AX$1,2)&lt;6),1,0),IF(AND(BA164&lt;&gt;"",WEEKDAY(AZ$1,2)&lt;6),1,0),IF(AND(BC164&lt;&gt;"",WEEKDAY(BB$1,2)&lt;6),1,0),IF(AND(BE164&lt;&gt;"",WEEKDAY(BD$1,2)&lt;6),1,0),IF(AND(BG164&lt;&gt;"",WEEKDAY(BF$1,2)&lt;6),1,0),IF(AND(BI164&lt;&gt;"",WEEKDAY(BH$1,2)&lt;6),1,0),IF(AND(BK164&lt;&gt;"",WEEKDAY(BJ$1,2)&lt;6),1,0),IF(AND(BM164&lt;&gt;"",WEEKDAY(BL$1,2)&lt;6),1,0))</f>
        <v>0</v>
      </c>
      <c r="BP164" s="85">
        <f>SUM(IF(AND((D164&lt;&gt;"")+(E164&lt;&gt;""),WEEKDAY(D$1,2)=6),1,0),IF(AND((F164&lt;&gt;"")+(G164&lt;&gt;""),WEEKDAY(F$1,2)=6),1,0),IF(AND((H164&lt;&gt;"")+(I164&lt;&gt;""),WEEKDAY(H$1,2)=6),1,0),IF(AND((J164&lt;&gt;"")+(K164&lt;&gt;""),WEEKDAY(J$1,2)=6),1,0),IF(AND((L164&lt;&gt;"")+(M164&lt;&gt;""),WEEKDAY(L$1,2)=6),1,0),IF(AND((N164&lt;&gt;"")+(O164&lt;&gt;""),WEEKDAY(N$1,2)=6),1,0),IF(AND((P164&lt;&gt;"")+(Q164&lt;&gt;""),WEEKDAY(P$1,2)=6),1,0),IF(AND((R164&lt;&gt;"")+(S164&lt;&gt;""),WEEKDAY(R$1,2)=6),1,0),IF(AND((T164&lt;&gt;"")+(U164&lt;&gt;""),WEEKDAY(T$1,2)=6),1,0),IF(AND((V164&lt;&gt;"")+(W164&lt;&gt;""),WEEKDAY(V$1,2)=6),1,0),IF(AND((X164&lt;&gt;"")+(Y164&lt;&gt;""),WEEKDAY(X$1,2)=6),1,0),IF(AND((Z164&lt;&gt;"")+(AA164&lt;&gt;""),WEEKDAY(Z$1,2)=6),1,0),IF(AND((AB164&lt;&gt;"")+(AC164&lt;&gt;""),WEEKDAY(AB$1,2)=6),1,0),IF(AND((AD164&lt;&gt;"")+(AE164&lt;&gt;""),WEEKDAY(AD$1,2)=6),1,0),IF(AND((AF164&lt;&gt;"")+(AG164&lt;&gt;""),WEEKDAY(AF$1,2)=6),1,0),IF(AND((AH164&lt;&gt;"")+(AI164&lt;&gt;""),WEEKDAY(AH$1,2)=6),1,0),IF(AND((AJ164&lt;&gt;"")+(AK164&lt;&gt;""),WEEKDAY(AJ$1,2)=6),1,0),IF(AND((AL164&lt;&gt;"")+(AM164&lt;&gt;""),WEEKDAY(AL$1,2)=6),1,0),IF(AND((AN164&lt;&gt;"")+(AO164&lt;&gt;""),WEEKDAY(AN$1,2)=6),1,0),IF(AND((AP164&lt;&gt;"")+(AQ164&lt;&gt;""),WEEKDAY(AP$1,2)=6),1,0),IF(AND((AR164&lt;&gt;"")+(AS164&lt;&gt;""),WEEKDAY(AR$1,2)=6),1,0),IF(AND((AT164&lt;&gt;"")+(AU164&lt;&gt;""),WEEKDAY(AT$1,2)=6),1,0),IF(AND((AV164&lt;&gt;"")+(AW164&lt;&gt;""),WEEKDAY(AV$1,2)=6),1,0),IF(AND((AX164&lt;&gt;"")+(AY164&lt;&gt;""),WEEKDAY(AX$1,2)=6),1,0),IF(AND((AZ164&lt;&gt;"")+(BA164&lt;&gt;""),WEEKDAY(AZ$1,2)=6),1,0),IF(AND((BB164&lt;&gt;"")+(BC164&lt;&gt;""),WEEKDAY(BB$1,2)=6),1,0),IF(AND((BD164&lt;&gt;"")+(BE164&lt;&gt;""),WEEKDAY(BD$1,2)=6),1,0),IF(AND((BF164&lt;&gt;"")+(BG164&lt;&gt;""),WEEKDAY(BF$1,2)=6),1,0),IF(AND((BH164&lt;&gt;"")+(BI164&lt;&gt;""),WEEKDAY(BH$1,2)=6),1,0),IF(AND((BJ164&lt;&gt;"")+(BK164&lt;&gt;""),WEEKDAY(BJ$1,2)=6),1,0),IF(AND((BL164&lt;&gt;"")+(BM164&lt;&gt;""),WEEKDAY(BL$1,2)=6),1,0))</f>
        <v>0</v>
      </c>
    </row>
    <row r="165" spans="1:68" ht="16.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>
        <f>SUM(IF(AND(D165&lt;&gt;"",WEEKDAY(D$1,2)&lt;6),1,0),IF(AND(F165&lt;&gt;"",WEEKDAY(F$1,2)&lt;6),1,0),IF(AND(H165&lt;&gt;"",WEEKDAY(H$1,2)&lt;6),1,0),IF(AND(J165&lt;&gt;"",WEEKDAY(J$1,2)&lt;6),1,0),IF(AND(L165&lt;&gt;"",WEEKDAY(L$1,2)&lt;6),1,0),IF(AND(N165&lt;&gt;"",WEEKDAY(N$1,2)&lt;6),1,0),IF(AND(P165&lt;&gt;"",WEEKDAY(P$1,2)&lt;6),1,0),IF(AND(R165&lt;&gt;"",WEEKDAY(R$1,2)&lt;6),1,0),IF(AND(T165&lt;&gt;"",WEEKDAY(T$1,2)&lt;6),1,0),IF(AND(V165&lt;&gt;"",WEEKDAY(V$1,2)&lt;6),1,0),IF(AND(X165&lt;&gt;"",WEEKDAY(X$1,2)&lt;6),1,0),IF(AND(Z165&lt;&gt;"",WEEKDAY(Z$1,2)&lt;6),1,0),IF(AND(AB165&lt;&gt;"",WEEKDAY(AB$1,2)&lt;6),1,0),IF(AND(AD165&lt;&gt;"",WEEKDAY(AD$1,2)&lt;6),1,0),IF(AND(AF165&lt;&gt;"",WEEKDAY(AF$1,2)&lt;6),1,0),IF(AND(AH165&lt;&gt;"",WEEKDAY(AH$1,2)&lt;6),1,0),IF(AND(AJ165&lt;&gt;"",WEEKDAY(AJ$1,2)&lt;6),1,0),IF(AND(AL165&lt;&gt;"",WEEKDAY(AL$1,2)&lt;6),1,0),IF(AND(AN165&lt;&gt;"",WEEKDAY(AN$1,2)&lt;6),1,0),IF(AND(AP165&lt;&gt;"",WEEKDAY(AP$1,2)&lt;6),1,0),IF(AND(AR165&lt;&gt;"",WEEKDAY(AR$1,2)&lt;6),1,0),IF(AND(AT165&lt;&gt;"",WEEKDAY(AT$1,2)&lt;6),1,0),IF(AND(AV165&lt;&gt;"",WEEKDAY(AV$1,2)&lt;6),1,0),IF(AND(AX165&lt;&gt;"",WEEKDAY(AX$1,2)&lt;6),1,0),IF(AND(AZ165&lt;&gt;"",WEEKDAY(AZ$1,2)&lt;6),1,0),IF(AND(BB165&lt;&gt;"",WEEKDAY(BB$1,2)&lt;6),1,0),IF(AND(BD165&lt;&gt;"",WEEKDAY(BD$1,2)&lt;6),1,0),IF(AND(BF165&lt;&gt;"",WEEKDAY(BF$1,2)&lt;6),1,0),IF(AND(BH165&lt;&gt;"",WEEKDAY(BH$1,2)&lt;6),1,0),IF(AND(BJ165&lt;&gt;"",WEEKDAY(BJ$1,2)&lt;6),1,0),IF(AND(BL165&lt;&gt;"",WEEKDAY(BL$1,2)&lt;6),1,0))</f>
        <v>0</v>
      </c>
      <c r="BO165" s="85">
        <f>SUM(IF(AND(E165&lt;&gt;"",WEEKDAY(D$1,2)&lt;6),1,0),IF(AND(G165&lt;&gt;"",WEEKDAY(F$1,2)&lt;6),1,0),IF(AND(I165&lt;&gt;"",WEEKDAY(H$1,2)&lt;6),1,0),IF(AND(K165&lt;&gt;"",WEEKDAY(J$1,2)&lt;6),1,0),IF(AND(M165&lt;&gt;"",WEEKDAY(L$1,2)&lt;6),1,0),IF(AND(O165&lt;&gt;"",WEEKDAY(N$1,2)&lt;6),1,0),IF(AND(Q165&lt;&gt;"",WEEKDAY(P$1,2)&lt;6),1,0),IF(AND(S165&lt;&gt;"",WEEKDAY(R$1,2)&lt;6),1,0),IF(AND(U165&lt;&gt;"",WEEKDAY(T$1,2)&lt;6),1,0),IF(AND(W165&lt;&gt;"",WEEKDAY(V$1,2)&lt;6),1,0),IF(AND(Y165&lt;&gt;"",WEEKDAY(X$1,2)&lt;6),1,0),IF(AND(AA165&lt;&gt;"",WEEKDAY(Z$1,2)&lt;6),1,0),IF(AND(AC165&lt;&gt;"",WEEKDAY(AB$1,2)&lt;6),1,0),IF(AND(AE165&lt;&gt;"",WEEKDAY(AD$1,2)&lt;6),1,0),IF(AND(AG165&lt;&gt;"",WEEKDAY(AF$1,2)&lt;6),1,0),IF(AND(AI165&lt;&gt;"",WEEKDAY(AH$1,2)&lt;6),1,0),IF(AND(AK165&lt;&gt;"",WEEKDAY(AJ$1,2)&lt;6),1,0),IF(AND(AM165&lt;&gt;"",WEEKDAY(AL$1,2)&lt;6),1,0),IF(AND(AO165&lt;&gt;"",WEEKDAY(AN$1,2)&lt;6),1,0),IF(AND(AQ165&lt;&gt;"",WEEKDAY(AP$1,2)&lt;6),1,0),IF(AND(AS165&lt;&gt;"",WEEKDAY(AR$1,2)&lt;6),1,0),IF(AND(AU165&lt;&gt;"",WEEKDAY(AT$1,2)&lt;6),1,0),IF(AND(AW165&lt;&gt;"",WEEKDAY(AV$1,2)&lt;6),1,0),IF(AND(AY165&lt;&gt;"",WEEKDAY(AX$1,2)&lt;6),1,0),IF(AND(BA165&lt;&gt;"",WEEKDAY(AZ$1,2)&lt;6),1,0),IF(AND(BC165&lt;&gt;"",WEEKDAY(BB$1,2)&lt;6),1,0),IF(AND(BE165&lt;&gt;"",WEEKDAY(BD$1,2)&lt;6),1,0),IF(AND(BG165&lt;&gt;"",WEEKDAY(BF$1,2)&lt;6),1,0),IF(AND(BI165&lt;&gt;"",WEEKDAY(BH$1,2)&lt;6),1,0),IF(AND(BK165&lt;&gt;"",WEEKDAY(BJ$1,2)&lt;6),1,0),IF(AND(BM165&lt;&gt;"",WEEKDAY(BL$1,2)&lt;6),1,0))</f>
        <v>0</v>
      </c>
      <c r="BP165" s="85">
        <f>SUM(IF(AND((D165&lt;&gt;"")+(E165&lt;&gt;""),WEEKDAY(D$1,2)=6),1,0),IF(AND((F165&lt;&gt;"")+(G165&lt;&gt;""),WEEKDAY(F$1,2)=6),1,0),IF(AND((H165&lt;&gt;"")+(I165&lt;&gt;""),WEEKDAY(H$1,2)=6),1,0),IF(AND((J165&lt;&gt;"")+(K165&lt;&gt;""),WEEKDAY(J$1,2)=6),1,0),IF(AND((L165&lt;&gt;"")+(M165&lt;&gt;""),WEEKDAY(L$1,2)=6),1,0),IF(AND((N165&lt;&gt;"")+(O165&lt;&gt;""),WEEKDAY(N$1,2)=6),1,0),IF(AND((P165&lt;&gt;"")+(Q165&lt;&gt;""),WEEKDAY(P$1,2)=6),1,0),IF(AND((R165&lt;&gt;"")+(S165&lt;&gt;""),WEEKDAY(R$1,2)=6),1,0),IF(AND((T165&lt;&gt;"")+(U165&lt;&gt;""),WEEKDAY(T$1,2)=6),1,0),IF(AND((V165&lt;&gt;"")+(W165&lt;&gt;""),WEEKDAY(V$1,2)=6),1,0),IF(AND((X165&lt;&gt;"")+(Y165&lt;&gt;""),WEEKDAY(X$1,2)=6),1,0),IF(AND((Z165&lt;&gt;"")+(AA165&lt;&gt;""),WEEKDAY(Z$1,2)=6),1,0),IF(AND((AB165&lt;&gt;"")+(AC165&lt;&gt;""),WEEKDAY(AB$1,2)=6),1,0),IF(AND((AD165&lt;&gt;"")+(AE165&lt;&gt;""),WEEKDAY(AD$1,2)=6),1,0),IF(AND((AF165&lt;&gt;"")+(AG165&lt;&gt;""),WEEKDAY(AF$1,2)=6),1,0),IF(AND((AH165&lt;&gt;"")+(AI165&lt;&gt;""),WEEKDAY(AH$1,2)=6),1,0),IF(AND((AJ165&lt;&gt;"")+(AK165&lt;&gt;""),WEEKDAY(AJ$1,2)=6),1,0),IF(AND((AL165&lt;&gt;"")+(AM165&lt;&gt;""),WEEKDAY(AL$1,2)=6),1,0),IF(AND((AN165&lt;&gt;"")+(AO165&lt;&gt;""),WEEKDAY(AN$1,2)=6),1,0),IF(AND((AP165&lt;&gt;"")+(AQ165&lt;&gt;""),WEEKDAY(AP$1,2)=6),1,0),IF(AND((AR165&lt;&gt;"")+(AS165&lt;&gt;""),WEEKDAY(AR$1,2)=6),1,0),IF(AND((AT165&lt;&gt;"")+(AU165&lt;&gt;""),WEEKDAY(AT$1,2)=6),1,0),IF(AND((AV165&lt;&gt;"")+(AW165&lt;&gt;""),WEEKDAY(AV$1,2)=6),1,0),IF(AND((AX165&lt;&gt;"")+(AY165&lt;&gt;""),WEEKDAY(AX$1,2)=6),1,0),IF(AND((AZ165&lt;&gt;"")+(BA165&lt;&gt;""),WEEKDAY(AZ$1,2)=6),1,0),IF(AND((BB165&lt;&gt;"")+(BC165&lt;&gt;""),WEEKDAY(BB$1,2)=6),1,0),IF(AND((BD165&lt;&gt;"")+(BE165&lt;&gt;""),WEEKDAY(BD$1,2)=6),1,0),IF(AND((BF165&lt;&gt;"")+(BG165&lt;&gt;""),WEEKDAY(BF$1,2)=6),1,0),IF(AND((BH165&lt;&gt;"")+(BI165&lt;&gt;""),WEEKDAY(BH$1,2)=6),1,0),IF(AND((BJ165&lt;&gt;"")+(BK165&lt;&gt;""),WEEKDAY(BJ$1,2)=6),1,0),IF(AND((BL165&lt;&gt;"")+(BM165&lt;&gt;""),WEEKDAY(BL$1,2)=6),1,0))</f>
        <v>0</v>
      </c>
    </row>
    <row r="166" spans="1:68" ht="16.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>
        <f>SUM(IF(AND(D166&lt;&gt;"",WEEKDAY(D$1,2)&lt;6),1,0),IF(AND(F166&lt;&gt;"",WEEKDAY(F$1,2)&lt;6),1,0),IF(AND(H166&lt;&gt;"",WEEKDAY(H$1,2)&lt;6),1,0),IF(AND(J166&lt;&gt;"",WEEKDAY(J$1,2)&lt;6),1,0),IF(AND(L166&lt;&gt;"",WEEKDAY(L$1,2)&lt;6),1,0),IF(AND(N166&lt;&gt;"",WEEKDAY(N$1,2)&lt;6),1,0),IF(AND(P166&lt;&gt;"",WEEKDAY(P$1,2)&lt;6),1,0),IF(AND(R166&lt;&gt;"",WEEKDAY(R$1,2)&lt;6),1,0),IF(AND(T166&lt;&gt;"",WEEKDAY(T$1,2)&lt;6),1,0),IF(AND(V166&lt;&gt;"",WEEKDAY(V$1,2)&lt;6),1,0),IF(AND(X166&lt;&gt;"",WEEKDAY(X$1,2)&lt;6),1,0),IF(AND(Z166&lt;&gt;"",WEEKDAY(Z$1,2)&lt;6),1,0),IF(AND(AB166&lt;&gt;"",WEEKDAY(AB$1,2)&lt;6),1,0),IF(AND(AD166&lt;&gt;"",WEEKDAY(AD$1,2)&lt;6),1,0),IF(AND(AF166&lt;&gt;"",WEEKDAY(AF$1,2)&lt;6),1,0),IF(AND(AH166&lt;&gt;"",WEEKDAY(AH$1,2)&lt;6),1,0),IF(AND(AJ166&lt;&gt;"",WEEKDAY(AJ$1,2)&lt;6),1,0),IF(AND(AL166&lt;&gt;"",WEEKDAY(AL$1,2)&lt;6),1,0),IF(AND(AN166&lt;&gt;"",WEEKDAY(AN$1,2)&lt;6),1,0),IF(AND(AP166&lt;&gt;"",WEEKDAY(AP$1,2)&lt;6),1,0),IF(AND(AR166&lt;&gt;"",WEEKDAY(AR$1,2)&lt;6),1,0),IF(AND(AT166&lt;&gt;"",WEEKDAY(AT$1,2)&lt;6),1,0),IF(AND(AV166&lt;&gt;"",WEEKDAY(AV$1,2)&lt;6),1,0),IF(AND(AX166&lt;&gt;"",WEEKDAY(AX$1,2)&lt;6),1,0),IF(AND(AZ166&lt;&gt;"",WEEKDAY(AZ$1,2)&lt;6),1,0),IF(AND(BB166&lt;&gt;"",WEEKDAY(BB$1,2)&lt;6),1,0),IF(AND(BD166&lt;&gt;"",WEEKDAY(BD$1,2)&lt;6),1,0),IF(AND(BF166&lt;&gt;"",WEEKDAY(BF$1,2)&lt;6),1,0),IF(AND(BH166&lt;&gt;"",WEEKDAY(BH$1,2)&lt;6),1,0),IF(AND(BJ166&lt;&gt;"",WEEKDAY(BJ$1,2)&lt;6),1,0),IF(AND(BL166&lt;&gt;"",WEEKDAY(BL$1,2)&lt;6),1,0))</f>
        <v>0</v>
      </c>
      <c r="BO166" s="85">
        <f>SUM(IF(AND(E166&lt;&gt;"",WEEKDAY(D$1,2)&lt;6),1,0),IF(AND(G166&lt;&gt;"",WEEKDAY(F$1,2)&lt;6),1,0),IF(AND(I166&lt;&gt;"",WEEKDAY(H$1,2)&lt;6),1,0),IF(AND(K166&lt;&gt;"",WEEKDAY(J$1,2)&lt;6),1,0),IF(AND(M166&lt;&gt;"",WEEKDAY(L$1,2)&lt;6),1,0),IF(AND(O166&lt;&gt;"",WEEKDAY(N$1,2)&lt;6),1,0),IF(AND(Q166&lt;&gt;"",WEEKDAY(P$1,2)&lt;6),1,0),IF(AND(S166&lt;&gt;"",WEEKDAY(R$1,2)&lt;6),1,0),IF(AND(U166&lt;&gt;"",WEEKDAY(T$1,2)&lt;6),1,0),IF(AND(W166&lt;&gt;"",WEEKDAY(V$1,2)&lt;6),1,0),IF(AND(Y166&lt;&gt;"",WEEKDAY(X$1,2)&lt;6),1,0),IF(AND(AA166&lt;&gt;"",WEEKDAY(Z$1,2)&lt;6),1,0),IF(AND(AC166&lt;&gt;"",WEEKDAY(AB$1,2)&lt;6),1,0),IF(AND(AE166&lt;&gt;"",WEEKDAY(AD$1,2)&lt;6),1,0),IF(AND(AG166&lt;&gt;"",WEEKDAY(AF$1,2)&lt;6),1,0),IF(AND(AI166&lt;&gt;"",WEEKDAY(AH$1,2)&lt;6),1,0),IF(AND(AK166&lt;&gt;"",WEEKDAY(AJ$1,2)&lt;6),1,0),IF(AND(AM166&lt;&gt;"",WEEKDAY(AL$1,2)&lt;6),1,0),IF(AND(AO166&lt;&gt;"",WEEKDAY(AN$1,2)&lt;6),1,0),IF(AND(AQ166&lt;&gt;"",WEEKDAY(AP$1,2)&lt;6),1,0),IF(AND(AS166&lt;&gt;"",WEEKDAY(AR$1,2)&lt;6),1,0),IF(AND(AU166&lt;&gt;"",WEEKDAY(AT$1,2)&lt;6),1,0),IF(AND(AW166&lt;&gt;"",WEEKDAY(AV$1,2)&lt;6),1,0),IF(AND(AY166&lt;&gt;"",WEEKDAY(AX$1,2)&lt;6),1,0),IF(AND(BA166&lt;&gt;"",WEEKDAY(AZ$1,2)&lt;6),1,0),IF(AND(BC166&lt;&gt;"",WEEKDAY(BB$1,2)&lt;6),1,0),IF(AND(BE166&lt;&gt;"",WEEKDAY(BD$1,2)&lt;6),1,0),IF(AND(BG166&lt;&gt;"",WEEKDAY(BF$1,2)&lt;6),1,0),IF(AND(BI166&lt;&gt;"",WEEKDAY(BH$1,2)&lt;6),1,0),IF(AND(BK166&lt;&gt;"",WEEKDAY(BJ$1,2)&lt;6),1,0),IF(AND(BM166&lt;&gt;"",WEEKDAY(BL$1,2)&lt;6),1,0))</f>
        <v>0</v>
      </c>
      <c r="BP166" s="85">
        <f>SUM(IF(AND((D166&lt;&gt;"")+(E166&lt;&gt;""),WEEKDAY(D$1,2)=6),1,0),IF(AND((F166&lt;&gt;"")+(G166&lt;&gt;""),WEEKDAY(F$1,2)=6),1,0),IF(AND((H166&lt;&gt;"")+(I166&lt;&gt;""),WEEKDAY(H$1,2)=6),1,0),IF(AND((J166&lt;&gt;"")+(K166&lt;&gt;""),WEEKDAY(J$1,2)=6),1,0),IF(AND((L166&lt;&gt;"")+(M166&lt;&gt;""),WEEKDAY(L$1,2)=6),1,0),IF(AND((N166&lt;&gt;"")+(O166&lt;&gt;""),WEEKDAY(N$1,2)=6),1,0),IF(AND((P166&lt;&gt;"")+(Q166&lt;&gt;""),WEEKDAY(P$1,2)=6),1,0),IF(AND((R166&lt;&gt;"")+(S166&lt;&gt;""),WEEKDAY(R$1,2)=6),1,0),IF(AND((T166&lt;&gt;"")+(U166&lt;&gt;""),WEEKDAY(T$1,2)=6),1,0),IF(AND((V166&lt;&gt;"")+(W166&lt;&gt;""),WEEKDAY(V$1,2)=6),1,0),IF(AND((X166&lt;&gt;"")+(Y166&lt;&gt;""),WEEKDAY(X$1,2)=6),1,0),IF(AND((Z166&lt;&gt;"")+(AA166&lt;&gt;""),WEEKDAY(Z$1,2)=6),1,0),IF(AND((AB166&lt;&gt;"")+(AC166&lt;&gt;""),WEEKDAY(AB$1,2)=6),1,0),IF(AND((AD166&lt;&gt;"")+(AE166&lt;&gt;""),WEEKDAY(AD$1,2)=6),1,0),IF(AND((AF166&lt;&gt;"")+(AG166&lt;&gt;""),WEEKDAY(AF$1,2)=6),1,0),IF(AND((AH166&lt;&gt;"")+(AI166&lt;&gt;""),WEEKDAY(AH$1,2)=6),1,0),IF(AND((AJ166&lt;&gt;"")+(AK166&lt;&gt;""),WEEKDAY(AJ$1,2)=6),1,0),IF(AND((AL166&lt;&gt;"")+(AM166&lt;&gt;""),WEEKDAY(AL$1,2)=6),1,0),IF(AND((AN166&lt;&gt;"")+(AO166&lt;&gt;""),WEEKDAY(AN$1,2)=6),1,0),IF(AND((AP166&lt;&gt;"")+(AQ166&lt;&gt;""),WEEKDAY(AP$1,2)=6),1,0),IF(AND((AR166&lt;&gt;"")+(AS166&lt;&gt;""),WEEKDAY(AR$1,2)=6),1,0),IF(AND((AT166&lt;&gt;"")+(AU166&lt;&gt;""),WEEKDAY(AT$1,2)=6),1,0),IF(AND((AV166&lt;&gt;"")+(AW166&lt;&gt;""),WEEKDAY(AV$1,2)=6),1,0),IF(AND((AX166&lt;&gt;"")+(AY166&lt;&gt;""),WEEKDAY(AX$1,2)=6),1,0),IF(AND((AZ166&lt;&gt;"")+(BA166&lt;&gt;""),WEEKDAY(AZ$1,2)=6),1,0),IF(AND((BB166&lt;&gt;"")+(BC166&lt;&gt;""),WEEKDAY(BB$1,2)=6),1,0),IF(AND((BD166&lt;&gt;"")+(BE166&lt;&gt;""),WEEKDAY(BD$1,2)=6),1,0),IF(AND((BF166&lt;&gt;"")+(BG166&lt;&gt;""),WEEKDAY(BF$1,2)=6),1,0),IF(AND((BH166&lt;&gt;"")+(BI166&lt;&gt;""),WEEKDAY(BH$1,2)=6),1,0),IF(AND((BJ166&lt;&gt;"")+(BK166&lt;&gt;""),WEEKDAY(BJ$1,2)=6),1,0),IF(AND((BL166&lt;&gt;"")+(BM166&lt;&gt;""),WEEKDAY(BL$1,2)=6),1,0))</f>
        <v>0</v>
      </c>
    </row>
    <row r="167" spans="1:68" ht="16.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>
        <f>SUM(IF(AND(D167&lt;&gt;"",WEEKDAY(D$1,2)&lt;6),1,0),IF(AND(F167&lt;&gt;"",WEEKDAY(F$1,2)&lt;6),1,0),IF(AND(H167&lt;&gt;"",WEEKDAY(H$1,2)&lt;6),1,0),IF(AND(J167&lt;&gt;"",WEEKDAY(J$1,2)&lt;6),1,0),IF(AND(L167&lt;&gt;"",WEEKDAY(L$1,2)&lt;6),1,0),IF(AND(N167&lt;&gt;"",WEEKDAY(N$1,2)&lt;6),1,0),IF(AND(P167&lt;&gt;"",WEEKDAY(P$1,2)&lt;6),1,0),IF(AND(R167&lt;&gt;"",WEEKDAY(R$1,2)&lt;6),1,0),IF(AND(T167&lt;&gt;"",WEEKDAY(T$1,2)&lt;6),1,0),IF(AND(V167&lt;&gt;"",WEEKDAY(V$1,2)&lt;6),1,0),IF(AND(X167&lt;&gt;"",WEEKDAY(X$1,2)&lt;6),1,0),IF(AND(Z167&lt;&gt;"",WEEKDAY(Z$1,2)&lt;6),1,0),IF(AND(AB167&lt;&gt;"",WEEKDAY(AB$1,2)&lt;6),1,0),IF(AND(AD167&lt;&gt;"",WEEKDAY(AD$1,2)&lt;6),1,0),IF(AND(AF167&lt;&gt;"",WEEKDAY(AF$1,2)&lt;6),1,0),IF(AND(AH167&lt;&gt;"",WEEKDAY(AH$1,2)&lt;6),1,0),IF(AND(AJ167&lt;&gt;"",WEEKDAY(AJ$1,2)&lt;6),1,0),IF(AND(AL167&lt;&gt;"",WEEKDAY(AL$1,2)&lt;6),1,0),IF(AND(AN167&lt;&gt;"",WEEKDAY(AN$1,2)&lt;6),1,0),IF(AND(AP167&lt;&gt;"",WEEKDAY(AP$1,2)&lt;6),1,0),IF(AND(AR167&lt;&gt;"",WEEKDAY(AR$1,2)&lt;6),1,0),IF(AND(AT167&lt;&gt;"",WEEKDAY(AT$1,2)&lt;6),1,0),IF(AND(AV167&lt;&gt;"",WEEKDAY(AV$1,2)&lt;6),1,0),IF(AND(AX167&lt;&gt;"",WEEKDAY(AX$1,2)&lt;6),1,0),IF(AND(AZ167&lt;&gt;"",WEEKDAY(AZ$1,2)&lt;6),1,0),IF(AND(BB167&lt;&gt;"",WEEKDAY(BB$1,2)&lt;6),1,0),IF(AND(BD167&lt;&gt;"",WEEKDAY(BD$1,2)&lt;6),1,0),IF(AND(BF167&lt;&gt;"",WEEKDAY(BF$1,2)&lt;6),1,0),IF(AND(BH167&lt;&gt;"",WEEKDAY(BH$1,2)&lt;6),1,0),IF(AND(BJ167&lt;&gt;"",WEEKDAY(BJ$1,2)&lt;6),1,0),IF(AND(BL167&lt;&gt;"",WEEKDAY(BL$1,2)&lt;6),1,0))</f>
        <v>0</v>
      </c>
      <c r="BO167" s="85">
        <f>SUM(IF(AND(E167&lt;&gt;"",WEEKDAY(D$1,2)&lt;6),1,0),IF(AND(G167&lt;&gt;"",WEEKDAY(F$1,2)&lt;6),1,0),IF(AND(I167&lt;&gt;"",WEEKDAY(H$1,2)&lt;6),1,0),IF(AND(K167&lt;&gt;"",WEEKDAY(J$1,2)&lt;6),1,0),IF(AND(M167&lt;&gt;"",WEEKDAY(L$1,2)&lt;6),1,0),IF(AND(O167&lt;&gt;"",WEEKDAY(N$1,2)&lt;6),1,0),IF(AND(Q167&lt;&gt;"",WEEKDAY(P$1,2)&lt;6),1,0),IF(AND(S167&lt;&gt;"",WEEKDAY(R$1,2)&lt;6),1,0),IF(AND(U167&lt;&gt;"",WEEKDAY(T$1,2)&lt;6),1,0),IF(AND(W167&lt;&gt;"",WEEKDAY(V$1,2)&lt;6),1,0),IF(AND(Y167&lt;&gt;"",WEEKDAY(X$1,2)&lt;6),1,0),IF(AND(AA167&lt;&gt;"",WEEKDAY(Z$1,2)&lt;6),1,0),IF(AND(AC167&lt;&gt;"",WEEKDAY(AB$1,2)&lt;6),1,0),IF(AND(AE167&lt;&gt;"",WEEKDAY(AD$1,2)&lt;6),1,0),IF(AND(AG167&lt;&gt;"",WEEKDAY(AF$1,2)&lt;6),1,0),IF(AND(AI167&lt;&gt;"",WEEKDAY(AH$1,2)&lt;6),1,0),IF(AND(AK167&lt;&gt;"",WEEKDAY(AJ$1,2)&lt;6),1,0),IF(AND(AM167&lt;&gt;"",WEEKDAY(AL$1,2)&lt;6),1,0),IF(AND(AO167&lt;&gt;"",WEEKDAY(AN$1,2)&lt;6),1,0),IF(AND(AQ167&lt;&gt;"",WEEKDAY(AP$1,2)&lt;6),1,0),IF(AND(AS167&lt;&gt;"",WEEKDAY(AR$1,2)&lt;6),1,0),IF(AND(AU167&lt;&gt;"",WEEKDAY(AT$1,2)&lt;6),1,0),IF(AND(AW167&lt;&gt;"",WEEKDAY(AV$1,2)&lt;6),1,0),IF(AND(AY167&lt;&gt;"",WEEKDAY(AX$1,2)&lt;6),1,0),IF(AND(BA167&lt;&gt;"",WEEKDAY(AZ$1,2)&lt;6),1,0),IF(AND(BC167&lt;&gt;"",WEEKDAY(BB$1,2)&lt;6),1,0),IF(AND(BE167&lt;&gt;"",WEEKDAY(BD$1,2)&lt;6),1,0),IF(AND(BG167&lt;&gt;"",WEEKDAY(BF$1,2)&lt;6),1,0),IF(AND(BI167&lt;&gt;"",WEEKDAY(BH$1,2)&lt;6),1,0),IF(AND(BK167&lt;&gt;"",WEEKDAY(BJ$1,2)&lt;6),1,0),IF(AND(BM167&lt;&gt;"",WEEKDAY(BL$1,2)&lt;6),1,0))</f>
        <v>0</v>
      </c>
      <c r="BP167" s="85">
        <f>SUM(IF(AND((D167&lt;&gt;"")+(E167&lt;&gt;""),WEEKDAY(D$1,2)=6),1,0),IF(AND((F167&lt;&gt;"")+(G167&lt;&gt;""),WEEKDAY(F$1,2)=6),1,0),IF(AND((H167&lt;&gt;"")+(I167&lt;&gt;""),WEEKDAY(H$1,2)=6),1,0),IF(AND((J167&lt;&gt;"")+(K167&lt;&gt;""),WEEKDAY(J$1,2)=6),1,0),IF(AND((L167&lt;&gt;"")+(M167&lt;&gt;""),WEEKDAY(L$1,2)=6),1,0),IF(AND((N167&lt;&gt;"")+(O167&lt;&gt;""),WEEKDAY(N$1,2)=6),1,0),IF(AND((P167&lt;&gt;"")+(Q167&lt;&gt;""),WEEKDAY(P$1,2)=6),1,0),IF(AND((R167&lt;&gt;"")+(S167&lt;&gt;""),WEEKDAY(R$1,2)=6),1,0),IF(AND((T167&lt;&gt;"")+(U167&lt;&gt;""),WEEKDAY(T$1,2)=6),1,0),IF(AND((V167&lt;&gt;"")+(W167&lt;&gt;""),WEEKDAY(V$1,2)=6),1,0),IF(AND((X167&lt;&gt;"")+(Y167&lt;&gt;""),WEEKDAY(X$1,2)=6),1,0),IF(AND((Z167&lt;&gt;"")+(AA167&lt;&gt;""),WEEKDAY(Z$1,2)=6),1,0),IF(AND((AB167&lt;&gt;"")+(AC167&lt;&gt;""),WEEKDAY(AB$1,2)=6),1,0),IF(AND((AD167&lt;&gt;"")+(AE167&lt;&gt;""),WEEKDAY(AD$1,2)=6),1,0),IF(AND((AF167&lt;&gt;"")+(AG167&lt;&gt;""),WEEKDAY(AF$1,2)=6),1,0),IF(AND((AH167&lt;&gt;"")+(AI167&lt;&gt;""),WEEKDAY(AH$1,2)=6),1,0),IF(AND((AJ167&lt;&gt;"")+(AK167&lt;&gt;""),WEEKDAY(AJ$1,2)=6),1,0),IF(AND((AL167&lt;&gt;"")+(AM167&lt;&gt;""),WEEKDAY(AL$1,2)=6),1,0),IF(AND((AN167&lt;&gt;"")+(AO167&lt;&gt;""),WEEKDAY(AN$1,2)=6),1,0),IF(AND((AP167&lt;&gt;"")+(AQ167&lt;&gt;""),WEEKDAY(AP$1,2)=6),1,0),IF(AND((AR167&lt;&gt;"")+(AS167&lt;&gt;""),WEEKDAY(AR$1,2)=6),1,0),IF(AND((AT167&lt;&gt;"")+(AU167&lt;&gt;""),WEEKDAY(AT$1,2)=6),1,0),IF(AND((AV167&lt;&gt;"")+(AW167&lt;&gt;""),WEEKDAY(AV$1,2)=6),1,0),IF(AND((AX167&lt;&gt;"")+(AY167&lt;&gt;""),WEEKDAY(AX$1,2)=6),1,0),IF(AND((AZ167&lt;&gt;"")+(BA167&lt;&gt;""),WEEKDAY(AZ$1,2)=6),1,0),IF(AND((BB167&lt;&gt;"")+(BC167&lt;&gt;""),WEEKDAY(BB$1,2)=6),1,0),IF(AND((BD167&lt;&gt;"")+(BE167&lt;&gt;""),WEEKDAY(BD$1,2)=6),1,0),IF(AND((BF167&lt;&gt;"")+(BG167&lt;&gt;""),WEEKDAY(BF$1,2)=6),1,0),IF(AND((BH167&lt;&gt;"")+(BI167&lt;&gt;""),WEEKDAY(BH$1,2)=6),1,0),IF(AND((BJ167&lt;&gt;"")+(BK167&lt;&gt;""),WEEKDAY(BJ$1,2)=6),1,0),IF(AND((BL167&lt;&gt;"")+(BM167&lt;&gt;""),WEEKDAY(BL$1,2)=6),1,0))</f>
        <v>0</v>
      </c>
    </row>
    <row r="168" spans="1:68" ht="16.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>
        <f>SUM(IF(AND(D168&lt;&gt;"",WEEKDAY(D$1,2)&lt;6),1,0),IF(AND(F168&lt;&gt;"",WEEKDAY(F$1,2)&lt;6),1,0),IF(AND(H168&lt;&gt;"",WEEKDAY(H$1,2)&lt;6),1,0),IF(AND(J168&lt;&gt;"",WEEKDAY(J$1,2)&lt;6),1,0),IF(AND(L168&lt;&gt;"",WEEKDAY(L$1,2)&lt;6),1,0),IF(AND(N168&lt;&gt;"",WEEKDAY(N$1,2)&lt;6),1,0),IF(AND(P168&lt;&gt;"",WEEKDAY(P$1,2)&lt;6),1,0),IF(AND(R168&lt;&gt;"",WEEKDAY(R$1,2)&lt;6),1,0),IF(AND(T168&lt;&gt;"",WEEKDAY(T$1,2)&lt;6),1,0),IF(AND(V168&lt;&gt;"",WEEKDAY(V$1,2)&lt;6),1,0),IF(AND(X168&lt;&gt;"",WEEKDAY(X$1,2)&lt;6),1,0),IF(AND(Z168&lt;&gt;"",WEEKDAY(Z$1,2)&lt;6),1,0),IF(AND(AB168&lt;&gt;"",WEEKDAY(AB$1,2)&lt;6),1,0),IF(AND(AD168&lt;&gt;"",WEEKDAY(AD$1,2)&lt;6),1,0),IF(AND(AF168&lt;&gt;"",WEEKDAY(AF$1,2)&lt;6),1,0),IF(AND(AH168&lt;&gt;"",WEEKDAY(AH$1,2)&lt;6),1,0),IF(AND(AJ168&lt;&gt;"",WEEKDAY(AJ$1,2)&lt;6),1,0),IF(AND(AL168&lt;&gt;"",WEEKDAY(AL$1,2)&lt;6),1,0),IF(AND(AN168&lt;&gt;"",WEEKDAY(AN$1,2)&lt;6),1,0),IF(AND(AP168&lt;&gt;"",WEEKDAY(AP$1,2)&lt;6),1,0),IF(AND(AR168&lt;&gt;"",WEEKDAY(AR$1,2)&lt;6),1,0),IF(AND(AT168&lt;&gt;"",WEEKDAY(AT$1,2)&lt;6),1,0),IF(AND(AV168&lt;&gt;"",WEEKDAY(AV$1,2)&lt;6),1,0),IF(AND(AX168&lt;&gt;"",WEEKDAY(AX$1,2)&lt;6),1,0),IF(AND(AZ168&lt;&gt;"",WEEKDAY(AZ$1,2)&lt;6),1,0),IF(AND(BB168&lt;&gt;"",WEEKDAY(BB$1,2)&lt;6),1,0),IF(AND(BD168&lt;&gt;"",WEEKDAY(BD$1,2)&lt;6),1,0),IF(AND(BF168&lt;&gt;"",WEEKDAY(BF$1,2)&lt;6),1,0),IF(AND(BH168&lt;&gt;"",WEEKDAY(BH$1,2)&lt;6),1,0),IF(AND(BJ168&lt;&gt;"",WEEKDAY(BJ$1,2)&lt;6),1,0),IF(AND(BL168&lt;&gt;"",WEEKDAY(BL$1,2)&lt;6),1,0))</f>
        <v>0</v>
      </c>
      <c r="BO168" s="85">
        <f>SUM(IF(AND(E168&lt;&gt;"",WEEKDAY(D$1,2)&lt;6),1,0),IF(AND(G168&lt;&gt;"",WEEKDAY(F$1,2)&lt;6),1,0),IF(AND(I168&lt;&gt;"",WEEKDAY(H$1,2)&lt;6),1,0),IF(AND(K168&lt;&gt;"",WEEKDAY(J$1,2)&lt;6),1,0),IF(AND(M168&lt;&gt;"",WEEKDAY(L$1,2)&lt;6),1,0),IF(AND(O168&lt;&gt;"",WEEKDAY(N$1,2)&lt;6),1,0),IF(AND(Q168&lt;&gt;"",WEEKDAY(P$1,2)&lt;6),1,0),IF(AND(S168&lt;&gt;"",WEEKDAY(R$1,2)&lt;6),1,0),IF(AND(U168&lt;&gt;"",WEEKDAY(T$1,2)&lt;6),1,0),IF(AND(W168&lt;&gt;"",WEEKDAY(V$1,2)&lt;6),1,0),IF(AND(Y168&lt;&gt;"",WEEKDAY(X$1,2)&lt;6),1,0),IF(AND(AA168&lt;&gt;"",WEEKDAY(Z$1,2)&lt;6),1,0),IF(AND(AC168&lt;&gt;"",WEEKDAY(AB$1,2)&lt;6),1,0),IF(AND(AE168&lt;&gt;"",WEEKDAY(AD$1,2)&lt;6),1,0),IF(AND(AG168&lt;&gt;"",WEEKDAY(AF$1,2)&lt;6),1,0),IF(AND(AI168&lt;&gt;"",WEEKDAY(AH$1,2)&lt;6),1,0),IF(AND(AK168&lt;&gt;"",WEEKDAY(AJ$1,2)&lt;6),1,0),IF(AND(AM168&lt;&gt;"",WEEKDAY(AL$1,2)&lt;6),1,0),IF(AND(AO168&lt;&gt;"",WEEKDAY(AN$1,2)&lt;6),1,0),IF(AND(AQ168&lt;&gt;"",WEEKDAY(AP$1,2)&lt;6),1,0),IF(AND(AS168&lt;&gt;"",WEEKDAY(AR$1,2)&lt;6),1,0),IF(AND(AU168&lt;&gt;"",WEEKDAY(AT$1,2)&lt;6),1,0),IF(AND(AW168&lt;&gt;"",WEEKDAY(AV$1,2)&lt;6),1,0),IF(AND(AY168&lt;&gt;"",WEEKDAY(AX$1,2)&lt;6),1,0),IF(AND(BA168&lt;&gt;"",WEEKDAY(AZ$1,2)&lt;6),1,0),IF(AND(BC168&lt;&gt;"",WEEKDAY(BB$1,2)&lt;6),1,0),IF(AND(BE168&lt;&gt;"",WEEKDAY(BD$1,2)&lt;6),1,0),IF(AND(BG168&lt;&gt;"",WEEKDAY(BF$1,2)&lt;6),1,0),IF(AND(BI168&lt;&gt;"",WEEKDAY(BH$1,2)&lt;6),1,0),IF(AND(BK168&lt;&gt;"",WEEKDAY(BJ$1,2)&lt;6),1,0),IF(AND(BM168&lt;&gt;"",WEEKDAY(BL$1,2)&lt;6),1,0))</f>
        <v>0</v>
      </c>
      <c r="BP168" s="85">
        <f>SUM(IF(AND((D168&lt;&gt;"")+(E168&lt;&gt;""),WEEKDAY(D$1,2)=6),1,0),IF(AND((F168&lt;&gt;"")+(G168&lt;&gt;""),WEEKDAY(F$1,2)=6),1,0),IF(AND((H168&lt;&gt;"")+(I168&lt;&gt;""),WEEKDAY(H$1,2)=6),1,0),IF(AND((J168&lt;&gt;"")+(K168&lt;&gt;""),WEEKDAY(J$1,2)=6),1,0),IF(AND((L168&lt;&gt;"")+(M168&lt;&gt;""),WEEKDAY(L$1,2)=6),1,0),IF(AND((N168&lt;&gt;"")+(O168&lt;&gt;""),WEEKDAY(N$1,2)=6),1,0),IF(AND((P168&lt;&gt;"")+(Q168&lt;&gt;""),WEEKDAY(P$1,2)=6),1,0),IF(AND((R168&lt;&gt;"")+(S168&lt;&gt;""),WEEKDAY(R$1,2)=6),1,0),IF(AND((T168&lt;&gt;"")+(U168&lt;&gt;""),WEEKDAY(T$1,2)=6),1,0),IF(AND((V168&lt;&gt;"")+(W168&lt;&gt;""),WEEKDAY(V$1,2)=6),1,0),IF(AND((X168&lt;&gt;"")+(Y168&lt;&gt;""),WEEKDAY(X$1,2)=6),1,0),IF(AND((Z168&lt;&gt;"")+(AA168&lt;&gt;""),WEEKDAY(Z$1,2)=6),1,0),IF(AND((AB168&lt;&gt;"")+(AC168&lt;&gt;""),WEEKDAY(AB$1,2)=6),1,0),IF(AND((AD168&lt;&gt;"")+(AE168&lt;&gt;""),WEEKDAY(AD$1,2)=6),1,0),IF(AND((AF168&lt;&gt;"")+(AG168&lt;&gt;""),WEEKDAY(AF$1,2)=6),1,0),IF(AND((AH168&lt;&gt;"")+(AI168&lt;&gt;""),WEEKDAY(AH$1,2)=6),1,0),IF(AND((AJ168&lt;&gt;"")+(AK168&lt;&gt;""),WEEKDAY(AJ$1,2)=6),1,0),IF(AND((AL168&lt;&gt;"")+(AM168&lt;&gt;""),WEEKDAY(AL$1,2)=6),1,0),IF(AND((AN168&lt;&gt;"")+(AO168&lt;&gt;""),WEEKDAY(AN$1,2)=6),1,0),IF(AND((AP168&lt;&gt;"")+(AQ168&lt;&gt;""),WEEKDAY(AP$1,2)=6),1,0),IF(AND((AR168&lt;&gt;"")+(AS168&lt;&gt;""),WEEKDAY(AR$1,2)=6),1,0),IF(AND((AT168&lt;&gt;"")+(AU168&lt;&gt;""),WEEKDAY(AT$1,2)=6),1,0),IF(AND((AV168&lt;&gt;"")+(AW168&lt;&gt;""),WEEKDAY(AV$1,2)=6),1,0),IF(AND((AX168&lt;&gt;"")+(AY168&lt;&gt;""),WEEKDAY(AX$1,2)=6),1,0),IF(AND((AZ168&lt;&gt;"")+(BA168&lt;&gt;""),WEEKDAY(AZ$1,2)=6),1,0),IF(AND((BB168&lt;&gt;"")+(BC168&lt;&gt;""),WEEKDAY(BB$1,2)=6),1,0),IF(AND((BD168&lt;&gt;"")+(BE168&lt;&gt;""),WEEKDAY(BD$1,2)=6),1,0),IF(AND((BF168&lt;&gt;"")+(BG168&lt;&gt;""),WEEKDAY(BF$1,2)=6),1,0),IF(AND((BH168&lt;&gt;"")+(BI168&lt;&gt;""),WEEKDAY(BH$1,2)=6),1,0),IF(AND((BJ168&lt;&gt;"")+(BK168&lt;&gt;""),WEEKDAY(BJ$1,2)=6),1,0),IF(AND((BL168&lt;&gt;"")+(BM168&lt;&gt;""),WEEKDAY(BL$1,2)=6),1,0))</f>
        <v>0</v>
      </c>
    </row>
    <row r="169" spans="1:68" ht="16.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>
        <f>SUM(IF(AND(D169&lt;&gt;"",WEEKDAY(D$1,2)&lt;6),1,0),IF(AND(F169&lt;&gt;"",WEEKDAY(F$1,2)&lt;6),1,0),IF(AND(H169&lt;&gt;"",WEEKDAY(H$1,2)&lt;6),1,0),IF(AND(J169&lt;&gt;"",WEEKDAY(J$1,2)&lt;6),1,0),IF(AND(L169&lt;&gt;"",WEEKDAY(L$1,2)&lt;6),1,0),IF(AND(N169&lt;&gt;"",WEEKDAY(N$1,2)&lt;6),1,0),IF(AND(P169&lt;&gt;"",WEEKDAY(P$1,2)&lt;6),1,0),IF(AND(R169&lt;&gt;"",WEEKDAY(R$1,2)&lt;6),1,0),IF(AND(T169&lt;&gt;"",WEEKDAY(T$1,2)&lt;6),1,0),IF(AND(V169&lt;&gt;"",WEEKDAY(V$1,2)&lt;6),1,0),IF(AND(X169&lt;&gt;"",WEEKDAY(X$1,2)&lt;6),1,0),IF(AND(Z169&lt;&gt;"",WEEKDAY(Z$1,2)&lt;6),1,0),IF(AND(AB169&lt;&gt;"",WEEKDAY(AB$1,2)&lt;6),1,0),IF(AND(AD169&lt;&gt;"",WEEKDAY(AD$1,2)&lt;6),1,0),IF(AND(AF169&lt;&gt;"",WEEKDAY(AF$1,2)&lt;6),1,0),IF(AND(AH169&lt;&gt;"",WEEKDAY(AH$1,2)&lt;6),1,0),IF(AND(AJ169&lt;&gt;"",WEEKDAY(AJ$1,2)&lt;6),1,0),IF(AND(AL169&lt;&gt;"",WEEKDAY(AL$1,2)&lt;6),1,0),IF(AND(AN169&lt;&gt;"",WEEKDAY(AN$1,2)&lt;6),1,0),IF(AND(AP169&lt;&gt;"",WEEKDAY(AP$1,2)&lt;6),1,0),IF(AND(AR169&lt;&gt;"",WEEKDAY(AR$1,2)&lt;6),1,0),IF(AND(AT169&lt;&gt;"",WEEKDAY(AT$1,2)&lt;6),1,0),IF(AND(AV169&lt;&gt;"",WEEKDAY(AV$1,2)&lt;6),1,0),IF(AND(AX169&lt;&gt;"",WEEKDAY(AX$1,2)&lt;6),1,0),IF(AND(AZ169&lt;&gt;"",WEEKDAY(AZ$1,2)&lt;6),1,0),IF(AND(BB169&lt;&gt;"",WEEKDAY(BB$1,2)&lt;6),1,0),IF(AND(BD169&lt;&gt;"",WEEKDAY(BD$1,2)&lt;6),1,0),IF(AND(BF169&lt;&gt;"",WEEKDAY(BF$1,2)&lt;6),1,0),IF(AND(BH169&lt;&gt;"",WEEKDAY(BH$1,2)&lt;6),1,0),IF(AND(BJ169&lt;&gt;"",WEEKDAY(BJ$1,2)&lt;6),1,0),IF(AND(BL169&lt;&gt;"",WEEKDAY(BL$1,2)&lt;6),1,0))</f>
        <v>0</v>
      </c>
      <c r="BO169" s="85">
        <f>SUM(IF(AND(E169&lt;&gt;"",WEEKDAY(D$1,2)&lt;6),1,0),IF(AND(G169&lt;&gt;"",WEEKDAY(F$1,2)&lt;6),1,0),IF(AND(I169&lt;&gt;"",WEEKDAY(H$1,2)&lt;6),1,0),IF(AND(K169&lt;&gt;"",WEEKDAY(J$1,2)&lt;6),1,0),IF(AND(M169&lt;&gt;"",WEEKDAY(L$1,2)&lt;6),1,0),IF(AND(O169&lt;&gt;"",WEEKDAY(N$1,2)&lt;6),1,0),IF(AND(Q169&lt;&gt;"",WEEKDAY(P$1,2)&lt;6),1,0),IF(AND(S169&lt;&gt;"",WEEKDAY(R$1,2)&lt;6),1,0),IF(AND(U169&lt;&gt;"",WEEKDAY(T$1,2)&lt;6),1,0),IF(AND(W169&lt;&gt;"",WEEKDAY(V$1,2)&lt;6),1,0),IF(AND(Y169&lt;&gt;"",WEEKDAY(X$1,2)&lt;6),1,0),IF(AND(AA169&lt;&gt;"",WEEKDAY(Z$1,2)&lt;6),1,0),IF(AND(AC169&lt;&gt;"",WEEKDAY(AB$1,2)&lt;6),1,0),IF(AND(AE169&lt;&gt;"",WEEKDAY(AD$1,2)&lt;6),1,0),IF(AND(AG169&lt;&gt;"",WEEKDAY(AF$1,2)&lt;6),1,0),IF(AND(AI169&lt;&gt;"",WEEKDAY(AH$1,2)&lt;6),1,0),IF(AND(AK169&lt;&gt;"",WEEKDAY(AJ$1,2)&lt;6),1,0),IF(AND(AM169&lt;&gt;"",WEEKDAY(AL$1,2)&lt;6),1,0),IF(AND(AO169&lt;&gt;"",WEEKDAY(AN$1,2)&lt;6),1,0),IF(AND(AQ169&lt;&gt;"",WEEKDAY(AP$1,2)&lt;6),1,0),IF(AND(AS169&lt;&gt;"",WEEKDAY(AR$1,2)&lt;6),1,0),IF(AND(AU169&lt;&gt;"",WEEKDAY(AT$1,2)&lt;6),1,0),IF(AND(AW169&lt;&gt;"",WEEKDAY(AV$1,2)&lt;6),1,0),IF(AND(AY169&lt;&gt;"",WEEKDAY(AX$1,2)&lt;6),1,0),IF(AND(BA169&lt;&gt;"",WEEKDAY(AZ$1,2)&lt;6),1,0),IF(AND(BC169&lt;&gt;"",WEEKDAY(BB$1,2)&lt;6),1,0),IF(AND(BE169&lt;&gt;"",WEEKDAY(BD$1,2)&lt;6),1,0),IF(AND(BG169&lt;&gt;"",WEEKDAY(BF$1,2)&lt;6),1,0),IF(AND(BI169&lt;&gt;"",WEEKDAY(BH$1,2)&lt;6),1,0),IF(AND(BK169&lt;&gt;"",WEEKDAY(BJ$1,2)&lt;6),1,0),IF(AND(BM169&lt;&gt;"",WEEKDAY(BL$1,2)&lt;6),1,0))</f>
        <v>0</v>
      </c>
      <c r="BP169" s="85">
        <f>SUM(IF(AND((D169&lt;&gt;"")+(E169&lt;&gt;""),WEEKDAY(D$1,2)=6),1,0),IF(AND((F169&lt;&gt;"")+(G169&lt;&gt;""),WEEKDAY(F$1,2)=6),1,0),IF(AND((H169&lt;&gt;"")+(I169&lt;&gt;""),WEEKDAY(H$1,2)=6),1,0),IF(AND((J169&lt;&gt;"")+(K169&lt;&gt;""),WEEKDAY(J$1,2)=6),1,0),IF(AND((L169&lt;&gt;"")+(M169&lt;&gt;""),WEEKDAY(L$1,2)=6),1,0),IF(AND((N169&lt;&gt;"")+(O169&lt;&gt;""),WEEKDAY(N$1,2)=6),1,0),IF(AND((P169&lt;&gt;"")+(Q169&lt;&gt;""),WEEKDAY(P$1,2)=6),1,0),IF(AND((R169&lt;&gt;"")+(S169&lt;&gt;""),WEEKDAY(R$1,2)=6),1,0),IF(AND((T169&lt;&gt;"")+(U169&lt;&gt;""),WEEKDAY(T$1,2)=6),1,0),IF(AND((V169&lt;&gt;"")+(W169&lt;&gt;""),WEEKDAY(V$1,2)=6),1,0),IF(AND((X169&lt;&gt;"")+(Y169&lt;&gt;""),WEEKDAY(X$1,2)=6),1,0),IF(AND((Z169&lt;&gt;"")+(AA169&lt;&gt;""),WEEKDAY(Z$1,2)=6),1,0),IF(AND((AB169&lt;&gt;"")+(AC169&lt;&gt;""),WEEKDAY(AB$1,2)=6),1,0),IF(AND((AD169&lt;&gt;"")+(AE169&lt;&gt;""),WEEKDAY(AD$1,2)=6),1,0),IF(AND((AF169&lt;&gt;"")+(AG169&lt;&gt;""),WEEKDAY(AF$1,2)=6),1,0),IF(AND((AH169&lt;&gt;"")+(AI169&lt;&gt;""),WEEKDAY(AH$1,2)=6),1,0),IF(AND((AJ169&lt;&gt;"")+(AK169&lt;&gt;""),WEEKDAY(AJ$1,2)=6),1,0),IF(AND((AL169&lt;&gt;"")+(AM169&lt;&gt;""),WEEKDAY(AL$1,2)=6),1,0),IF(AND((AN169&lt;&gt;"")+(AO169&lt;&gt;""),WEEKDAY(AN$1,2)=6),1,0),IF(AND((AP169&lt;&gt;"")+(AQ169&lt;&gt;""),WEEKDAY(AP$1,2)=6),1,0),IF(AND((AR169&lt;&gt;"")+(AS169&lt;&gt;""),WEEKDAY(AR$1,2)=6),1,0),IF(AND((AT169&lt;&gt;"")+(AU169&lt;&gt;""),WEEKDAY(AT$1,2)=6),1,0),IF(AND((AV169&lt;&gt;"")+(AW169&lt;&gt;""),WEEKDAY(AV$1,2)=6),1,0),IF(AND((AX169&lt;&gt;"")+(AY169&lt;&gt;""),WEEKDAY(AX$1,2)=6),1,0),IF(AND((AZ169&lt;&gt;"")+(BA169&lt;&gt;""),WEEKDAY(AZ$1,2)=6),1,0),IF(AND((BB169&lt;&gt;"")+(BC169&lt;&gt;""),WEEKDAY(BB$1,2)=6),1,0),IF(AND((BD169&lt;&gt;"")+(BE169&lt;&gt;""),WEEKDAY(BD$1,2)=6),1,0),IF(AND((BF169&lt;&gt;"")+(BG169&lt;&gt;""),WEEKDAY(BF$1,2)=6),1,0),IF(AND((BH169&lt;&gt;"")+(BI169&lt;&gt;""),WEEKDAY(BH$1,2)=6),1,0),IF(AND((BJ169&lt;&gt;"")+(BK169&lt;&gt;""),WEEKDAY(BJ$1,2)=6),1,0),IF(AND((BL169&lt;&gt;"")+(BM169&lt;&gt;""),WEEKDAY(BL$1,2)=6),1,0))</f>
        <v>0</v>
      </c>
    </row>
    <row r="170" spans="1:68" ht="16.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>
        <f>SUM(IF(AND(D170&lt;&gt;"",WEEKDAY(D$1,2)&lt;6),1,0),IF(AND(F170&lt;&gt;"",WEEKDAY(F$1,2)&lt;6),1,0),IF(AND(H170&lt;&gt;"",WEEKDAY(H$1,2)&lt;6),1,0),IF(AND(J170&lt;&gt;"",WEEKDAY(J$1,2)&lt;6),1,0),IF(AND(L170&lt;&gt;"",WEEKDAY(L$1,2)&lt;6),1,0),IF(AND(N170&lt;&gt;"",WEEKDAY(N$1,2)&lt;6),1,0),IF(AND(P170&lt;&gt;"",WEEKDAY(P$1,2)&lt;6),1,0),IF(AND(R170&lt;&gt;"",WEEKDAY(R$1,2)&lt;6),1,0),IF(AND(T170&lt;&gt;"",WEEKDAY(T$1,2)&lt;6),1,0),IF(AND(V170&lt;&gt;"",WEEKDAY(V$1,2)&lt;6),1,0),IF(AND(X170&lt;&gt;"",WEEKDAY(X$1,2)&lt;6),1,0),IF(AND(Z170&lt;&gt;"",WEEKDAY(Z$1,2)&lt;6),1,0),IF(AND(AB170&lt;&gt;"",WEEKDAY(AB$1,2)&lt;6),1,0),IF(AND(AD170&lt;&gt;"",WEEKDAY(AD$1,2)&lt;6),1,0),IF(AND(AF170&lt;&gt;"",WEEKDAY(AF$1,2)&lt;6),1,0),IF(AND(AH170&lt;&gt;"",WEEKDAY(AH$1,2)&lt;6),1,0),IF(AND(AJ170&lt;&gt;"",WEEKDAY(AJ$1,2)&lt;6),1,0),IF(AND(AL170&lt;&gt;"",WEEKDAY(AL$1,2)&lt;6),1,0),IF(AND(AN170&lt;&gt;"",WEEKDAY(AN$1,2)&lt;6),1,0),IF(AND(AP170&lt;&gt;"",WEEKDAY(AP$1,2)&lt;6),1,0),IF(AND(AR170&lt;&gt;"",WEEKDAY(AR$1,2)&lt;6),1,0),IF(AND(AT170&lt;&gt;"",WEEKDAY(AT$1,2)&lt;6),1,0),IF(AND(AV170&lt;&gt;"",WEEKDAY(AV$1,2)&lt;6),1,0),IF(AND(AX170&lt;&gt;"",WEEKDAY(AX$1,2)&lt;6),1,0),IF(AND(AZ170&lt;&gt;"",WEEKDAY(AZ$1,2)&lt;6),1,0),IF(AND(BB170&lt;&gt;"",WEEKDAY(BB$1,2)&lt;6),1,0),IF(AND(BD170&lt;&gt;"",WEEKDAY(BD$1,2)&lt;6),1,0),IF(AND(BF170&lt;&gt;"",WEEKDAY(BF$1,2)&lt;6),1,0),IF(AND(BH170&lt;&gt;"",WEEKDAY(BH$1,2)&lt;6),1,0),IF(AND(BJ170&lt;&gt;"",WEEKDAY(BJ$1,2)&lt;6),1,0),IF(AND(BL170&lt;&gt;"",WEEKDAY(BL$1,2)&lt;6),1,0))</f>
        <v>0</v>
      </c>
      <c r="BO170" s="85">
        <f>SUM(IF(AND(E170&lt;&gt;"",WEEKDAY(D$1,2)&lt;6),1,0),IF(AND(G170&lt;&gt;"",WEEKDAY(F$1,2)&lt;6),1,0),IF(AND(I170&lt;&gt;"",WEEKDAY(H$1,2)&lt;6),1,0),IF(AND(K170&lt;&gt;"",WEEKDAY(J$1,2)&lt;6),1,0),IF(AND(M170&lt;&gt;"",WEEKDAY(L$1,2)&lt;6),1,0),IF(AND(O170&lt;&gt;"",WEEKDAY(N$1,2)&lt;6),1,0),IF(AND(Q170&lt;&gt;"",WEEKDAY(P$1,2)&lt;6),1,0),IF(AND(S170&lt;&gt;"",WEEKDAY(R$1,2)&lt;6),1,0),IF(AND(U170&lt;&gt;"",WEEKDAY(T$1,2)&lt;6),1,0),IF(AND(W170&lt;&gt;"",WEEKDAY(V$1,2)&lt;6),1,0),IF(AND(Y170&lt;&gt;"",WEEKDAY(X$1,2)&lt;6),1,0),IF(AND(AA170&lt;&gt;"",WEEKDAY(Z$1,2)&lt;6),1,0),IF(AND(AC170&lt;&gt;"",WEEKDAY(AB$1,2)&lt;6),1,0),IF(AND(AE170&lt;&gt;"",WEEKDAY(AD$1,2)&lt;6),1,0),IF(AND(AG170&lt;&gt;"",WEEKDAY(AF$1,2)&lt;6),1,0),IF(AND(AI170&lt;&gt;"",WEEKDAY(AH$1,2)&lt;6),1,0),IF(AND(AK170&lt;&gt;"",WEEKDAY(AJ$1,2)&lt;6),1,0),IF(AND(AM170&lt;&gt;"",WEEKDAY(AL$1,2)&lt;6),1,0),IF(AND(AO170&lt;&gt;"",WEEKDAY(AN$1,2)&lt;6),1,0),IF(AND(AQ170&lt;&gt;"",WEEKDAY(AP$1,2)&lt;6),1,0),IF(AND(AS170&lt;&gt;"",WEEKDAY(AR$1,2)&lt;6),1,0),IF(AND(AU170&lt;&gt;"",WEEKDAY(AT$1,2)&lt;6),1,0),IF(AND(AW170&lt;&gt;"",WEEKDAY(AV$1,2)&lt;6),1,0),IF(AND(AY170&lt;&gt;"",WEEKDAY(AX$1,2)&lt;6),1,0),IF(AND(BA170&lt;&gt;"",WEEKDAY(AZ$1,2)&lt;6),1,0),IF(AND(BC170&lt;&gt;"",WEEKDAY(BB$1,2)&lt;6),1,0),IF(AND(BE170&lt;&gt;"",WEEKDAY(BD$1,2)&lt;6),1,0),IF(AND(BG170&lt;&gt;"",WEEKDAY(BF$1,2)&lt;6),1,0),IF(AND(BI170&lt;&gt;"",WEEKDAY(BH$1,2)&lt;6),1,0),IF(AND(BK170&lt;&gt;"",WEEKDAY(BJ$1,2)&lt;6),1,0),IF(AND(BM170&lt;&gt;"",WEEKDAY(BL$1,2)&lt;6),1,0))</f>
        <v>0</v>
      </c>
      <c r="BP170" s="85">
        <f>SUM(IF(AND((D170&lt;&gt;"")+(E170&lt;&gt;""),WEEKDAY(D$1,2)=6),1,0),IF(AND((F170&lt;&gt;"")+(G170&lt;&gt;""),WEEKDAY(F$1,2)=6),1,0),IF(AND((H170&lt;&gt;"")+(I170&lt;&gt;""),WEEKDAY(H$1,2)=6),1,0),IF(AND((J170&lt;&gt;"")+(K170&lt;&gt;""),WEEKDAY(J$1,2)=6),1,0),IF(AND((L170&lt;&gt;"")+(M170&lt;&gt;""),WEEKDAY(L$1,2)=6),1,0),IF(AND((N170&lt;&gt;"")+(O170&lt;&gt;""),WEEKDAY(N$1,2)=6),1,0),IF(AND((P170&lt;&gt;"")+(Q170&lt;&gt;""),WEEKDAY(P$1,2)=6),1,0),IF(AND((R170&lt;&gt;"")+(S170&lt;&gt;""),WEEKDAY(R$1,2)=6),1,0),IF(AND((T170&lt;&gt;"")+(U170&lt;&gt;""),WEEKDAY(T$1,2)=6),1,0),IF(AND((V170&lt;&gt;"")+(W170&lt;&gt;""),WEEKDAY(V$1,2)=6),1,0),IF(AND((X170&lt;&gt;"")+(Y170&lt;&gt;""),WEEKDAY(X$1,2)=6),1,0),IF(AND((Z170&lt;&gt;"")+(AA170&lt;&gt;""),WEEKDAY(Z$1,2)=6),1,0),IF(AND((AB170&lt;&gt;"")+(AC170&lt;&gt;""),WEEKDAY(AB$1,2)=6),1,0),IF(AND((AD170&lt;&gt;"")+(AE170&lt;&gt;""),WEEKDAY(AD$1,2)=6),1,0),IF(AND((AF170&lt;&gt;"")+(AG170&lt;&gt;""),WEEKDAY(AF$1,2)=6),1,0),IF(AND((AH170&lt;&gt;"")+(AI170&lt;&gt;""),WEEKDAY(AH$1,2)=6),1,0),IF(AND((AJ170&lt;&gt;"")+(AK170&lt;&gt;""),WEEKDAY(AJ$1,2)=6),1,0),IF(AND((AL170&lt;&gt;"")+(AM170&lt;&gt;""),WEEKDAY(AL$1,2)=6),1,0),IF(AND((AN170&lt;&gt;"")+(AO170&lt;&gt;""),WEEKDAY(AN$1,2)=6),1,0),IF(AND((AP170&lt;&gt;"")+(AQ170&lt;&gt;""),WEEKDAY(AP$1,2)=6),1,0),IF(AND((AR170&lt;&gt;"")+(AS170&lt;&gt;""),WEEKDAY(AR$1,2)=6),1,0),IF(AND((AT170&lt;&gt;"")+(AU170&lt;&gt;""),WEEKDAY(AT$1,2)=6),1,0),IF(AND((AV170&lt;&gt;"")+(AW170&lt;&gt;""),WEEKDAY(AV$1,2)=6),1,0),IF(AND((AX170&lt;&gt;"")+(AY170&lt;&gt;""),WEEKDAY(AX$1,2)=6),1,0),IF(AND((AZ170&lt;&gt;"")+(BA170&lt;&gt;""),WEEKDAY(AZ$1,2)=6),1,0),IF(AND((BB170&lt;&gt;"")+(BC170&lt;&gt;""),WEEKDAY(BB$1,2)=6),1,0),IF(AND((BD170&lt;&gt;"")+(BE170&lt;&gt;""),WEEKDAY(BD$1,2)=6),1,0),IF(AND((BF170&lt;&gt;"")+(BG170&lt;&gt;""),WEEKDAY(BF$1,2)=6),1,0),IF(AND((BH170&lt;&gt;"")+(BI170&lt;&gt;""),WEEKDAY(BH$1,2)=6),1,0),IF(AND((BJ170&lt;&gt;"")+(BK170&lt;&gt;""),WEEKDAY(BJ$1,2)=6),1,0),IF(AND((BL170&lt;&gt;"")+(BM170&lt;&gt;""),WEEKDAY(BL$1,2)=6),1,0))</f>
        <v>0</v>
      </c>
    </row>
    <row r="171" spans="1:68" ht="16.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>
        <f>SUM(IF(AND(D171&lt;&gt;"",WEEKDAY(D$1,2)&lt;6),1,0),IF(AND(F171&lt;&gt;"",WEEKDAY(F$1,2)&lt;6),1,0),IF(AND(H171&lt;&gt;"",WEEKDAY(H$1,2)&lt;6),1,0),IF(AND(J171&lt;&gt;"",WEEKDAY(J$1,2)&lt;6),1,0),IF(AND(L171&lt;&gt;"",WEEKDAY(L$1,2)&lt;6),1,0),IF(AND(N171&lt;&gt;"",WEEKDAY(N$1,2)&lt;6),1,0),IF(AND(P171&lt;&gt;"",WEEKDAY(P$1,2)&lt;6),1,0),IF(AND(R171&lt;&gt;"",WEEKDAY(R$1,2)&lt;6),1,0),IF(AND(T171&lt;&gt;"",WEEKDAY(T$1,2)&lt;6),1,0),IF(AND(V171&lt;&gt;"",WEEKDAY(V$1,2)&lt;6),1,0),IF(AND(X171&lt;&gt;"",WEEKDAY(X$1,2)&lt;6),1,0),IF(AND(Z171&lt;&gt;"",WEEKDAY(Z$1,2)&lt;6),1,0),IF(AND(AB171&lt;&gt;"",WEEKDAY(AB$1,2)&lt;6),1,0),IF(AND(AD171&lt;&gt;"",WEEKDAY(AD$1,2)&lt;6),1,0),IF(AND(AF171&lt;&gt;"",WEEKDAY(AF$1,2)&lt;6),1,0),IF(AND(AH171&lt;&gt;"",WEEKDAY(AH$1,2)&lt;6),1,0),IF(AND(AJ171&lt;&gt;"",WEEKDAY(AJ$1,2)&lt;6),1,0),IF(AND(AL171&lt;&gt;"",WEEKDAY(AL$1,2)&lt;6),1,0),IF(AND(AN171&lt;&gt;"",WEEKDAY(AN$1,2)&lt;6),1,0),IF(AND(AP171&lt;&gt;"",WEEKDAY(AP$1,2)&lt;6),1,0),IF(AND(AR171&lt;&gt;"",WEEKDAY(AR$1,2)&lt;6),1,0),IF(AND(AT171&lt;&gt;"",WEEKDAY(AT$1,2)&lt;6),1,0),IF(AND(AV171&lt;&gt;"",WEEKDAY(AV$1,2)&lt;6),1,0),IF(AND(AX171&lt;&gt;"",WEEKDAY(AX$1,2)&lt;6),1,0),IF(AND(AZ171&lt;&gt;"",WEEKDAY(AZ$1,2)&lt;6),1,0),IF(AND(BB171&lt;&gt;"",WEEKDAY(BB$1,2)&lt;6),1,0),IF(AND(BD171&lt;&gt;"",WEEKDAY(BD$1,2)&lt;6),1,0),IF(AND(BF171&lt;&gt;"",WEEKDAY(BF$1,2)&lt;6),1,0),IF(AND(BH171&lt;&gt;"",WEEKDAY(BH$1,2)&lt;6),1,0),IF(AND(BJ171&lt;&gt;"",WEEKDAY(BJ$1,2)&lt;6),1,0),IF(AND(BL171&lt;&gt;"",WEEKDAY(BL$1,2)&lt;6),1,0))</f>
        <v>0</v>
      </c>
      <c r="BO171" s="85">
        <f>SUM(IF(AND(E171&lt;&gt;"",WEEKDAY(D$1,2)&lt;6),1,0),IF(AND(G171&lt;&gt;"",WEEKDAY(F$1,2)&lt;6),1,0),IF(AND(I171&lt;&gt;"",WEEKDAY(H$1,2)&lt;6),1,0),IF(AND(K171&lt;&gt;"",WEEKDAY(J$1,2)&lt;6),1,0),IF(AND(M171&lt;&gt;"",WEEKDAY(L$1,2)&lt;6),1,0),IF(AND(O171&lt;&gt;"",WEEKDAY(N$1,2)&lt;6),1,0),IF(AND(Q171&lt;&gt;"",WEEKDAY(P$1,2)&lt;6),1,0),IF(AND(S171&lt;&gt;"",WEEKDAY(R$1,2)&lt;6),1,0),IF(AND(U171&lt;&gt;"",WEEKDAY(T$1,2)&lt;6),1,0),IF(AND(W171&lt;&gt;"",WEEKDAY(V$1,2)&lt;6),1,0),IF(AND(Y171&lt;&gt;"",WEEKDAY(X$1,2)&lt;6),1,0),IF(AND(AA171&lt;&gt;"",WEEKDAY(Z$1,2)&lt;6),1,0),IF(AND(AC171&lt;&gt;"",WEEKDAY(AB$1,2)&lt;6),1,0),IF(AND(AE171&lt;&gt;"",WEEKDAY(AD$1,2)&lt;6),1,0),IF(AND(AG171&lt;&gt;"",WEEKDAY(AF$1,2)&lt;6),1,0),IF(AND(AI171&lt;&gt;"",WEEKDAY(AH$1,2)&lt;6),1,0),IF(AND(AK171&lt;&gt;"",WEEKDAY(AJ$1,2)&lt;6),1,0),IF(AND(AM171&lt;&gt;"",WEEKDAY(AL$1,2)&lt;6),1,0),IF(AND(AO171&lt;&gt;"",WEEKDAY(AN$1,2)&lt;6),1,0),IF(AND(AQ171&lt;&gt;"",WEEKDAY(AP$1,2)&lt;6),1,0),IF(AND(AS171&lt;&gt;"",WEEKDAY(AR$1,2)&lt;6),1,0),IF(AND(AU171&lt;&gt;"",WEEKDAY(AT$1,2)&lt;6),1,0),IF(AND(AW171&lt;&gt;"",WEEKDAY(AV$1,2)&lt;6),1,0),IF(AND(AY171&lt;&gt;"",WEEKDAY(AX$1,2)&lt;6),1,0),IF(AND(BA171&lt;&gt;"",WEEKDAY(AZ$1,2)&lt;6),1,0),IF(AND(BC171&lt;&gt;"",WEEKDAY(BB$1,2)&lt;6),1,0),IF(AND(BE171&lt;&gt;"",WEEKDAY(BD$1,2)&lt;6),1,0),IF(AND(BG171&lt;&gt;"",WEEKDAY(BF$1,2)&lt;6),1,0),IF(AND(BI171&lt;&gt;"",WEEKDAY(BH$1,2)&lt;6),1,0),IF(AND(BK171&lt;&gt;"",WEEKDAY(BJ$1,2)&lt;6),1,0),IF(AND(BM171&lt;&gt;"",WEEKDAY(BL$1,2)&lt;6),1,0))</f>
        <v>0</v>
      </c>
      <c r="BP171" s="85">
        <f>SUM(IF(AND((D171&lt;&gt;"")+(E171&lt;&gt;""),WEEKDAY(D$1,2)=6),1,0),IF(AND((F171&lt;&gt;"")+(G171&lt;&gt;""),WEEKDAY(F$1,2)=6),1,0),IF(AND((H171&lt;&gt;"")+(I171&lt;&gt;""),WEEKDAY(H$1,2)=6),1,0),IF(AND((J171&lt;&gt;"")+(K171&lt;&gt;""),WEEKDAY(J$1,2)=6),1,0),IF(AND((L171&lt;&gt;"")+(M171&lt;&gt;""),WEEKDAY(L$1,2)=6),1,0),IF(AND((N171&lt;&gt;"")+(O171&lt;&gt;""),WEEKDAY(N$1,2)=6),1,0),IF(AND((P171&lt;&gt;"")+(Q171&lt;&gt;""),WEEKDAY(P$1,2)=6),1,0),IF(AND((R171&lt;&gt;"")+(S171&lt;&gt;""),WEEKDAY(R$1,2)=6),1,0),IF(AND((T171&lt;&gt;"")+(U171&lt;&gt;""),WEEKDAY(T$1,2)=6),1,0),IF(AND((V171&lt;&gt;"")+(W171&lt;&gt;""),WEEKDAY(V$1,2)=6),1,0),IF(AND((X171&lt;&gt;"")+(Y171&lt;&gt;""),WEEKDAY(X$1,2)=6),1,0),IF(AND((Z171&lt;&gt;"")+(AA171&lt;&gt;""),WEEKDAY(Z$1,2)=6),1,0),IF(AND((AB171&lt;&gt;"")+(AC171&lt;&gt;""),WEEKDAY(AB$1,2)=6),1,0),IF(AND((AD171&lt;&gt;"")+(AE171&lt;&gt;""),WEEKDAY(AD$1,2)=6),1,0),IF(AND((AF171&lt;&gt;"")+(AG171&lt;&gt;""),WEEKDAY(AF$1,2)=6),1,0),IF(AND((AH171&lt;&gt;"")+(AI171&lt;&gt;""),WEEKDAY(AH$1,2)=6),1,0),IF(AND((AJ171&lt;&gt;"")+(AK171&lt;&gt;""),WEEKDAY(AJ$1,2)=6),1,0),IF(AND((AL171&lt;&gt;"")+(AM171&lt;&gt;""),WEEKDAY(AL$1,2)=6),1,0),IF(AND((AN171&lt;&gt;"")+(AO171&lt;&gt;""),WEEKDAY(AN$1,2)=6),1,0),IF(AND((AP171&lt;&gt;"")+(AQ171&lt;&gt;""),WEEKDAY(AP$1,2)=6),1,0),IF(AND((AR171&lt;&gt;"")+(AS171&lt;&gt;""),WEEKDAY(AR$1,2)=6),1,0),IF(AND((AT171&lt;&gt;"")+(AU171&lt;&gt;""),WEEKDAY(AT$1,2)=6),1,0),IF(AND((AV171&lt;&gt;"")+(AW171&lt;&gt;""),WEEKDAY(AV$1,2)=6),1,0),IF(AND((AX171&lt;&gt;"")+(AY171&lt;&gt;""),WEEKDAY(AX$1,2)=6),1,0),IF(AND((AZ171&lt;&gt;"")+(BA171&lt;&gt;""),WEEKDAY(AZ$1,2)=6),1,0),IF(AND((BB171&lt;&gt;"")+(BC171&lt;&gt;""),WEEKDAY(BB$1,2)=6),1,0),IF(AND((BD171&lt;&gt;"")+(BE171&lt;&gt;""),WEEKDAY(BD$1,2)=6),1,0),IF(AND((BF171&lt;&gt;"")+(BG171&lt;&gt;""),WEEKDAY(BF$1,2)=6),1,0),IF(AND((BH171&lt;&gt;"")+(BI171&lt;&gt;""),WEEKDAY(BH$1,2)=6),1,0),IF(AND((BJ171&lt;&gt;"")+(BK171&lt;&gt;""),WEEKDAY(BJ$1,2)=6),1,0),IF(AND((BL171&lt;&gt;"")+(BM171&lt;&gt;""),WEEKDAY(BL$1,2)=6),1,0))</f>
        <v>0</v>
      </c>
    </row>
    <row r="172" spans="1:68" ht="16.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>
        <f>SUM(IF(AND(D172&lt;&gt;"",WEEKDAY(D$1,2)&lt;6),1,0),IF(AND(F172&lt;&gt;"",WEEKDAY(F$1,2)&lt;6),1,0),IF(AND(H172&lt;&gt;"",WEEKDAY(H$1,2)&lt;6),1,0),IF(AND(J172&lt;&gt;"",WEEKDAY(J$1,2)&lt;6),1,0),IF(AND(L172&lt;&gt;"",WEEKDAY(L$1,2)&lt;6),1,0),IF(AND(N172&lt;&gt;"",WEEKDAY(N$1,2)&lt;6),1,0),IF(AND(P172&lt;&gt;"",WEEKDAY(P$1,2)&lt;6),1,0),IF(AND(R172&lt;&gt;"",WEEKDAY(R$1,2)&lt;6),1,0),IF(AND(T172&lt;&gt;"",WEEKDAY(T$1,2)&lt;6),1,0),IF(AND(V172&lt;&gt;"",WEEKDAY(V$1,2)&lt;6),1,0),IF(AND(X172&lt;&gt;"",WEEKDAY(X$1,2)&lt;6),1,0),IF(AND(Z172&lt;&gt;"",WEEKDAY(Z$1,2)&lt;6),1,0),IF(AND(AB172&lt;&gt;"",WEEKDAY(AB$1,2)&lt;6),1,0),IF(AND(AD172&lt;&gt;"",WEEKDAY(AD$1,2)&lt;6),1,0),IF(AND(AF172&lt;&gt;"",WEEKDAY(AF$1,2)&lt;6),1,0),IF(AND(AH172&lt;&gt;"",WEEKDAY(AH$1,2)&lt;6),1,0),IF(AND(AJ172&lt;&gt;"",WEEKDAY(AJ$1,2)&lt;6),1,0),IF(AND(AL172&lt;&gt;"",WEEKDAY(AL$1,2)&lt;6),1,0),IF(AND(AN172&lt;&gt;"",WEEKDAY(AN$1,2)&lt;6),1,0),IF(AND(AP172&lt;&gt;"",WEEKDAY(AP$1,2)&lt;6),1,0),IF(AND(AR172&lt;&gt;"",WEEKDAY(AR$1,2)&lt;6),1,0),IF(AND(AT172&lt;&gt;"",WEEKDAY(AT$1,2)&lt;6),1,0),IF(AND(AV172&lt;&gt;"",WEEKDAY(AV$1,2)&lt;6),1,0),IF(AND(AX172&lt;&gt;"",WEEKDAY(AX$1,2)&lt;6),1,0),IF(AND(AZ172&lt;&gt;"",WEEKDAY(AZ$1,2)&lt;6),1,0),IF(AND(BB172&lt;&gt;"",WEEKDAY(BB$1,2)&lt;6),1,0),IF(AND(BD172&lt;&gt;"",WEEKDAY(BD$1,2)&lt;6),1,0),IF(AND(BF172&lt;&gt;"",WEEKDAY(BF$1,2)&lt;6),1,0),IF(AND(BH172&lt;&gt;"",WEEKDAY(BH$1,2)&lt;6),1,0),IF(AND(BJ172&lt;&gt;"",WEEKDAY(BJ$1,2)&lt;6),1,0),IF(AND(BL172&lt;&gt;"",WEEKDAY(BL$1,2)&lt;6),1,0))</f>
        <v>0</v>
      </c>
      <c r="BO172" s="85">
        <f>SUM(IF(AND(E172&lt;&gt;"",WEEKDAY(D$1,2)&lt;6),1,0),IF(AND(G172&lt;&gt;"",WEEKDAY(F$1,2)&lt;6),1,0),IF(AND(I172&lt;&gt;"",WEEKDAY(H$1,2)&lt;6),1,0),IF(AND(K172&lt;&gt;"",WEEKDAY(J$1,2)&lt;6),1,0),IF(AND(M172&lt;&gt;"",WEEKDAY(L$1,2)&lt;6),1,0),IF(AND(O172&lt;&gt;"",WEEKDAY(N$1,2)&lt;6),1,0),IF(AND(Q172&lt;&gt;"",WEEKDAY(P$1,2)&lt;6),1,0),IF(AND(S172&lt;&gt;"",WEEKDAY(R$1,2)&lt;6),1,0),IF(AND(U172&lt;&gt;"",WEEKDAY(T$1,2)&lt;6),1,0),IF(AND(W172&lt;&gt;"",WEEKDAY(V$1,2)&lt;6),1,0),IF(AND(Y172&lt;&gt;"",WEEKDAY(X$1,2)&lt;6),1,0),IF(AND(AA172&lt;&gt;"",WEEKDAY(Z$1,2)&lt;6),1,0),IF(AND(AC172&lt;&gt;"",WEEKDAY(AB$1,2)&lt;6),1,0),IF(AND(AE172&lt;&gt;"",WEEKDAY(AD$1,2)&lt;6),1,0),IF(AND(AG172&lt;&gt;"",WEEKDAY(AF$1,2)&lt;6),1,0),IF(AND(AI172&lt;&gt;"",WEEKDAY(AH$1,2)&lt;6),1,0),IF(AND(AK172&lt;&gt;"",WEEKDAY(AJ$1,2)&lt;6),1,0),IF(AND(AM172&lt;&gt;"",WEEKDAY(AL$1,2)&lt;6),1,0),IF(AND(AO172&lt;&gt;"",WEEKDAY(AN$1,2)&lt;6),1,0),IF(AND(AQ172&lt;&gt;"",WEEKDAY(AP$1,2)&lt;6),1,0),IF(AND(AS172&lt;&gt;"",WEEKDAY(AR$1,2)&lt;6),1,0),IF(AND(AU172&lt;&gt;"",WEEKDAY(AT$1,2)&lt;6),1,0),IF(AND(AW172&lt;&gt;"",WEEKDAY(AV$1,2)&lt;6),1,0),IF(AND(AY172&lt;&gt;"",WEEKDAY(AX$1,2)&lt;6),1,0),IF(AND(BA172&lt;&gt;"",WEEKDAY(AZ$1,2)&lt;6),1,0),IF(AND(BC172&lt;&gt;"",WEEKDAY(BB$1,2)&lt;6),1,0),IF(AND(BE172&lt;&gt;"",WEEKDAY(BD$1,2)&lt;6),1,0),IF(AND(BG172&lt;&gt;"",WEEKDAY(BF$1,2)&lt;6),1,0),IF(AND(BI172&lt;&gt;"",WEEKDAY(BH$1,2)&lt;6),1,0),IF(AND(BK172&lt;&gt;"",WEEKDAY(BJ$1,2)&lt;6),1,0),IF(AND(BM172&lt;&gt;"",WEEKDAY(BL$1,2)&lt;6),1,0))</f>
        <v>0</v>
      </c>
      <c r="BP172" s="85">
        <f>SUM(IF(AND((D172&lt;&gt;"")+(E172&lt;&gt;""),WEEKDAY(D$1,2)=6),1,0),IF(AND((F172&lt;&gt;"")+(G172&lt;&gt;""),WEEKDAY(F$1,2)=6),1,0),IF(AND((H172&lt;&gt;"")+(I172&lt;&gt;""),WEEKDAY(H$1,2)=6),1,0),IF(AND((J172&lt;&gt;"")+(K172&lt;&gt;""),WEEKDAY(J$1,2)=6),1,0),IF(AND((L172&lt;&gt;"")+(M172&lt;&gt;""),WEEKDAY(L$1,2)=6),1,0),IF(AND((N172&lt;&gt;"")+(O172&lt;&gt;""),WEEKDAY(N$1,2)=6),1,0),IF(AND((P172&lt;&gt;"")+(Q172&lt;&gt;""),WEEKDAY(P$1,2)=6),1,0),IF(AND((R172&lt;&gt;"")+(S172&lt;&gt;""),WEEKDAY(R$1,2)=6),1,0),IF(AND((T172&lt;&gt;"")+(U172&lt;&gt;""),WEEKDAY(T$1,2)=6),1,0),IF(AND((V172&lt;&gt;"")+(W172&lt;&gt;""),WEEKDAY(V$1,2)=6),1,0),IF(AND((X172&lt;&gt;"")+(Y172&lt;&gt;""),WEEKDAY(X$1,2)=6),1,0),IF(AND((Z172&lt;&gt;"")+(AA172&lt;&gt;""),WEEKDAY(Z$1,2)=6),1,0),IF(AND((AB172&lt;&gt;"")+(AC172&lt;&gt;""),WEEKDAY(AB$1,2)=6),1,0),IF(AND((AD172&lt;&gt;"")+(AE172&lt;&gt;""),WEEKDAY(AD$1,2)=6),1,0),IF(AND((AF172&lt;&gt;"")+(AG172&lt;&gt;""),WEEKDAY(AF$1,2)=6),1,0),IF(AND((AH172&lt;&gt;"")+(AI172&lt;&gt;""),WEEKDAY(AH$1,2)=6),1,0),IF(AND((AJ172&lt;&gt;"")+(AK172&lt;&gt;""),WEEKDAY(AJ$1,2)=6),1,0),IF(AND((AL172&lt;&gt;"")+(AM172&lt;&gt;""),WEEKDAY(AL$1,2)=6),1,0),IF(AND((AN172&lt;&gt;"")+(AO172&lt;&gt;""),WEEKDAY(AN$1,2)=6),1,0),IF(AND((AP172&lt;&gt;"")+(AQ172&lt;&gt;""),WEEKDAY(AP$1,2)=6),1,0),IF(AND((AR172&lt;&gt;"")+(AS172&lt;&gt;""),WEEKDAY(AR$1,2)=6),1,0),IF(AND((AT172&lt;&gt;"")+(AU172&lt;&gt;""),WEEKDAY(AT$1,2)=6),1,0),IF(AND((AV172&lt;&gt;"")+(AW172&lt;&gt;""),WEEKDAY(AV$1,2)=6),1,0),IF(AND((AX172&lt;&gt;"")+(AY172&lt;&gt;""),WEEKDAY(AX$1,2)=6),1,0),IF(AND((AZ172&lt;&gt;"")+(BA172&lt;&gt;""),WEEKDAY(AZ$1,2)=6),1,0),IF(AND((BB172&lt;&gt;"")+(BC172&lt;&gt;""),WEEKDAY(BB$1,2)=6),1,0),IF(AND((BD172&lt;&gt;"")+(BE172&lt;&gt;""),WEEKDAY(BD$1,2)=6),1,0),IF(AND((BF172&lt;&gt;"")+(BG172&lt;&gt;""),WEEKDAY(BF$1,2)=6),1,0),IF(AND((BH172&lt;&gt;"")+(BI172&lt;&gt;""),WEEKDAY(BH$1,2)=6),1,0),IF(AND((BJ172&lt;&gt;"")+(BK172&lt;&gt;""),WEEKDAY(BJ$1,2)=6),1,0),IF(AND((BL172&lt;&gt;"")+(BM172&lt;&gt;""),WEEKDAY(BL$1,2)=6),1,0))</f>
        <v>0</v>
      </c>
    </row>
    <row r="173" spans="1:68" ht="16.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>
        <f>SUM(IF(AND(D173&lt;&gt;"",WEEKDAY(D$1,2)&lt;6),1,0),IF(AND(F173&lt;&gt;"",WEEKDAY(F$1,2)&lt;6),1,0),IF(AND(H173&lt;&gt;"",WEEKDAY(H$1,2)&lt;6),1,0),IF(AND(J173&lt;&gt;"",WEEKDAY(J$1,2)&lt;6),1,0),IF(AND(L173&lt;&gt;"",WEEKDAY(L$1,2)&lt;6),1,0),IF(AND(N173&lt;&gt;"",WEEKDAY(N$1,2)&lt;6),1,0),IF(AND(P173&lt;&gt;"",WEEKDAY(P$1,2)&lt;6),1,0),IF(AND(R173&lt;&gt;"",WEEKDAY(R$1,2)&lt;6),1,0),IF(AND(T173&lt;&gt;"",WEEKDAY(T$1,2)&lt;6),1,0),IF(AND(V173&lt;&gt;"",WEEKDAY(V$1,2)&lt;6),1,0),IF(AND(X173&lt;&gt;"",WEEKDAY(X$1,2)&lt;6),1,0),IF(AND(Z173&lt;&gt;"",WEEKDAY(Z$1,2)&lt;6),1,0),IF(AND(AB173&lt;&gt;"",WEEKDAY(AB$1,2)&lt;6),1,0),IF(AND(AD173&lt;&gt;"",WEEKDAY(AD$1,2)&lt;6),1,0),IF(AND(AF173&lt;&gt;"",WEEKDAY(AF$1,2)&lt;6),1,0),IF(AND(AH173&lt;&gt;"",WEEKDAY(AH$1,2)&lt;6),1,0),IF(AND(AJ173&lt;&gt;"",WEEKDAY(AJ$1,2)&lt;6),1,0),IF(AND(AL173&lt;&gt;"",WEEKDAY(AL$1,2)&lt;6),1,0),IF(AND(AN173&lt;&gt;"",WEEKDAY(AN$1,2)&lt;6),1,0),IF(AND(AP173&lt;&gt;"",WEEKDAY(AP$1,2)&lt;6),1,0),IF(AND(AR173&lt;&gt;"",WEEKDAY(AR$1,2)&lt;6),1,0),IF(AND(AT173&lt;&gt;"",WEEKDAY(AT$1,2)&lt;6),1,0),IF(AND(AV173&lt;&gt;"",WEEKDAY(AV$1,2)&lt;6),1,0),IF(AND(AX173&lt;&gt;"",WEEKDAY(AX$1,2)&lt;6),1,0),IF(AND(AZ173&lt;&gt;"",WEEKDAY(AZ$1,2)&lt;6),1,0),IF(AND(BB173&lt;&gt;"",WEEKDAY(BB$1,2)&lt;6),1,0),IF(AND(BD173&lt;&gt;"",WEEKDAY(BD$1,2)&lt;6),1,0),IF(AND(BF173&lt;&gt;"",WEEKDAY(BF$1,2)&lt;6),1,0),IF(AND(BH173&lt;&gt;"",WEEKDAY(BH$1,2)&lt;6),1,0),IF(AND(BJ173&lt;&gt;"",WEEKDAY(BJ$1,2)&lt;6),1,0),IF(AND(BL173&lt;&gt;"",WEEKDAY(BL$1,2)&lt;6),1,0))</f>
        <v>0</v>
      </c>
      <c r="BO173" s="85">
        <f>SUM(IF(AND(E173&lt;&gt;"",WEEKDAY(D$1,2)&lt;6),1,0),IF(AND(G173&lt;&gt;"",WEEKDAY(F$1,2)&lt;6),1,0),IF(AND(I173&lt;&gt;"",WEEKDAY(H$1,2)&lt;6),1,0),IF(AND(K173&lt;&gt;"",WEEKDAY(J$1,2)&lt;6),1,0),IF(AND(M173&lt;&gt;"",WEEKDAY(L$1,2)&lt;6),1,0),IF(AND(O173&lt;&gt;"",WEEKDAY(N$1,2)&lt;6),1,0),IF(AND(Q173&lt;&gt;"",WEEKDAY(P$1,2)&lt;6),1,0),IF(AND(S173&lt;&gt;"",WEEKDAY(R$1,2)&lt;6),1,0),IF(AND(U173&lt;&gt;"",WEEKDAY(T$1,2)&lt;6),1,0),IF(AND(W173&lt;&gt;"",WEEKDAY(V$1,2)&lt;6),1,0),IF(AND(Y173&lt;&gt;"",WEEKDAY(X$1,2)&lt;6),1,0),IF(AND(AA173&lt;&gt;"",WEEKDAY(Z$1,2)&lt;6),1,0),IF(AND(AC173&lt;&gt;"",WEEKDAY(AB$1,2)&lt;6),1,0),IF(AND(AE173&lt;&gt;"",WEEKDAY(AD$1,2)&lt;6),1,0),IF(AND(AG173&lt;&gt;"",WEEKDAY(AF$1,2)&lt;6),1,0),IF(AND(AI173&lt;&gt;"",WEEKDAY(AH$1,2)&lt;6),1,0),IF(AND(AK173&lt;&gt;"",WEEKDAY(AJ$1,2)&lt;6),1,0),IF(AND(AM173&lt;&gt;"",WEEKDAY(AL$1,2)&lt;6),1,0),IF(AND(AO173&lt;&gt;"",WEEKDAY(AN$1,2)&lt;6),1,0),IF(AND(AQ173&lt;&gt;"",WEEKDAY(AP$1,2)&lt;6),1,0),IF(AND(AS173&lt;&gt;"",WEEKDAY(AR$1,2)&lt;6),1,0),IF(AND(AU173&lt;&gt;"",WEEKDAY(AT$1,2)&lt;6),1,0),IF(AND(AW173&lt;&gt;"",WEEKDAY(AV$1,2)&lt;6),1,0),IF(AND(AY173&lt;&gt;"",WEEKDAY(AX$1,2)&lt;6),1,0),IF(AND(BA173&lt;&gt;"",WEEKDAY(AZ$1,2)&lt;6),1,0),IF(AND(BC173&lt;&gt;"",WEEKDAY(BB$1,2)&lt;6),1,0),IF(AND(BE173&lt;&gt;"",WEEKDAY(BD$1,2)&lt;6),1,0),IF(AND(BG173&lt;&gt;"",WEEKDAY(BF$1,2)&lt;6),1,0),IF(AND(BI173&lt;&gt;"",WEEKDAY(BH$1,2)&lt;6),1,0),IF(AND(BK173&lt;&gt;"",WEEKDAY(BJ$1,2)&lt;6),1,0),IF(AND(BM173&lt;&gt;"",WEEKDAY(BL$1,2)&lt;6),1,0))</f>
        <v>0</v>
      </c>
      <c r="BP173" s="85">
        <f>SUM(IF(AND((D173&lt;&gt;"")+(E173&lt;&gt;""),WEEKDAY(D$1,2)=6),1,0),IF(AND((F173&lt;&gt;"")+(G173&lt;&gt;""),WEEKDAY(F$1,2)=6),1,0),IF(AND((H173&lt;&gt;"")+(I173&lt;&gt;""),WEEKDAY(H$1,2)=6),1,0),IF(AND((J173&lt;&gt;"")+(K173&lt;&gt;""),WEEKDAY(J$1,2)=6),1,0),IF(AND((L173&lt;&gt;"")+(M173&lt;&gt;""),WEEKDAY(L$1,2)=6),1,0),IF(AND((N173&lt;&gt;"")+(O173&lt;&gt;""),WEEKDAY(N$1,2)=6),1,0),IF(AND((P173&lt;&gt;"")+(Q173&lt;&gt;""),WEEKDAY(P$1,2)=6),1,0),IF(AND((R173&lt;&gt;"")+(S173&lt;&gt;""),WEEKDAY(R$1,2)=6),1,0),IF(AND((T173&lt;&gt;"")+(U173&lt;&gt;""),WEEKDAY(T$1,2)=6),1,0),IF(AND((V173&lt;&gt;"")+(W173&lt;&gt;""),WEEKDAY(V$1,2)=6),1,0),IF(AND((X173&lt;&gt;"")+(Y173&lt;&gt;""),WEEKDAY(X$1,2)=6),1,0),IF(AND((Z173&lt;&gt;"")+(AA173&lt;&gt;""),WEEKDAY(Z$1,2)=6),1,0),IF(AND((AB173&lt;&gt;"")+(AC173&lt;&gt;""),WEEKDAY(AB$1,2)=6),1,0),IF(AND((AD173&lt;&gt;"")+(AE173&lt;&gt;""),WEEKDAY(AD$1,2)=6),1,0),IF(AND((AF173&lt;&gt;"")+(AG173&lt;&gt;""),WEEKDAY(AF$1,2)=6),1,0),IF(AND((AH173&lt;&gt;"")+(AI173&lt;&gt;""),WEEKDAY(AH$1,2)=6),1,0),IF(AND((AJ173&lt;&gt;"")+(AK173&lt;&gt;""),WEEKDAY(AJ$1,2)=6),1,0),IF(AND((AL173&lt;&gt;"")+(AM173&lt;&gt;""),WEEKDAY(AL$1,2)=6),1,0),IF(AND((AN173&lt;&gt;"")+(AO173&lt;&gt;""),WEEKDAY(AN$1,2)=6),1,0),IF(AND((AP173&lt;&gt;"")+(AQ173&lt;&gt;""),WEEKDAY(AP$1,2)=6),1,0),IF(AND((AR173&lt;&gt;"")+(AS173&lt;&gt;""),WEEKDAY(AR$1,2)=6),1,0),IF(AND((AT173&lt;&gt;"")+(AU173&lt;&gt;""),WEEKDAY(AT$1,2)=6),1,0),IF(AND((AV173&lt;&gt;"")+(AW173&lt;&gt;""),WEEKDAY(AV$1,2)=6),1,0),IF(AND((AX173&lt;&gt;"")+(AY173&lt;&gt;""),WEEKDAY(AX$1,2)=6),1,0),IF(AND((AZ173&lt;&gt;"")+(BA173&lt;&gt;""),WEEKDAY(AZ$1,2)=6),1,0),IF(AND((BB173&lt;&gt;"")+(BC173&lt;&gt;""),WEEKDAY(BB$1,2)=6),1,0),IF(AND((BD173&lt;&gt;"")+(BE173&lt;&gt;""),WEEKDAY(BD$1,2)=6),1,0),IF(AND((BF173&lt;&gt;"")+(BG173&lt;&gt;""),WEEKDAY(BF$1,2)=6),1,0),IF(AND((BH173&lt;&gt;"")+(BI173&lt;&gt;""),WEEKDAY(BH$1,2)=6),1,0),IF(AND((BJ173&lt;&gt;"")+(BK173&lt;&gt;""),WEEKDAY(BJ$1,2)=6),1,0),IF(AND((BL173&lt;&gt;"")+(BM173&lt;&gt;""),WEEKDAY(BL$1,2)=6),1,0))</f>
        <v>0</v>
      </c>
    </row>
    <row r="174" spans="1:68" ht="16.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>
        <f>SUM(IF(AND(D174&lt;&gt;"",WEEKDAY(D$1,2)&lt;6),1,0),IF(AND(F174&lt;&gt;"",WEEKDAY(F$1,2)&lt;6),1,0),IF(AND(H174&lt;&gt;"",WEEKDAY(H$1,2)&lt;6),1,0),IF(AND(J174&lt;&gt;"",WEEKDAY(J$1,2)&lt;6),1,0),IF(AND(L174&lt;&gt;"",WEEKDAY(L$1,2)&lt;6),1,0),IF(AND(N174&lt;&gt;"",WEEKDAY(N$1,2)&lt;6),1,0),IF(AND(P174&lt;&gt;"",WEEKDAY(P$1,2)&lt;6),1,0),IF(AND(R174&lt;&gt;"",WEEKDAY(R$1,2)&lt;6),1,0),IF(AND(T174&lt;&gt;"",WEEKDAY(T$1,2)&lt;6),1,0),IF(AND(V174&lt;&gt;"",WEEKDAY(V$1,2)&lt;6),1,0),IF(AND(X174&lt;&gt;"",WEEKDAY(X$1,2)&lt;6),1,0),IF(AND(Z174&lt;&gt;"",WEEKDAY(Z$1,2)&lt;6),1,0),IF(AND(AB174&lt;&gt;"",WEEKDAY(AB$1,2)&lt;6),1,0),IF(AND(AD174&lt;&gt;"",WEEKDAY(AD$1,2)&lt;6),1,0),IF(AND(AF174&lt;&gt;"",WEEKDAY(AF$1,2)&lt;6),1,0),IF(AND(AH174&lt;&gt;"",WEEKDAY(AH$1,2)&lt;6),1,0),IF(AND(AJ174&lt;&gt;"",WEEKDAY(AJ$1,2)&lt;6),1,0),IF(AND(AL174&lt;&gt;"",WEEKDAY(AL$1,2)&lt;6),1,0),IF(AND(AN174&lt;&gt;"",WEEKDAY(AN$1,2)&lt;6),1,0),IF(AND(AP174&lt;&gt;"",WEEKDAY(AP$1,2)&lt;6),1,0),IF(AND(AR174&lt;&gt;"",WEEKDAY(AR$1,2)&lt;6),1,0),IF(AND(AT174&lt;&gt;"",WEEKDAY(AT$1,2)&lt;6),1,0),IF(AND(AV174&lt;&gt;"",WEEKDAY(AV$1,2)&lt;6),1,0),IF(AND(AX174&lt;&gt;"",WEEKDAY(AX$1,2)&lt;6),1,0),IF(AND(AZ174&lt;&gt;"",WEEKDAY(AZ$1,2)&lt;6),1,0),IF(AND(BB174&lt;&gt;"",WEEKDAY(BB$1,2)&lt;6),1,0),IF(AND(BD174&lt;&gt;"",WEEKDAY(BD$1,2)&lt;6),1,0),IF(AND(BF174&lt;&gt;"",WEEKDAY(BF$1,2)&lt;6),1,0),IF(AND(BH174&lt;&gt;"",WEEKDAY(BH$1,2)&lt;6),1,0),IF(AND(BJ174&lt;&gt;"",WEEKDAY(BJ$1,2)&lt;6),1,0),IF(AND(BL174&lt;&gt;"",WEEKDAY(BL$1,2)&lt;6),1,0))</f>
        <v>0</v>
      </c>
      <c r="BO174" s="85">
        <f>SUM(IF(AND(E174&lt;&gt;"",WEEKDAY(D$1,2)&lt;6),1,0),IF(AND(G174&lt;&gt;"",WEEKDAY(F$1,2)&lt;6),1,0),IF(AND(I174&lt;&gt;"",WEEKDAY(H$1,2)&lt;6),1,0),IF(AND(K174&lt;&gt;"",WEEKDAY(J$1,2)&lt;6),1,0),IF(AND(M174&lt;&gt;"",WEEKDAY(L$1,2)&lt;6),1,0),IF(AND(O174&lt;&gt;"",WEEKDAY(N$1,2)&lt;6),1,0),IF(AND(Q174&lt;&gt;"",WEEKDAY(P$1,2)&lt;6),1,0),IF(AND(S174&lt;&gt;"",WEEKDAY(R$1,2)&lt;6),1,0),IF(AND(U174&lt;&gt;"",WEEKDAY(T$1,2)&lt;6),1,0),IF(AND(W174&lt;&gt;"",WEEKDAY(V$1,2)&lt;6),1,0),IF(AND(Y174&lt;&gt;"",WEEKDAY(X$1,2)&lt;6),1,0),IF(AND(AA174&lt;&gt;"",WEEKDAY(Z$1,2)&lt;6),1,0),IF(AND(AC174&lt;&gt;"",WEEKDAY(AB$1,2)&lt;6),1,0),IF(AND(AE174&lt;&gt;"",WEEKDAY(AD$1,2)&lt;6),1,0),IF(AND(AG174&lt;&gt;"",WEEKDAY(AF$1,2)&lt;6),1,0),IF(AND(AI174&lt;&gt;"",WEEKDAY(AH$1,2)&lt;6),1,0),IF(AND(AK174&lt;&gt;"",WEEKDAY(AJ$1,2)&lt;6),1,0),IF(AND(AM174&lt;&gt;"",WEEKDAY(AL$1,2)&lt;6),1,0),IF(AND(AO174&lt;&gt;"",WEEKDAY(AN$1,2)&lt;6),1,0),IF(AND(AQ174&lt;&gt;"",WEEKDAY(AP$1,2)&lt;6),1,0),IF(AND(AS174&lt;&gt;"",WEEKDAY(AR$1,2)&lt;6),1,0),IF(AND(AU174&lt;&gt;"",WEEKDAY(AT$1,2)&lt;6),1,0),IF(AND(AW174&lt;&gt;"",WEEKDAY(AV$1,2)&lt;6),1,0),IF(AND(AY174&lt;&gt;"",WEEKDAY(AX$1,2)&lt;6),1,0),IF(AND(BA174&lt;&gt;"",WEEKDAY(AZ$1,2)&lt;6),1,0),IF(AND(BC174&lt;&gt;"",WEEKDAY(BB$1,2)&lt;6),1,0),IF(AND(BE174&lt;&gt;"",WEEKDAY(BD$1,2)&lt;6),1,0),IF(AND(BG174&lt;&gt;"",WEEKDAY(BF$1,2)&lt;6),1,0),IF(AND(BI174&lt;&gt;"",WEEKDAY(BH$1,2)&lt;6),1,0),IF(AND(BK174&lt;&gt;"",WEEKDAY(BJ$1,2)&lt;6),1,0),IF(AND(BM174&lt;&gt;"",WEEKDAY(BL$1,2)&lt;6),1,0))</f>
        <v>0</v>
      </c>
      <c r="BP174" s="85">
        <f>SUM(IF(AND((D174&lt;&gt;"")+(E174&lt;&gt;""),WEEKDAY(D$1,2)=6),1,0),IF(AND((F174&lt;&gt;"")+(G174&lt;&gt;""),WEEKDAY(F$1,2)=6),1,0),IF(AND((H174&lt;&gt;"")+(I174&lt;&gt;""),WEEKDAY(H$1,2)=6),1,0),IF(AND((J174&lt;&gt;"")+(K174&lt;&gt;""),WEEKDAY(J$1,2)=6),1,0),IF(AND((L174&lt;&gt;"")+(M174&lt;&gt;""),WEEKDAY(L$1,2)=6),1,0),IF(AND((N174&lt;&gt;"")+(O174&lt;&gt;""),WEEKDAY(N$1,2)=6),1,0),IF(AND((P174&lt;&gt;"")+(Q174&lt;&gt;""),WEEKDAY(P$1,2)=6),1,0),IF(AND((R174&lt;&gt;"")+(S174&lt;&gt;""),WEEKDAY(R$1,2)=6),1,0),IF(AND((T174&lt;&gt;"")+(U174&lt;&gt;""),WEEKDAY(T$1,2)=6),1,0),IF(AND((V174&lt;&gt;"")+(W174&lt;&gt;""),WEEKDAY(V$1,2)=6),1,0),IF(AND((X174&lt;&gt;"")+(Y174&lt;&gt;""),WEEKDAY(X$1,2)=6),1,0),IF(AND((Z174&lt;&gt;"")+(AA174&lt;&gt;""),WEEKDAY(Z$1,2)=6),1,0),IF(AND((AB174&lt;&gt;"")+(AC174&lt;&gt;""),WEEKDAY(AB$1,2)=6),1,0),IF(AND((AD174&lt;&gt;"")+(AE174&lt;&gt;""),WEEKDAY(AD$1,2)=6),1,0),IF(AND((AF174&lt;&gt;"")+(AG174&lt;&gt;""),WEEKDAY(AF$1,2)=6),1,0),IF(AND((AH174&lt;&gt;"")+(AI174&lt;&gt;""),WEEKDAY(AH$1,2)=6),1,0),IF(AND((AJ174&lt;&gt;"")+(AK174&lt;&gt;""),WEEKDAY(AJ$1,2)=6),1,0),IF(AND((AL174&lt;&gt;"")+(AM174&lt;&gt;""),WEEKDAY(AL$1,2)=6),1,0),IF(AND((AN174&lt;&gt;"")+(AO174&lt;&gt;""),WEEKDAY(AN$1,2)=6),1,0),IF(AND((AP174&lt;&gt;"")+(AQ174&lt;&gt;""),WEEKDAY(AP$1,2)=6),1,0),IF(AND((AR174&lt;&gt;"")+(AS174&lt;&gt;""),WEEKDAY(AR$1,2)=6),1,0),IF(AND((AT174&lt;&gt;"")+(AU174&lt;&gt;""),WEEKDAY(AT$1,2)=6),1,0),IF(AND((AV174&lt;&gt;"")+(AW174&lt;&gt;""),WEEKDAY(AV$1,2)=6),1,0),IF(AND((AX174&lt;&gt;"")+(AY174&lt;&gt;""),WEEKDAY(AX$1,2)=6),1,0),IF(AND((AZ174&lt;&gt;"")+(BA174&lt;&gt;""),WEEKDAY(AZ$1,2)=6),1,0),IF(AND((BB174&lt;&gt;"")+(BC174&lt;&gt;""),WEEKDAY(BB$1,2)=6),1,0),IF(AND((BD174&lt;&gt;"")+(BE174&lt;&gt;""),WEEKDAY(BD$1,2)=6),1,0),IF(AND((BF174&lt;&gt;"")+(BG174&lt;&gt;""),WEEKDAY(BF$1,2)=6),1,0),IF(AND((BH174&lt;&gt;"")+(BI174&lt;&gt;""),WEEKDAY(BH$1,2)=6),1,0),IF(AND((BJ174&lt;&gt;"")+(BK174&lt;&gt;""),WEEKDAY(BJ$1,2)=6),1,0),IF(AND((BL174&lt;&gt;"")+(BM174&lt;&gt;""),WEEKDAY(BL$1,2)=6),1,0))</f>
        <v>0</v>
      </c>
    </row>
    <row r="175" spans="1:68" ht="16.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>
        <f>SUM(IF(AND(D175&lt;&gt;"",WEEKDAY(D$1,2)&lt;6),1,0),IF(AND(F175&lt;&gt;"",WEEKDAY(F$1,2)&lt;6),1,0),IF(AND(H175&lt;&gt;"",WEEKDAY(H$1,2)&lt;6),1,0),IF(AND(J175&lt;&gt;"",WEEKDAY(J$1,2)&lt;6),1,0),IF(AND(L175&lt;&gt;"",WEEKDAY(L$1,2)&lt;6),1,0),IF(AND(N175&lt;&gt;"",WEEKDAY(N$1,2)&lt;6),1,0),IF(AND(P175&lt;&gt;"",WEEKDAY(P$1,2)&lt;6),1,0),IF(AND(R175&lt;&gt;"",WEEKDAY(R$1,2)&lt;6),1,0),IF(AND(T175&lt;&gt;"",WEEKDAY(T$1,2)&lt;6),1,0),IF(AND(V175&lt;&gt;"",WEEKDAY(V$1,2)&lt;6),1,0),IF(AND(X175&lt;&gt;"",WEEKDAY(X$1,2)&lt;6),1,0),IF(AND(Z175&lt;&gt;"",WEEKDAY(Z$1,2)&lt;6),1,0),IF(AND(AB175&lt;&gt;"",WEEKDAY(AB$1,2)&lt;6),1,0),IF(AND(AD175&lt;&gt;"",WEEKDAY(AD$1,2)&lt;6),1,0),IF(AND(AF175&lt;&gt;"",WEEKDAY(AF$1,2)&lt;6),1,0),IF(AND(AH175&lt;&gt;"",WEEKDAY(AH$1,2)&lt;6),1,0),IF(AND(AJ175&lt;&gt;"",WEEKDAY(AJ$1,2)&lt;6),1,0),IF(AND(AL175&lt;&gt;"",WEEKDAY(AL$1,2)&lt;6),1,0),IF(AND(AN175&lt;&gt;"",WEEKDAY(AN$1,2)&lt;6),1,0),IF(AND(AP175&lt;&gt;"",WEEKDAY(AP$1,2)&lt;6),1,0),IF(AND(AR175&lt;&gt;"",WEEKDAY(AR$1,2)&lt;6),1,0),IF(AND(AT175&lt;&gt;"",WEEKDAY(AT$1,2)&lt;6),1,0),IF(AND(AV175&lt;&gt;"",WEEKDAY(AV$1,2)&lt;6),1,0),IF(AND(AX175&lt;&gt;"",WEEKDAY(AX$1,2)&lt;6),1,0),IF(AND(AZ175&lt;&gt;"",WEEKDAY(AZ$1,2)&lt;6),1,0),IF(AND(BB175&lt;&gt;"",WEEKDAY(BB$1,2)&lt;6),1,0),IF(AND(BD175&lt;&gt;"",WEEKDAY(BD$1,2)&lt;6),1,0),IF(AND(BF175&lt;&gt;"",WEEKDAY(BF$1,2)&lt;6),1,0),IF(AND(BH175&lt;&gt;"",WEEKDAY(BH$1,2)&lt;6),1,0),IF(AND(BJ175&lt;&gt;"",WEEKDAY(BJ$1,2)&lt;6),1,0),IF(AND(BL175&lt;&gt;"",WEEKDAY(BL$1,2)&lt;6),1,0))</f>
        <v>0</v>
      </c>
      <c r="BO175" s="85">
        <f>SUM(IF(AND(E175&lt;&gt;"",WEEKDAY(D$1,2)&lt;6),1,0),IF(AND(G175&lt;&gt;"",WEEKDAY(F$1,2)&lt;6),1,0),IF(AND(I175&lt;&gt;"",WEEKDAY(H$1,2)&lt;6),1,0),IF(AND(K175&lt;&gt;"",WEEKDAY(J$1,2)&lt;6),1,0),IF(AND(M175&lt;&gt;"",WEEKDAY(L$1,2)&lt;6),1,0),IF(AND(O175&lt;&gt;"",WEEKDAY(N$1,2)&lt;6),1,0),IF(AND(Q175&lt;&gt;"",WEEKDAY(P$1,2)&lt;6),1,0),IF(AND(S175&lt;&gt;"",WEEKDAY(R$1,2)&lt;6),1,0),IF(AND(U175&lt;&gt;"",WEEKDAY(T$1,2)&lt;6),1,0),IF(AND(W175&lt;&gt;"",WEEKDAY(V$1,2)&lt;6),1,0),IF(AND(Y175&lt;&gt;"",WEEKDAY(X$1,2)&lt;6),1,0),IF(AND(AA175&lt;&gt;"",WEEKDAY(Z$1,2)&lt;6),1,0),IF(AND(AC175&lt;&gt;"",WEEKDAY(AB$1,2)&lt;6),1,0),IF(AND(AE175&lt;&gt;"",WEEKDAY(AD$1,2)&lt;6),1,0),IF(AND(AG175&lt;&gt;"",WEEKDAY(AF$1,2)&lt;6),1,0),IF(AND(AI175&lt;&gt;"",WEEKDAY(AH$1,2)&lt;6),1,0),IF(AND(AK175&lt;&gt;"",WEEKDAY(AJ$1,2)&lt;6),1,0),IF(AND(AM175&lt;&gt;"",WEEKDAY(AL$1,2)&lt;6),1,0),IF(AND(AO175&lt;&gt;"",WEEKDAY(AN$1,2)&lt;6),1,0),IF(AND(AQ175&lt;&gt;"",WEEKDAY(AP$1,2)&lt;6),1,0),IF(AND(AS175&lt;&gt;"",WEEKDAY(AR$1,2)&lt;6),1,0),IF(AND(AU175&lt;&gt;"",WEEKDAY(AT$1,2)&lt;6),1,0),IF(AND(AW175&lt;&gt;"",WEEKDAY(AV$1,2)&lt;6),1,0),IF(AND(AY175&lt;&gt;"",WEEKDAY(AX$1,2)&lt;6),1,0),IF(AND(BA175&lt;&gt;"",WEEKDAY(AZ$1,2)&lt;6),1,0),IF(AND(BC175&lt;&gt;"",WEEKDAY(BB$1,2)&lt;6),1,0),IF(AND(BE175&lt;&gt;"",WEEKDAY(BD$1,2)&lt;6),1,0),IF(AND(BG175&lt;&gt;"",WEEKDAY(BF$1,2)&lt;6),1,0),IF(AND(BI175&lt;&gt;"",WEEKDAY(BH$1,2)&lt;6),1,0),IF(AND(BK175&lt;&gt;"",WEEKDAY(BJ$1,2)&lt;6),1,0),IF(AND(BM175&lt;&gt;"",WEEKDAY(BL$1,2)&lt;6),1,0))</f>
        <v>0</v>
      </c>
      <c r="BP175" s="85">
        <f>SUM(IF(AND((D175&lt;&gt;"")+(E175&lt;&gt;""),WEEKDAY(D$1,2)=6),1,0),IF(AND((F175&lt;&gt;"")+(G175&lt;&gt;""),WEEKDAY(F$1,2)=6),1,0),IF(AND((H175&lt;&gt;"")+(I175&lt;&gt;""),WEEKDAY(H$1,2)=6),1,0),IF(AND((J175&lt;&gt;"")+(K175&lt;&gt;""),WEEKDAY(J$1,2)=6),1,0),IF(AND((L175&lt;&gt;"")+(M175&lt;&gt;""),WEEKDAY(L$1,2)=6),1,0),IF(AND((N175&lt;&gt;"")+(O175&lt;&gt;""),WEEKDAY(N$1,2)=6),1,0),IF(AND((P175&lt;&gt;"")+(Q175&lt;&gt;""),WEEKDAY(P$1,2)=6),1,0),IF(AND((R175&lt;&gt;"")+(S175&lt;&gt;""),WEEKDAY(R$1,2)=6),1,0),IF(AND((T175&lt;&gt;"")+(U175&lt;&gt;""),WEEKDAY(T$1,2)=6),1,0),IF(AND((V175&lt;&gt;"")+(W175&lt;&gt;""),WEEKDAY(V$1,2)=6),1,0),IF(AND((X175&lt;&gt;"")+(Y175&lt;&gt;""),WEEKDAY(X$1,2)=6),1,0),IF(AND((Z175&lt;&gt;"")+(AA175&lt;&gt;""),WEEKDAY(Z$1,2)=6),1,0),IF(AND((AB175&lt;&gt;"")+(AC175&lt;&gt;""),WEEKDAY(AB$1,2)=6),1,0),IF(AND((AD175&lt;&gt;"")+(AE175&lt;&gt;""),WEEKDAY(AD$1,2)=6),1,0),IF(AND((AF175&lt;&gt;"")+(AG175&lt;&gt;""),WEEKDAY(AF$1,2)=6),1,0),IF(AND((AH175&lt;&gt;"")+(AI175&lt;&gt;""),WEEKDAY(AH$1,2)=6),1,0),IF(AND((AJ175&lt;&gt;"")+(AK175&lt;&gt;""),WEEKDAY(AJ$1,2)=6),1,0),IF(AND((AL175&lt;&gt;"")+(AM175&lt;&gt;""),WEEKDAY(AL$1,2)=6),1,0),IF(AND((AN175&lt;&gt;"")+(AO175&lt;&gt;""),WEEKDAY(AN$1,2)=6),1,0),IF(AND((AP175&lt;&gt;"")+(AQ175&lt;&gt;""),WEEKDAY(AP$1,2)=6),1,0),IF(AND((AR175&lt;&gt;"")+(AS175&lt;&gt;""),WEEKDAY(AR$1,2)=6),1,0),IF(AND((AT175&lt;&gt;"")+(AU175&lt;&gt;""),WEEKDAY(AT$1,2)=6),1,0),IF(AND((AV175&lt;&gt;"")+(AW175&lt;&gt;""),WEEKDAY(AV$1,2)=6),1,0),IF(AND((AX175&lt;&gt;"")+(AY175&lt;&gt;""),WEEKDAY(AX$1,2)=6),1,0),IF(AND((AZ175&lt;&gt;"")+(BA175&lt;&gt;""),WEEKDAY(AZ$1,2)=6),1,0),IF(AND((BB175&lt;&gt;"")+(BC175&lt;&gt;""),WEEKDAY(BB$1,2)=6),1,0),IF(AND((BD175&lt;&gt;"")+(BE175&lt;&gt;""),WEEKDAY(BD$1,2)=6),1,0),IF(AND((BF175&lt;&gt;"")+(BG175&lt;&gt;""),WEEKDAY(BF$1,2)=6),1,0),IF(AND((BH175&lt;&gt;"")+(BI175&lt;&gt;""),WEEKDAY(BH$1,2)=6),1,0),IF(AND((BJ175&lt;&gt;"")+(BK175&lt;&gt;""),WEEKDAY(BJ$1,2)=6),1,0),IF(AND((BL175&lt;&gt;"")+(BM175&lt;&gt;""),WEEKDAY(BL$1,2)=6),1,0))</f>
        <v>0</v>
      </c>
    </row>
    <row r="176" spans="1:68" ht="16.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>
        <f>SUM(IF(AND(D176&lt;&gt;"",WEEKDAY(D$1,2)&lt;6),1,0),IF(AND(F176&lt;&gt;"",WEEKDAY(F$1,2)&lt;6),1,0),IF(AND(H176&lt;&gt;"",WEEKDAY(H$1,2)&lt;6),1,0),IF(AND(J176&lt;&gt;"",WEEKDAY(J$1,2)&lt;6),1,0),IF(AND(L176&lt;&gt;"",WEEKDAY(L$1,2)&lt;6),1,0),IF(AND(N176&lt;&gt;"",WEEKDAY(N$1,2)&lt;6),1,0),IF(AND(P176&lt;&gt;"",WEEKDAY(P$1,2)&lt;6),1,0),IF(AND(R176&lt;&gt;"",WEEKDAY(R$1,2)&lt;6),1,0),IF(AND(T176&lt;&gt;"",WEEKDAY(T$1,2)&lt;6),1,0),IF(AND(V176&lt;&gt;"",WEEKDAY(V$1,2)&lt;6),1,0),IF(AND(X176&lt;&gt;"",WEEKDAY(X$1,2)&lt;6),1,0),IF(AND(Z176&lt;&gt;"",WEEKDAY(Z$1,2)&lt;6),1,0),IF(AND(AB176&lt;&gt;"",WEEKDAY(AB$1,2)&lt;6),1,0),IF(AND(AD176&lt;&gt;"",WEEKDAY(AD$1,2)&lt;6),1,0),IF(AND(AF176&lt;&gt;"",WEEKDAY(AF$1,2)&lt;6),1,0),IF(AND(AH176&lt;&gt;"",WEEKDAY(AH$1,2)&lt;6),1,0),IF(AND(AJ176&lt;&gt;"",WEEKDAY(AJ$1,2)&lt;6),1,0),IF(AND(AL176&lt;&gt;"",WEEKDAY(AL$1,2)&lt;6),1,0),IF(AND(AN176&lt;&gt;"",WEEKDAY(AN$1,2)&lt;6),1,0),IF(AND(AP176&lt;&gt;"",WEEKDAY(AP$1,2)&lt;6),1,0),IF(AND(AR176&lt;&gt;"",WEEKDAY(AR$1,2)&lt;6),1,0),IF(AND(AT176&lt;&gt;"",WEEKDAY(AT$1,2)&lt;6),1,0),IF(AND(AV176&lt;&gt;"",WEEKDAY(AV$1,2)&lt;6),1,0),IF(AND(AX176&lt;&gt;"",WEEKDAY(AX$1,2)&lt;6),1,0),IF(AND(AZ176&lt;&gt;"",WEEKDAY(AZ$1,2)&lt;6),1,0),IF(AND(BB176&lt;&gt;"",WEEKDAY(BB$1,2)&lt;6),1,0),IF(AND(BD176&lt;&gt;"",WEEKDAY(BD$1,2)&lt;6),1,0),IF(AND(BF176&lt;&gt;"",WEEKDAY(BF$1,2)&lt;6),1,0),IF(AND(BH176&lt;&gt;"",WEEKDAY(BH$1,2)&lt;6),1,0),IF(AND(BJ176&lt;&gt;"",WEEKDAY(BJ$1,2)&lt;6),1,0),IF(AND(BL176&lt;&gt;"",WEEKDAY(BL$1,2)&lt;6),1,0))</f>
        <v>0</v>
      </c>
      <c r="BO176" s="85">
        <f>SUM(IF(AND(E176&lt;&gt;"",WEEKDAY(D$1,2)&lt;6),1,0),IF(AND(G176&lt;&gt;"",WEEKDAY(F$1,2)&lt;6),1,0),IF(AND(I176&lt;&gt;"",WEEKDAY(H$1,2)&lt;6),1,0),IF(AND(K176&lt;&gt;"",WEEKDAY(J$1,2)&lt;6),1,0),IF(AND(M176&lt;&gt;"",WEEKDAY(L$1,2)&lt;6),1,0),IF(AND(O176&lt;&gt;"",WEEKDAY(N$1,2)&lt;6),1,0),IF(AND(Q176&lt;&gt;"",WEEKDAY(P$1,2)&lt;6),1,0),IF(AND(S176&lt;&gt;"",WEEKDAY(R$1,2)&lt;6),1,0),IF(AND(U176&lt;&gt;"",WEEKDAY(T$1,2)&lt;6),1,0),IF(AND(W176&lt;&gt;"",WEEKDAY(V$1,2)&lt;6),1,0),IF(AND(Y176&lt;&gt;"",WEEKDAY(X$1,2)&lt;6),1,0),IF(AND(AA176&lt;&gt;"",WEEKDAY(Z$1,2)&lt;6),1,0),IF(AND(AC176&lt;&gt;"",WEEKDAY(AB$1,2)&lt;6),1,0),IF(AND(AE176&lt;&gt;"",WEEKDAY(AD$1,2)&lt;6),1,0),IF(AND(AG176&lt;&gt;"",WEEKDAY(AF$1,2)&lt;6),1,0),IF(AND(AI176&lt;&gt;"",WEEKDAY(AH$1,2)&lt;6),1,0),IF(AND(AK176&lt;&gt;"",WEEKDAY(AJ$1,2)&lt;6),1,0),IF(AND(AM176&lt;&gt;"",WEEKDAY(AL$1,2)&lt;6),1,0),IF(AND(AO176&lt;&gt;"",WEEKDAY(AN$1,2)&lt;6),1,0),IF(AND(AQ176&lt;&gt;"",WEEKDAY(AP$1,2)&lt;6),1,0),IF(AND(AS176&lt;&gt;"",WEEKDAY(AR$1,2)&lt;6),1,0),IF(AND(AU176&lt;&gt;"",WEEKDAY(AT$1,2)&lt;6),1,0),IF(AND(AW176&lt;&gt;"",WEEKDAY(AV$1,2)&lt;6),1,0),IF(AND(AY176&lt;&gt;"",WEEKDAY(AX$1,2)&lt;6),1,0),IF(AND(BA176&lt;&gt;"",WEEKDAY(AZ$1,2)&lt;6),1,0),IF(AND(BC176&lt;&gt;"",WEEKDAY(BB$1,2)&lt;6),1,0),IF(AND(BE176&lt;&gt;"",WEEKDAY(BD$1,2)&lt;6),1,0),IF(AND(BG176&lt;&gt;"",WEEKDAY(BF$1,2)&lt;6),1,0),IF(AND(BI176&lt;&gt;"",WEEKDAY(BH$1,2)&lt;6),1,0),IF(AND(BK176&lt;&gt;"",WEEKDAY(BJ$1,2)&lt;6),1,0),IF(AND(BM176&lt;&gt;"",WEEKDAY(BL$1,2)&lt;6),1,0))</f>
        <v>0</v>
      </c>
      <c r="BP176" s="85">
        <f>SUM(IF(AND((D176&lt;&gt;"")+(E176&lt;&gt;""),WEEKDAY(D$1,2)=6),1,0),IF(AND((F176&lt;&gt;"")+(G176&lt;&gt;""),WEEKDAY(F$1,2)=6),1,0),IF(AND((H176&lt;&gt;"")+(I176&lt;&gt;""),WEEKDAY(H$1,2)=6),1,0),IF(AND((J176&lt;&gt;"")+(K176&lt;&gt;""),WEEKDAY(J$1,2)=6),1,0),IF(AND((L176&lt;&gt;"")+(M176&lt;&gt;""),WEEKDAY(L$1,2)=6),1,0),IF(AND((N176&lt;&gt;"")+(O176&lt;&gt;""),WEEKDAY(N$1,2)=6),1,0),IF(AND((P176&lt;&gt;"")+(Q176&lt;&gt;""),WEEKDAY(P$1,2)=6),1,0),IF(AND((R176&lt;&gt;"")+(S176&lt;&gt;""),WEEKDAY(R$1,2)=6),1,0),IF(AND((T176&lt;&gt;"")+(U176&lt;&gt;""),WEEKDAY(T$1,2)=6),1,0),IF(AND((V176&lt;&gt;"")+(W176&lt;&gt;""),WEEKDAY(V$1,2)=6),1,0),IF(AND((X176&lt;&gt;"")+(Y176&lt;&gt;""),WEEKDAY(X$1,2)=6),1,0),IF(AND((Z176&lt;&gt;"")+(AA176&lt;&gt;""),WEEKDAY(Z$1,2)=6),1,0),IF(AND((AB176&lt;&gt;"")+(AC176&lt;&gt;""),WEEKDAY(AB$1,2)=6),1,0),IF(AND((AD176&lt;&gt;"")+(AE176&lt;&gt;""),WEEKDAY(AD$1,2)=6),1,0),IF(AND((AF176&lt;&gt;"")+(AG176&lt;&gt;""),WEEKDAY(AF$1,2)=6),1,0),IF(AND((AH176&lt;&gt;"")+(AI176&lt;&gt;""),WEEKDAY(AH$1,2)=6),1,0),IF(AND((AJ176&lt;&gt;"")+(AK176&lt;&gt;""),WEEKDAY(AJ$1,2)=6),1,0),IF(AND((AL176&lt;&gt;"")+(AM176&lt;&gt;""),WEEKDAY(AL$1,2)=6),1,0),IF(AND((AN176&lt;&gt;"")+(AO176&lt;&gt;""),WEEKDAY(AN$1,2)=6),1,0),IF(AND((AP176&lt;&gt;"")+(AQ176&lt;&gt;""),WEEKDAY(AP$1,2)=6),1,0),IF(AND((AR176&lt;&gt;"")+(AS176&lt;&gt;""),WEEKDAY(AR$1,2)=6),1,0),IF(AND((AT176&lt;&gt;"")+(AU176&lt;&gt;""),WEEKDAY(AT$1,2)=6),1,0),IF(AND((AV176&lt;&gt;"")+(AW176&lt;&gt;""),WEEKDAY(AV$1,2)=6),1,0),IF(AND((AX176&lt;&gt;"")+(AY176&lt;&gt;""),WEEKDAY(AX$1,2)=6),1,0),IF(AND((AZ176&lt;&gt;"")+(BA176&lt;&gt;""),WEEKDAY(AZ$1,2)=6),1,0),IF(AND((BB176&lt;&gt;"")+(BC176&lt;&gt;""),WEEKDAY(BB$1,2)=6),1,0),IF(AND((BD176&lt;&gt;"")+(BE176&lt;&gt;""),WEEKDAY(BD$1,2)=6),1,0),IF(AND((BF176&lt;&gt;"")+(BG176&lt;&gt;""),WEEKDAY(BF$1,2)=6),1,0),IF(AND((BH176&lt;&gt;"")+(BI176&lt;&gt;""),WEEKDAY(BH$1,2)=6),1,0),IF(AND((BJ176&lt;&gt;"")+(BK176&lt;&gt;""),WEEKDAY(BJ$1,2)=6),1,0),IF(AND((BL176&lt;&gt;"")+(BM176&lt;&gt;""),WEEKDAY(BL$1,2)=6),1,0))</f>
        <v>0</v>
      </c>
    </row>
    <row r="177" spans="1:68" ht="16.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>
        <f>SUM(IF(AND(D177&lt;&gt;"",WEEKDAY(D$1,2)&lt;6),1,0),IF(AND(F177&lt;&gt;"",WEEKDAY(F$1,2)&lt;6),1,0),IF(AND(H177&lt;&gt;"",WEEKDAY(H$1,2)&lt;6),1,0),IF(AND(J177&lt;&gt;"",WEEKDAY(J$1,2)&lt;6),1,0),IF(AND(L177&lt;&gt;"",WEEKDAY(L$1,2)&lt;6),1,0),IF(AND(N177&lt;&gt;"",WEEKDAY(N$1,2)&lt;6),1,0),IF(AND(P177&lt;&gt;"",WEEKDAY(P$1,2)&lt;6),1,0),IF(AND(R177&lt;&gt;"",WEEKDAY(R$1,2)&lt;6),1,0),IF(AND(T177&lt;&gt;"",WEEKDAY(T$1,2)&lt;6),1,0),IF(AND(V177&lt;&gt;"",WEEKDAY(V$1,2)&lt;6),1,0),IF(AND(X177&lt;&gt;"",WEEKDAY(X$1,2)&lt;6),1,0),IF(AND(Z177&lt;&gt;"",WEEKDAY(Z$1,2)&lt;6),1,0),IF(AND(AB177&lt;&gt;"",WEEKDAY(AB$1,2)&lt;6),1,0),IF(AND(AD177&lt;&gt;"",WEEKDAY(AD$1,2)&lt;6),1,0),IF(AND(AF177&lt;&gt;"",WEEKDAY(AF$1,2)&lt;6),1,0),IF(AND(AH177&lt;&gt;"",WEEKDAY(AH$1,2)&lt;6),1,0),IF(AND(AJ177&lt;&gt;"",WEEKDAY(AJ$1,2)&lt;6),1,0),IF(AND(AL177&lt;&gt;"",WEEKDAY(AL$1,2)&lt;6),1,0),IF(AND(AN177&lt;&gt;"",WEEKDAY(AN$1,2)&lt;6),1,0),IF(AND(AP177&lt;&gt;"",WEEKDAY(AP$1,2)&lt;6),1,0),IF(AND(AR177&lt;&gt;"",WEEKDAY(AR$1,2)&lt;6),1,0),IF(AND(AT177&lt;&gt;"",WEEKDAY(AT$1,2)&lt;6),1,0),IF(AND(AV177&lt;&gt;"",WEEKDAY(AV$1,2)&lt;6),1,0),IF(AND(AX177&lt;&gt;"",WEEKDAY(AX$1,2)&lt;6),1,0),IF(AND(AZ177&lt;&gt;"",WEEKDAY(AZ$1,2)&lt;6),1,0),IF(AND(BB177&lt;&gt;"",WEEKDAY(BB$1,2)&lt;6),1,0),IF(AND(BD177&lt;&gt;"",WEEKDAY(BD$1,2)&lt;6),1,0),IF(AND(BF177&lt;&gt;"",WEEKDAY(BF$1,2)&lt;6),1,0),IF(AND(BH177&lt;&gt;"",WEEKDAY(BH$1,2)&lt;6),1,0),IF(AND(BJ177&lt;&gt;"",WEEKDAY(BJ$1,2)&lt;6),1,0),IF(AND(BL177&lt;&gt;"",WEEKDAY(BL$1,2)&lt;6),1,0))</f>
        <v>0</v>
      </c>
      <c r="BO177" s="85">
        <f>SUM(IF(AND(E177&lt;&gt;"",WEEKDAY(D$1,2)&lt;6),1,0),IF(AND(G177&lt;&gt;"",WEEKDAY(F$1,2)&lt;6),1,0),IF(AND(I177&lt;&gt;"",WEEKDAY(H$1,2)&lt;6),1,0),IF(AND(K177&lt;&gt;"",WEEKDAY(J$1,2)&lt;6),1,0),IF(AND(M177&lt;&gt;"",WEEKDAY(L$1,2)&lt;6),1,0),IF(AND(O177&lt;&gt;"",WEEKDAY(N$1,2)&lt;6),1,0),IF(AND(Q177&lt;&gt;"",WEEKDAY(P$1,2)&lt;6),1,0),IF(AND(S177&lt;&gt;"",WEEKDAY(R$1,2)&lt;6),1,0),IF(AND(U177&lt;&gt;"",WEEKDAY(T$1,2)&lt;6),1,0),IF(AND(W177&lt;&gt;"",WEEKDAY(V$1,2)&lt;6),1,0),IF(AND(Y177&lt;&gt;"",WEEKDAY(X$1,2)&lt;6),1,0),IF(AND(AA177&lt;&gt;"",WEEKDAY(Z$1,2)&lt;6),1,0),IF(AND(AC177&lt;&gt;"",WEEKDAY(AB$1,2)&lt;6),1,0),IF(AND(AE177&lt;&gt;"",WEEKDAY(AD$1,2)&lt;6),1,0),IF(AND(AG177&lt;&gt;"",WEEKDAY(AF$1,2)&lt;6),1,0),IF(AND(AI177&lt;&gt;"",WEEKDAY(AH$1,2)&lt;6),1,0),IF(AND(AK177&lt;&gt;"",WEEKDAY(AJ$1,2)&lt;6),1,0),IF(AND(AM177&lt;&gt;"",WEEKDAY(AL$1,2)&lt;6),1,0),IF(AND(AO177&lt;&gt;"",WEEKDAY(AN$1,2)&lt;6),1,0),IF(AND(AQ177&lt;&gt;"",WEEKDAY(AP$1,2)&lt;6),1,0),IF(AND(AS177&lt;&gt;"",WEEKDAY(AR$1,2)&lt;6),1,0),IF(AND(AU177&lt;&gt;"",WEEKDAY(AT$1,2)&lt;6),1,0),IF(AND(AW177&lt;&gt;"",WEEKDAY(AV$1,2)&lt;6),1,0),IF(AND(AY177&lt;&gt;"",WEEKDAY(AX$1,2)&lt;6),1,0),IF(AND(BA177&lt;&gt;"",WEEKDAY(AZ$1,2)&lt;6),1,0),IF(AND(BC177&lt;&gt;"",WEEKDAY(BB$1,2)&lt;6),1,0),IF(AND(BE177&lt;&gt;"",WEEKDAY(BD$1,2)&lt;6),1,0),IF(AND(BG177&lt;&gt;"",WEEKDAY(BF$1,2)&lt;6),1,0),IF(AND(BI177&lt;&gt;"",WEEKDAY(BH$1,2)&lt;6),1,0),IF(AND(BK177&lt;&gt;"",WEEKDAY(BJ$1,2)&lt;6),1,0),IF(AND(BM177&lt;&gt;"",WEEKDAY(BL$1,2)&lt;6),1,0))</f>
        <v>0</v>
      </c>
      <c r="BP177" s="85">
        <f>SUM(IF(AND((D177&lt;&gt;"")+(E177&lt;&gt;""),WEEKDAY(D$1,2)=6),1,0),IF(AND((F177&lt;&gt;"")+(G177&lt;&gt;""),WEEKDAY(F$1,2)=6),1,0),IF(AND((H177&lt;&gt;"")+(I177&lt;&gt;""),WEEKDAY(H$1,2)=6),1,0),IF(AND((J177&lt;&gt;"")+(K177&lt;&gt;""),WEEKDAY(J$1,2)=6),1,0),IF(AND((L177&lt;&gt;"")+(M177&lt;&gt;""),WEEKDAY(L$1,2)=6),1,0),IF(AND((N177&lt;&gt;"")+(O177&lt;&gt;""),WEEKDAY(N$1,2)=6),1,0),IF(AND((P177&lt;&gt;"")+(Q177&lt;&gt;""),WEEKDAY(P$1,2)=6),1,0),IF(AND((R177&lt;&gt;"")+(S177&lt;&gt;""),WEEKDAY(R$1,2)=6),1,0),IF(AND((T177&lt;&gt;"")+(U177&lt;&gt;""),WEEKDAY(T$1,2)=6),1,0),IF(AND((V177&lt;&gt;"")+(W177&lt;&gt;""),WEEKDAY(V$1,2)=6),1,0),IF(AND((X177&lt;&gt;"")+(Y177&lt;&gt;""),WEEKDAY(X$1,2)=6),1,0),IF(AND((Z177&lt;&gt;"")+(AA177&lt;&gt;""),WEEKDAY(Z$1,2)=6),1,0),IF(AND((AB177&lt;&gt;"")+(AC177&lt;&gt;""),WEEKDAY(AB$1,2)=6),1,0),IF(AND((AD177&lt;&gt;"")+(AE177&lt;&gt;""),WEEKDAY(AD$1,2)=6),1,0),IF(AND((AF177&lt;&gt;"")+(AG177&lt;&gt;""),WEEKDAY(AF$1,2)=6),1,0),IF(AND((AH177&lt;&gt;"")+(AI177&lt;&gt;""),WEEKDAY(AH$1,2)=6),1,0),IF(AND((AJ177&lt;&gt;"")+(AK177&lt;&gt;""),WEEKDAY(AJ$1,2)=6),1,0),IF(AND((AL177&lt;&gt;"")+(AM177&lt;&gt;""),WEEKDAY(AL$1,2)=6),1,0),IF(AND((AN177&lt;&gt;"")+(AO177&lt;&gt;""),WEEKDAY(AN$1,2)=6),1,0),IF(AND((AP177&lt;&gt;"")+(AQ177&lt;&gt;""),WEEKDAY(AP$1,2)=6),1,0),IF(AND((AR177&lt;&gt;"")+(AS177&lt;&gt;""),WEEKDAY(AR$1,2)=6),1,0),IF(AND((AT177&lt;&gt;"")+(AU177&lt;&gt;""),WEEKDAY(AT$1,2)=6),1,0),IF(AND((AV177&lt;&gt;"")+(AW177&lt;&gt;""),WEEKDAY(AV$1,2)=6),1,0),IF(AND((AX177&lt;&gt;"")+(AY177&lt;&gt;""),WEEKDAY(AX$1,2)=6),1,0),IF(AND((AZ177&lt;&gt;"")+(BA177&lt;&gt;""),WEEKDAY(AZ$1,2)=6),1,0),IF(AND((BB177&lt;&gt;"")+(BC177&lt;&gt;""),WEEKDAY(BB$1,2)=6),1,0),IF(AND((BD177&lt;&gt;"")+(BE177&lt;&gt;""),WEEKDAY(BD$1,2)=6),1,0),IF(AND((BF177&lt;&gt;"")+(BG177&lt;&gt;""),WEEKDAY(BF$1,2)=6),1,0),IF(AND((BH177&lt;&gt;"")+(BI177&lt;&gt;""),WEEKDAY(BH$1,2)=6),1,0),IF(AND((BJ177&lt;&gt;"")+(BK177&lt;&gt;""),WEEKDAY(BJ$1,2)=6),1,0),IF(AND((BL177&lt;&gt;"")+(BM177&lt;&gt;""),WEEKDAY(BL$1,2)=6),1,0))</f>
        <v>0</v>
      </c>
    </row>
    <row r="178" spans="1:68" ht="16.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>
        <f>SUM(IF(AND(D178&lt;&gt;"",WEEKDAY(D$1,2)&lt;6),1,0),IF(AND(F178&lt;&gt;"",WEEKDAY(F$1,2)&lt;6),1,0),IF(AND(H178&lt;&gt;"",WEEKDAY(H$1,2)&lt;6),1,0),IF(AND(J178&lt;&gt;"",WEEKDAY(J$1,2)&lt;6),1,0),IF(AND(L178&lt;&gt;"",WEEKDAY(L$1,2)&lt;6),1,0),IF(AND(N178&lt;&gt;"",WEEKDAY(N$1,2)&lt;6),1,0),IF(AND(P178&lt;&gt;"",WEEKDAY(P$1,2)&lt;6),1,0),IF(AND(R178&lt;&gt;"",WEEKDAY(R$1,2)&lt;6),1,0),IF(AND(T178&lt;&gt;"",WEEKDAY(T$1,2)&lt;6),1,0),IF(AND(V178&lt;&gt;"",WEEKDAY(V$1,2)&lt;6),1,0),IF(AND(X178&lt;&gt;"",WEEKDAY(X$1,2)&lt;6),1,0),IF(AND(Z178&lt;&gt;"",WEEKDAY(Z$1,2)&lt;6),1,0),IF(AND(AB178&lt;&gt;"",WEEKDAY(AB$1,2)&lt;6),1,0),IF(AND(AD178&lt;&gt;"",WEEKDAY(AD$1,2)&lt;6),1,0),IF(AND(AF178&lt;&gt;"",WEEKDAY(AF$1,2)&lt;6),1,0),IF(AND(AH178&lt;&gt;"",WEEKDAY(AH$1,2)&lt;6),1,0),IF(AND(AJ178&lt;&gt;"",WEEKDAY(AJ$1,2)&lt;6),1,0),IF(AND(AL178&lt;&gt;"",WEEKDAY(AL$1,2)&lt;6),1,0),IF(AND(AN178&lt;&gt;"",WEEKDAY(AN$1,2)&lt;6),1,0),IF(AND(AP178&lt;&gt;"",WEEKDAY(AP$1,2)&lt;6),1,0),IF(AND(AR178&lt;&gt;"",WEEKDAY(AR$1,2)&lt;6),1,0),IF(AND(AT178&lt;&gt;"",WEEKDAY(AT$1,2)&lt;6),1,0),IF(AND(AV178&lt;&gt;"",WEEKDAY(AV$1,2)&lt;6),1,0),IF(AND(AX178&lt;&gt;"",WEEKDAY(AX$1,2)&lt;6),1,0),IF(AND(AZ178&lt;&gt;"",WEEKDAY(AZ$1,2)&lt;6),1,0),IF(AND(BB178&lt;&gt;"",WEEKDAY(BB$1,2)&lt;6),1,0),IF(AND(BD178&lt;&gt;"",WEEKDAY(BD$1,2)&lt;6),1,0),IF(AND(BF178&lt;&gt;"",WEEKDAY(BF$1,2)&lt;6),1,0),IF(AND(BH178&lt;&gt;"",WEEKDAY(BH$1,2)&lt;6),1,0),IF(AND(BJ178&lt;&gt;"",WEEKDAY(BJ$1,2)&lt;6),1,0),IF(AND(BL178&lt;&gt;"",WEEKDAY(BL$1,2)&lt;6),1,0))</f>
        <v>0</v>
      </c>
      <c r="BO178" s="85">
        <f>SUM(IF(AND(E178&lt;&gt;"",WEEKDAY(D$1,2)&lt;6),1,0),IF(AND(G178&lt;&gt;"",WEEKDAY(F$1,2)&lt;6),1,0),IF(AND(I178&lt;&gt;"",WEEKDAY(H$1,2)&lt;6),1,0),IF(AND(K178&lt;&gt;"",WEEKDAY(J$1,2)&lt;6),1,0),IF(AND(M178&lt;&gt;"",WEEKDAY(L$1,2)&lt;6),1,0),IF(AND(O178&lt;&gt;"",WEEKDAY(N$1,2)&lt;6),1,0),IF(AND(Q178&lt;&gt;"",WEEKDAY(P$1,2)&lt;6),1,0),IF(AND(S178&lt;&gt;"",WEEKDAY(R$1,2)&lt;6),1,0),IF(AND(U178&lt;&gt;"",WEEKDAY(T$1,2)&lt;6),1,0),IF(AND(W178&lt;&gt;"",WEEKDAY(V$1,2)&lt;6),1,0),IF(AND(Y178&lt;&gt;"",WEEKDAY(X$1,2)&lt;6),1,0),IF(AND(AA178&lt;&gt;"",WEEKDAY(Z$1,2)&lt;6),1,0),IF(AND(AC178&lt;&gt;"",WEEKDAY(AB$1,2)&lt;6),1,0),IF(AND(AE178&lt;&gt;"",WEEKDAY(AD$1,2)&lt;6),1,0),IF(AND(AG178&lt;&gt;"",WEEKDAY(AF$1,2)&lt;6),1,0),IF(AND(AI178&lt;&gt;"",WEEKDAY(AH$1,2)&lt;6),1,0),IF(AND(AK178&lt;&gt;"",WEEKDAY(AJ$1,2)&lt;6),1,0),IF(AND(AM178&lt;&gt;"",WEEKDAY(AL$1,2)&lt;6),1,0),IF(AND(AO178&lt;&gt;"",WEEKDAY(AN$1,2)&lt;6),1,0),IF(AND(AQ178&lt;&gt;"",WEEKDAY(AP$1,2)&lt;6),1,0),IF(AND(AS178&lt;&gt;"",WEEKDAY(AR$1,2)&lt;6),1,0),IF(AND(AU178&lt;&gt;"",WEEKDAY(AT$1,2)&lt;6),1,0),IF(AND(AW178&lt;&gt;"",WEEKDAY(AV$1,2)&lt;6),1,0),IF(AND(AY178&lt;&gt;"",WEEKDAY(AX$1,2)&lt;6),1,0),IF(AND(BA178&lt;&gt;"",WEEKDAY(AZ$1,2)&lt;6),1,0),IF(AND(BC178&lt;&gt;"",WEEKDAY(BB$1,2)&lt;6),1,0),IF(AND(BE178&lt;&gt;"",WEEKDAY(BD$1,2)&lt;6),1,0),IF(AND(BG178&lt;&gt;"",WEEKDAY(BF$1,2)&lt;6),1,0),IF(AND(BI178&lt;&gt;"",WEEKDAY(BH$1,2)&lt;6),1,0),IF(AND(BK178&lt;&gt;"",WEEKDAY(BJ$1,2)&lt;6),1,0),IF(AND(BM178&lt;&gt;"",WEEKDAY(BL$1,2)&lt;6),1,0))</f>
        <v>0</v>
      </c>
      <c r="BP178" s="85">
        <f>SUM(IF(AND((D178&lt;&gt;"")+(E178&lt;&gt;""),WEEKDAY(D$1,2)=6),1,0),IF(AND((F178&lt;&gt;"")+(G178&lt;&gt;""),WEEKDAY(F$1,2)=6),1,0),IF(AND((H178&lt;&gt;"")+(I178&lt;&gt;""),WEEKDAY(H$1,2)=6),1,0),IF(AND((J178&lt;&gt;"")+(K178&lt;&gt;""),WEEKDAY(J$1,2)=6),1,0),IF(AND((L178&lt;&gt;"")+(M178&lt;&gt;""),WEEKDAY(L$1,2)=6),1,0),IF(AND((N178&lt;&gt;"")+(O178&lt;&gt;""),WEEKDAY(N$1,2)=6),1,0),IF(AND((P178&lt;&gt;"")+(Q178&lt;&gt;""),WEEKDAY(P$1,2)=6),1,0),IF(AND((R178&lt;&gt;"")+(S178&lt;&gt;""),WEEKDAY(R$1,2)=6),1,0),IF(AND((T178&lt;&gt;"")+(U178&lt;&gt;""),WEEKDAY(T$1,2)=6),1,0),IF(AND((V178&lt;&gt;"")+(W178&lt;&gt;""),WEEKDAY(V$1,2)=6),1,0),IF(AND((X178&lt;&gt;"")+(Y178&lt;&gt;""),WEEKDAY(X$1,2)=6),1,0),IF(AND((Z178&lt;&gt;"")+(AA178&lt;&gt;""),WEEKDAY(Z$1,2)=6),1,0),IF(AND((AB178&lt;&gt;"")+(AC178&lt;&gt;""),WEEKDAY(AB$1,2)=6),1,0),IF(AND((AD178&lt;&gt;"")+(AE178&lt;&gt;""),WEEKDAY(AD$1,2)=6),1,0),IF(AND((AF178&lt;&gt;"")+(AG178&lt;&gt;""),WEEKDAY(AF$1,2)=6),1,0),IF(AND((AH178&lt;&gt;"")+(AI178&lt;&gt;""),WEEKDAY(AH$1,2)=6),1,0),IF(AND((AJ178&lt;&gt;"")+(AK178&lt;&gt;""),WEEKDAY(AJ$1,2)=6),1,0),IF(AND((AL178&lt;&gt;"")+(AM178&lt;&gt;""),WEEKDAY(AL$1,2)=6),1,0),IF(AND((AN178&lt;&gt;"")+(AO178&lt;&gt;""),WEEKDAY(AN$1,2)=6),1,0),IF(AND((AP178&lt;&gt;"")+(AQ178&lt;&gt;""),WEEKDAY(AP$1,2)=6),1,0),IF(AND((AR178&lt;&gt;"")+(AS178&lt;&gt;""),WEEKDAY(AR$1,2)=6),1,0),IF(AND((AT178&lt;&gt;"")+(AU178&lt;&gt;""),WEEKDAY(AT$1,2)=6),1,0),IF(AND((AV178&lt;&gt;"")+(AW178&lt;&gt;""),WEEKDAY(AV$1,2)=6),1,0),IF(AND((AX178&lt;&gt;"")+(AY178&lt;&gt;""),WEEKDAY(AX$1,2)=6),1,0),IF(AND((AZ178&lt;&gt;"")+(BA178&lt;&gt;""),WEEKDAY(AZ$1,2)=6),1,0),IF(AND((BB178&lt;&gt;"")+(BC178&lt;&gt;""),WEEKDAY(BB$1,2)=6),1,0),IF(AND((BD178&lt;&gt;"")+(BE178&lt;&gt;""),WEEKDAY(BD$1,2)=6),1,0),IF(AND((BF178&lt;&gt;"")+(BG178&lt;&gt;""),WEEKDAY(BF$1,2)=6),1,0),IF(AND((BH178&lt;&gt;"")+(BI178&lt;&gt;""),WEEKDAY(BH$1,2)=6),1,0),IF(AND((BJ178&lt;&gt;"")+(BK178&lt;&gt;""),WEEKDAY(BJ$1,2)=6),1,0),IF(AND((BL178&lt;&gt;"")+(BM178&lt;&gt;""),WEEKDAY(BL$1,2)=6),1,0))</f>
        <v>0</v>
      </c>
    </row>
    <row r="179" spans="1:68" ht="16.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>
        <f>SUM(IF(AND(D179&lt;&gt;"",WEEKDAY(D$1,2)&lt;6),1,0),IF(AND(F179&lt;&gt;"",WEEKDAY(F$1,2)&lt;6),1,0),IF(AND(H179&lt;&gt;"",WEEKDAY(H$1,2)&lt;6),1,0),IF(AND(J179&lt;&gt;"",WEEKDAY(J$1,2)&lt;6),1,0),IF(AND(L179&lt;&gt;"",WEEKDAY(L$1,2)&lt;6),1,0),IF(AND(N179&lt;&gt;"",WEEKDAY(N$1,2)&lt;6),1,0),IF(AND(P179&lt;&gt;"",WEEKDAY(P$1,2)&lt;6),1,0),IF(AND(R179&lt;&gt;"",WEEKDAY(R$1,2)&lt;6),1,0),IF(AND(T179&lt;&gt;"",WEEKDAY(T$1,2)&lt;6),1,0),IF(AND(V179&lt;&gt;"",WEEKDAY(V$1,2)&lt;6),1,0),IF(AND(X179&lt;&gt;"",WEEKDAY(X$1,2)&lt;6),1,0),IF(AND(Z179&lt;&gt;"",WEEKDAY(Z$1,2)&lt;6),1,0),IF(AND(AB179&lt;&gt;"",WEEKDAY(AB$1,2)&lt;6),1,0),IF(AND(AD179&lt;&gt;"",WEEKDAY(AD$1,2)&lt;6),1,0),IF(AND(AF179&lt;&gt;"",WEEKDAY(AF$1,2)&lt;6),1,0),IF(AND(AH179&lt;&gt;"",WEEKDAY(AH$1,2)&lt;6),1,0),IF(AND(AJ179&lt;&gt;"",WEEKDAY(AJ$1,2)&lt;6),1,0),IF(AND(AL179&lt;&gt;"",WEEKDAY(AL$1,2)&lt;6),1,0),IF(AND(AN179&lt;&gt;"",WEEKDAY(AN$1,2)&lt;6),1,0),IF(AND(AP179&lt;&gt;"",WEEKDAY(AP$1,2)&lt;6),1,0),IF(AND(AR179&lt;&gt;"",WEEKDAY(AR$1,2)&lt;6),1,0),IF(AND(AT179&lt;&gt;"",WEEKDAY(AT$1,2)&lt;6),1,0),IF(AND(AV179&lt;&gt;"",WEEKDAY(AV$1,2)&lt;6),1,0),IF(AND(AX179&lt;&gt;"",WEEKDAY(AX$1,2)&lt;6),1,0),IF(AND(AZ179&lt;&gt;"",WEEKDAY(AZ$1,2)&lt;6),1,0),IF(AND(BB179&lt;&gt;"",WEEKDAY(BB$1,2)&lt;6),1,0),IF(AND(BD179&lt;&gt;"",WEEKDAY(BD$1,2)&lt;6),1,0),IF(AND(BF179&lt;&gt;"",WEEKDAY(BF$1,2)&lt;6),1,0),IF(AND(BH179&lt;&gt;"",WEEKDAY(BH$1,2)&lt;6),1,0),IF(AND(BJ179&lt;&gt;"",WEEKDAY(BJ$1,2)&lt;6),1,0),IF(AND(BL179&lt;&gt;"",WEEKDAY(BL$1,2)&lt;6),1,0))</f>
        <v>0</v>
      </c>
      <c r="BO179" s="85">
        <f>SUM(IF(AND(E179&lt;&gt;"",WEEKDAY(D$1,2)&lt;6),1,0),IF(AND(G179&lt;&gt;"",WEEKDAY(F$1,2)&lt;6),1,0),IF(AND(I179&lt;&gt;"",WEEKDAY(H$1,2)&lt;6),1,0),IF(AND(K179&lt;&gt;"",WEEKDAY(J$1,2)&lt;6),1,0),IF(AND(M179&lt;&gt;"",WEEKDAY(L$1,2)&lt;6),1,0),IF(AND(O179&lt;&gt;"",WEEKDAY(N$1,2)&lt;6),1,0),IF(AND(Q179&lt;&gt;"",WEEKDAY(P$1,2)&lt;6),1,0),IF(AND(S179&lt;&gt;"",WEEKDAY(R$1,2)&lt;6),1,0),IF(AND(U179&lt;&gt;"",WEEKDAY(T$1,2)&lt;6),1,0),IF(AND(W179&lt;&gt;"",WEEKDAY(V$1,2)&lt;6),1,0),IF(AND(Y179&lt;&gt;"",WEEKDAY(X$1,2)&lt;6),1,0),IF(AND(AA179&lt;&gt;"",WEEKDAY(Z$1,2)&lt;6),1,0),IF(AND(AC179&lt;&gt;"",WEEKDAY(AB$1,2)&lt;6),1,0),IF(AND(AE179&lt;&gt;"",WEEKDAY(AD$1,2)&lt;6),1,0),IF(AND(AG179&lt;&gt;"",WEEKDAY(AF$1,2)&lt;6),1,0),IF(AND(AI179&lt;&gt;"",WEEKDAY(AH$1,2)&lt;6),1,0),IF(AND(AK179&lt;&gt;"",WEEKDAY(AJ$1,2)&lt;6),1,0),IF(AND(AM179&lt;&gt;"",WEEKDAY(AL$1,2)&lt;6),1,0),IF(AND(AO179&lt;&gt;"",WEEKDAY(AN$1,2)&lt;6),1,0),IF(AND(AQ179&lt;&gt;"",WEEKDAY(AP$1,2)&lt;6),1,0),IF(AND(AS179&lt;&gt;"",WEEKDAY(AR$1,2)&lt;6),1,0),IF(AND(AU179&lt;&gt;"",WEEKDAY(AT$1,2)&lt;6),1,0),IF(AND(AW179&lt;&gt;"",WEEKDAY(AV$1,2)&lt;6),1,0),IF(AND(AY179&lt;&gt;"",WEEKDAY(AX$1,2)&lt;6),1,0),IF(AND(BA179&lt;&gt;"",WEEKDAY(AZ$1,2)&lt;6),1,0),IF(AND(BC179&lt;&gt;"",WEEKDAY(BB$1,2)&lt;6),1,0),IF(AND(BE179&lt;&gt;"",WEEKDAY(BD$1,2)&lt;6),1,0),IF(AND(BG179&lt;&gt;"",WEEKDAY(BF$1,2)&lt;6),1,0),IF(AND(BI179&lt;&gt;"",WEEKDAY(BH$1,2)&lt;6),1,0),IF(AND(BK179&lt;&gt;"",WEEKDAY(BJ$1,2)&lt;6),1,0),IF(AND(BM179&lt;&gt;"",WEEKDAY(BL$1,2)&lt;6),1,0))</f>
        <v>0</v>
      </c>
      <c r="BP179" s="85">
        <f>SUM(IF(AND((D179&lt;&gt;"")+(E179&lt;&gt;""),WEEKDAY(D$1,2)=6),1,0),IF(AND((F179&lt;&gt;"")+(G179&lt;&gt;""),WEEKDAY(F$1,2)=6),1,0),IF(AND((H179&lt;&gt;"")+(I179&lt;&gt;""),WEEKDAY(H$1,2)=6),1,0),IF(AND((J179&lt;&gt;"")+(K179&lt;&gt;""),WEEKDAY(J$1,2)=6),1,0),IF(AND((L179&lt;&gt;"")+(M179&lt;&gt;""),WEEKDAY(L$1,2)=6),1,0),IF(AND((N179&lt;&gt;"")+(O179&lt;&gt;""),WEEKDAY(N$1,2)=6),1,0),IF(AND((P179&lt;&gt;"")+(Q179&lt;&gt;""),WEEKDAY(P$1,2)=6),1,0),IF(AND((R179&lt;&gt;"")+(S179&lt;&gt;""),WEEKDAY(R$1,2)=6),1,0),IF(AND((T179&lt;&gt;"")+(U179&lt;&gt;""),WEEKDAY(T$1,2)=6),1,0),IF(AND((V179&lt;&gt;"")+(W179&lt;&gt;""),WEEKDAY(V$1,2)=6),1,0),IF(AND((X179&lt;&gt;"")+(Y179&lt;&gt;""),WEEKDAY(X$1,2)=6),1,0),IF(AND((Z179&lt;&gt;"")+(AA179&lt;&gt;""),WEEKDAY(Z$1,2)=6),1,0),IF(AND((AB179&lt;&gt;"")+(AC179&lt;&gt;""),WEEKDAY(AB$1,2)=6),1,0),IF(AND((AD179&lt;&gt;"")+(AE179&lt;&gt;""),WEEKDAY(AD$1,2)=6),1,0),IF(AND((AF179&lt;&gt;"")+(AG179&lt;&gt;""),WEEKDAY(AF$1,2)=6),1,0),IF(AND((AH179&lt;&gt;"")+(AI179&lt;&gt;""),WEEKDAY(AH$1,2)=6),1,0),IF(AND((AJ179&lt;&gt;"")+(AK179&lt;&gt;""),WEEKDAY(AJ$1,2)=6),1,0),IF(AND((AL179&lt;&gt;"")+(AM179&lt;&gt;""),WEEKDAY(AL$1,2)=6),1,0),IF(AND((AN179&lt;&gt;"")+(AO179&lt;&gt;""),WEEKDAY(AN$1,2)=6),1,0),IF(AND((AP179&lt;&gt;"")+(AQ179&lt;&gt;""),WEEKDAY(AP$1,2)=6),1,0),IF(AND((AR179&lt;&gt;"")+(AS179&lt;&gt;""),WEEKDAY(AR$1,2)=6),1,0),IF(AND((AT179&lt;&gt;"")+(AU179&lt;&gt;""),WEEKDAY(AT$1,2)=6),1,0),IF(AND((AV179&lt;&gt;"")+(AW179&lt;&gt;""),WEEKDAY(AV$1,2)=6),1,0),IF(AND((AX179&lt;&gt;"")+(AY179&lt;&gt;""),WEEKDAY(AX$1,2)=6),1,0),IF(AND((AZ179&lt;&gt;"")+(BA179&lt;&gt;""),WEEKDAY(AZ$1,2)=6),1,0),IF(AND((BB179&lt;&gt;"")+(BC179&lt;&gt;""),WEEKDAY(BB$1,2)=6),1,0),IF(AND((BD179&lt;&gt;"")+(BE179&lt;&gt;""),WEEKDAY(BD$1,2)=6),1,0),IF(AND((BF179&lt;&gt;"")+(BG179&lt;&gt;""),WEEKDAY(BF$1,2)=6),1,0),IF(AND((BH179&lt;&gt;"")+(BI179&lt;&gt;""),WEEKDAY(BH$1,2)=6),1,0),IF(AND((BJ179&lt;&gt;"")+(BK179&lt;&gt;""),WEEKDAY(BJ$1,2)=6),1,0),IF(AND((BL179&lt;&gt;"")+(BM179&lt;&gt;""),WEEKDAY(BL$1,2)=6),1,0))</f>
        <v>0</v>
      </c>
    </row>
    <row r="180" spans="1:68" ht="16.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>
        <f>SUM(IF(AND(D180&lt;&gt;"",WEEKDAY(D$1,2)&lt;6),1,0),IF(AND(F180&lt;&gt;"",WEEKDAY(F$1,2)&lt;6),1,0),IF(AND(H180&lt;&gt;"",WEEKDAY(H$1,2)&lt;6),1,0),IF(AND(J180&lt;&gt;"",WEEKDAY(J$1,2)&lt;6),1,0),IF(AND(L180&lt;&gt;"",WEEKDAY(L$1,2)&lt;6),1,0),IF(AND(N180&lt;&gt;"",WEEKDAY(N$1,2)&lt;6),1,0),IF(AND(P180&lt;&gt;"",WEEKDAY(P$1,2)&lt;6),1,0),IF(AND(R180&lt;&gt;"",WEEKDAY(R$1,2)&lt;6),1,0),IF(AND(T180&lt;&gt;"",WEEKDAY(T$1,2)&lt;6),1,0),IF(AND(V180&lt;&gt;"",WEEKDAY(V$1,2)&lt;6),1,0),IF(AND(X180&lt;&gt;"",WEEKDAY(X$1,2)&lt;6),1,0),IF(AND(Z180&lt;&gt;"",WEEKDAY(Z$1,2)&lt;6),1,0),IF(AND(AB180&lt;&gt;"",WEEKDAY(AB$1,2)&lt;6),1,0),IF(AND(AD180&lt;&gt;"",WEEKDAY(AD$1,2)&lt;6),1,0),IF(AND(AF180&lt;&gt;"",WEEKDAY(AF$1,2)&lt;6),1,0),IF(AND(AH180&lt;&gt;"",WEEKDAY(AH$1,2)&lt;6),1,0),IF(AND(AJ180&lt;&gt;"",WEEKDAY(AJ$1,2)&lt;6),1,0),IF(AND(AL180&lt;&gt;"",WEEKDAY(AL$1,2)&lt;6),1,0),IF(AND(AN180&lt;&gt;"",WEEKDAY(AN$1,2)&lt;6),1,0),IF(AND(AP180&lt;&gt;"",WEEKDAY(AP$1,2)&lt;6),1,0),IF(AND(AR180&lt;&gt;"",WEEKDAY(AR$1,2)&lt;6),1,0),IF(AND(AT180&lt;&gt;"",WEEKDAY(AT$1,2)&lt;6),1,0),IF(AND(AV180&lt;&gt;"",WEEKDAY(AV$1,2)&lt;6),1,0),IF(AND(AX180&lt;&gt;"",WEEKDAY(AX$1,2)&lt;6),1,0),IF(AND(AZ180&lt;&gt;"",WEEKDAY(AZ$1,2)&lt;6),1,0),IF(AND(BB180&lt;&gt;"",WEEKDAY(BB$1,2)&lt;6),1,0),IF(AND(BD180&lt;&gt;"",WEEKDAY(BD$1,2)&lt;6),1,0),IF(AND(BF180&lt;&gt;"",WEEKDAY(BF$1,2)&lt;6),1,0),IF(AND(BH180&lt;&gt;"",WEEKDAY(BH$1,2)&lt;6),1,0),IF(AND(BJ180&lt;&gt;"",WEEKDAY(BJ$1,2)&lt;6),1,0),IF(AND(BL180&lt;&gt;"",WEEKDAY(BL$1,2)&lt;6),1,0))</f>
        <v>0</v>
      </c>
      <c r="BO180" s="85">
        <f>SUM(IF(AND(E180&lt;&gt;"",WEEKDAY(D$1,2)&lt;6),1,0),IF(AND(G180&lt;&gt;"",WEEKDAY(F$1,2)&lt;6),1,0),IF(AND(I180&lt;&gt;"",WEEKDAY(H$1,2)&lt;6),1,0),IF(AND(K180&lt;&gt;"",WEEKDAY(J$1,2)&lt;6),1,0),IF(AND(M180&lt;&gt;"",WEEKDAY(L$1,2)&lt;6),1,0),IF(AND(O180&lt;&gt;"",WEEKDAY(N$1,2)&lt;6),1,0),IF(AND(Q180&lt;&gt;"",WEEKDAY(P$1,2)&lt;6),1,0),IF(AND(S180&lt;&gt;"",WEEKDAY(R$1,2)&lt;6),1,0),IF(AND(U180&lt;&gt;"",WEEKDAY(T$1,2)&lt;6),1,0),IF(AND(W180&lt;&gt;"",WEEKDAY(V$1,2)&lt;6),1,0),IF(AND(Y180&lt;&gt;"",WEEKDAY(X$1,2)&lt;6),1,0),IF(AND(AA180&lt;&gt;"",WEEKDAY(Z$1,2)&lt;6),1,0),IF(AND(AC180&lt;&gt;"",WEEKDAY(AB$1,2)&lt;6),1,0),IF(AND(AE180&lt;&gt;"",WEEKDAY(AD$1,2)&lt;6),1,0),IF(AND(AG180&lt;&gt;"",WEEKDAY(AF$1,2)&lt;6),1,0),IF(AND(AI180&lt;&gt;"",WEEKDAY(AH$1,2)&lt;6),1,0),IF(AND(AK180&lt;&gt;"",WEEKDAY(AJ$1,2)&lt;6),1,0),IF(AND(AM180&lt;&gt;"",WEEKDAY(AL$1,2)&lt;6),1,0),IF(AND(AO180&lt;&gt;"",WEEKDAY(AN$1,2)&lt;6),1,0),IF(AND(AQ180&lt;&gt;"",WEEKDAY(AP$1,2)&lt;6),1,0),IF(AND(AS180&lt;&gt;"",WEEKDAY(AR$1,2)&lt;6),1,0),IF(AND(AU180&lt;&gt;"",WEEKDAY(AT$1,2)&lt;6),1,0),IF(AND(AW180&lt;&gt;"",WEEKDAY(AV$1,2)&lt;6),1,0),IF(AND(AY180&lt;&gt;"",WEEKDAY(AX$1,2)&lt;6),1,0),IF(AND(BA180&lt;&gt;"",WEEKDAY(AZ$1,2)&lt;6),1,0),IF(AND(BC180&lt;&gt;"",WEEKDAY(BB$1,2)&lt;6),1,0),IF(AND(BE180&lt;&gt;"",WEEKDAY(BD$1,2)&lt;6),1,0),IF(AND(BG180&lt;&gt;"",WEEKDAY(BF$1,2)&lt;6),1,0),IF(AND(BI180&lt;&gt;"",WEEKDAY(BH$1,2)&lt;6),1,0),IF(AND(BK180&lt;&gt;"",WEEKDAY(BJ$1,2)&lt;6),1,0),IF(AND(BM180&lt;&gt;"",WEEKDAY(BL$1,2)&lt;6),1,0))</f>
        <v>0</v>
      </c>
      <c r="BP180" s="85">
        <f>SUM(IF(AND((D180&lt;&gt;"")+(E180&lt;&gt;""),WEEKDAY(D$1,2)=6),1,0),IF(AND((F180&lt;&gt;"")+(G180&lt;&gt;""),WEEKDAY(F$1,2)=6),1,0),IF(AND((H180&lt;&gt;"")+(I180&lt;&gt;""),WEEKDAY(H$1,2)=6),1,0),IF(AND((J180&lt;&gt;"")+(K180&lt;&gt;""),WEEKDAY(J$1,2)=6),1,0),IF(AND((L180&lt;&gt;"")+(M180&lt;&gt;""),WEEKDAY(L$1,2)=6),1,0),IF(AND((N180&lt;&gt;"")+(O180&lt;&gt;""),WEEKDAY(N$1,2)=6),1,0),IF(AND((P180&lt;&gt;"")+(Q180&lt;&gt;""),WEEKDAY(P$1,2)=6),1,0),IF(AND((R180&lt;&gt;"")+(S180&lt;&gt;""),WEEKDAY(R$1,2)=6),1,0),IF(AND((T180&lt;&gt;"")+(U180&lt;&gt;""),WEEKDAY(T$1,2)=6),1,0),IF(AND((V180&lt;&gt;"")+(W180&lt;&gt;""),WEEKDAY(V$1,2)=6),1,0),IF(AND((X180&lt;&gt;"")+(Y180&lt;&gt;""),WEEKDAY(X$1,2)=6),1,0),IF(AND((Z180&lt;&gt;"")+(AA180&lt;&gt;""),WEEKDAY(Z$1,2)=6),1,0),IF(AND((AB180&lt;&gt;"")+(AC180&lt;&gt;""),WEEKDAY(AB$1,2)=6),1,0),IF(AND((AD180&lt;&gt;"")+(AE180&lt;&gt;""),WEEKDAY(AD$1,2)=6),1,0),IF(AND((AF180&lt;&gt;"")+(AG180&lt;&gt;""),WEEKDAY(AF$1,2)=6),1,0),IF(AND((AH180&lt;&gt;"")+(AI180&lt;&gt;""),WEEKDAY(AH$1,2)=6),1,0),IF(AND((AJ180&lt;&gt;"")+(AK180&lt;&gt;""),WEEKDAY(AJ$1,2)=6),1,0),IF(AND((AL180&lt;&gt;"")+(AM180&lt;&gt;""),WEEKDAY(AL$1,2)=6),1,0),IF(AND((AN180&lt;&gt;"")+(AO180&lt;&gt;""),WEEKDAY(AN$1,2)=6),1,0),IF(AND((AP180&lt;&gt;"")+(AQ180&lt;&gt;""),WEEKDAY(AP$1,2)=6),1,0),IF(AND((AR180&lt;&gt;"")+(AS180&lt;&gt;""),WEEKDAY(AR$1,2)=6),1,0),IF(AND((AT180&lt;&gt;"")+(AU180&lt;&gt;""),WEEKDAY(AT$1,2)=6),1,0),IF(AND((AV180&lt;&gt;"")+(AW180&lt;&gt;""),WEEKDAY(AV$1,2)=6),1,0),IF(AND((AX180&lt;&gt;"")+(AY180&lt;&gt;""),WEEKDAY(AX$1,2)=6),1,0),IF(AND((AZ180&lt;&gt;"")+(BA180&lt;&gt;""),WEEKDAY(AZ$1,2)=6),1,0),IF(AND((BB180&lt;&gt;"")+(BC180&lt;&gt;""),WEEKDAY(BB$1,2)=6),1,0),IF(AND((BD180&lt;&gt;"")+(BE180&lt;&gt;""),WEEKDAY(BD$1,2)=6),1,0),IF(AND((BF180&lt;&gt;"")+(BG180&lt;&gt;""),WEEKDAY(BF$1,2)=6),1,0),IF(AND((BH180&lt;&gt;"")+(BI180&lt;&gt;""),WEEKDAY(BH$1,2)=6),1,0),IF(AND((BJ180&lt;&gt;"")+(BK180&lt;&gt;""),WEEKDAY(BJ$1,2)=6),1,0),IF(AND((BL180&lt;&gt;"")+(BM180&lt;&gt;""),WEEKDAY(BL$1,2)=6),1,0))</f>
        <v>0</v>
      </c>
    </row>
    <row r="181" spans="1:68" ht="16.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>
        <f>SUM(IF(AND(D181&lt;&gt;"",WEEKDAY(D$1,2)&lt;6),1,0),IF(AND(F181&lt;&gt;"",WEEKDAY(F$1,2)&lt;6),1,0),IF(AND(H181&lt;&gt;"",WEEKDAY(H$1,2)&lt;6),1,0),IF(AND(J181&lt;&gt;"",WEEKDAY(J$1,2)&lt;6),1,0),IF(AND(L181&lt;&gt;"",WEEKDAY(L$1,2)&lt;6),1,0),IF(AND(N181&lt;&gt;"",WEEKDAY(N$1,2)&lt;6),1,0),IF(AND(P181&lt;&gt;"",WEEKDAY(P$1,2)&lt;6),1,0),IF(AND(R181&lt;&gt;"",WEEKDAY(R$1,2)&lt;6),1,0),IF(AND(T181&lt;&gt;"",WEEKDAY(T$1,2)&lt;6),1,0),IF(AND(V181&lt;&gt;"",WEEKDAY(V$1,2)&lt;6),1,0),IF(AND(X181&lt;&gt;"",WEEKDAY(X$1,2)&lt;6),1,0),IF(AND(Z181&lt;&gt;"",WEEKDAY(Z$1,2)&lt;6),1,0),IF(AND(AB181&lt;&gt;"",WEEKDAY(AB$1,2)&lt;6),1,0),IF(AND(AD181&lt;&gt;"",WEEKDAY(AD$1,2)&lt;6),1,0),IF(AND(AF181&lt;&gt;"",WEEKDAY(AF$1,2)&lt;6),1,0),IF(AND(AH181&lt;&gt;"",WEEKDAY(AH$1,2)&lt;6),1,0),IF(AND(AJ181&lt;&gt;"",WEEKDAY(AJ$1,2)&lt;6),1,0),IF(AND(AL181&lt;&gt;"",WEEKDAY(AL$1,2)&lt;6),1,0),IF(AND(AN181&lt;&gt;"",WEEKDAY(AN$1,2)&lt;6),1,0),IF(AND(AP181&lt;&gt;"",WEEKDAY(AP$1,2)&lt;6),1,0),IF(AND(AR181&lt;&gt;"",WEEKDAY(AR$1,2)&lt;6),1,0),IF(AND(AT181&lt;&gt;"",WEEKDAY(AT$1,2)&lt;6),1,0),IF(AND(AV181&lt;&gt;"",WEEKDAY(AV$1,2)&lt;6),1,0),IF(AND(AX181&lt;&gt;"",WEEKDAY(AX$1,2)&lt;6),1,0),IF(AND(AZ181&lt;&gt;"",WEEKDAY(AZ$1,2)&lt;6),1,0),IF(AND(BB181&lt;&gt;"",WEEKDAY(BB$1,2)&lt;6),1,0),IF(AND(BD181&lt;&gt;"",WEEKDAY(BD$1,2)&lt;6),1,0),IF(AND(BF181&lt;&gt;"",WEEKDAY(BF$1,2)&lt;6),1,0),IF(AND(BH181&lt;&gt;"",WEEKDAY(BH$1,2)&lt;6),1,0),IF(AND(BJ181&lt;&gt;"",WEEKDAY(BJ$1,2)&lt;6),1,0),IF(AND(BL181&lt;&gt;"",WEEKDAY(BL$1,2)&lt;6),1,0))</f>
        <v>0</v>
      </c>
      <c r="BO181" s="85">
        <f>SUM(IF(AND(E181&lt;&gt;"",WEEKDAY(D$1,2)&lt;6),1,0),IF(AND(G181&lt;&gt;"",WEEKDAY(F$1,2)&lt;6),1,0),IF(AND(I181&lt;&gt;"",WEEKDAY(H$1,2)&lt;6),1,0),IF(AND(K181&lt;&gt;"",WEEKDAY(J$1,2)&lt;6),1,0),IF(AND(M181&lt;&gt;"",WEEKDAY(L$1,2)&lt;6),1,0),IF(AND(O181&lt;&gt;"",WEEKDAY(N$1,2)&lt;6),1,0),IF(AND(Q181&lt;&gt;"",WEEKDAY(P$1,2)&lt;6),1,0),IF(AND(S181&lt;&gt;"",WEEKDAY(R$1,2)&lt;6),1,0),IF(AND(U181&lt;&gt;"",WEEKDAY(T$1,2)&lt;6),1,0),IF(AND(W181&lt;&gt;"",WEEKDAY(V$1,2)&lt;6),1,0),IF(AND(Y181&lt;&gt;"",WEEKDAY(X$1,2)&lt;6),1,0),IF(AND(AA181&lt;&gt;"",WEEKDAY(Z$1,2)&lt;6),1,0),IF(AND(AC181&lt;&gt;"",WEEKDAY(AB$1,2)&lt;6),1,0),IF(AND(AE181&lt;&gt;"",WEEKDAY(AD$1,2)&lt;6),1,0),IF(AND(AG181&lt;&gt;"",WEEKDAY(AF$1,2)&lt;6),1,0),IF(AND(AI181&lt;&gt;"",WEEKDAY(AH$1,2)&lt;6),1,0),IF(AND(AK181&lt;&gt;"",WEEKDAY(AJ$1,2)&lt;6),1,0),IF(AND(AM181&lt;&gt;"",WEEKDAY(AL$1,2)&lt;6),1,0),IF(AND(AO181&lt;&gt;"",WEEKDAY(AN$1,2)&lt;6),1,0),IF(AND(AQ181&lt;&gt;"",WEEKDAY(AP$1,2)&lt;6),1,0),IF(AND(AS181&lt;&gt;"",WEEKDAY(AR$1,2)&lt;6),1,0),IF(AND(AU181&lt;&gt;"",WEEKDAY(AT$1,2)&lt;6),1,0),IF(AND(AW181&lt;&gt;"",WEEKDAY(AV$1,2)&lt;6),1,0),IF(AND(AY181&lt;&gt;"",WEEKDAY(AX$1,2)&lt;6),1,0),IF(AND(BA181&lt;&gt;"",WEEKDAY(AZ$1,2)&lt;6),1,0),IF(AND(BC181&lt;&gt;"",WEEKDAY(BB$1,2)&lt;6),1,0),IF(AND(BE181&lt;&gt;"",WEEKDAY(BD$1,2)&lt;6),1,0),IF(AND(BG181&lt;&gt;"",WEEKDAY(BF$1,2)&lt;6),1,0),IF(AND(BI181&lt;&gt;"",WEEKDAY(BH$1,2)&lt;6),1,0),IF(AND(BK181&lt;&gt;"",WEEKDAY(BJ$1,2)&lt;6),1,0),IF(AND(BM181&lt;&gt;"",WEEKDAY(BL$1,2)&lt;6),1,0))</f>
        <v>0</v>
      </c>
      <c r="BP181" s="85">
        <f>SUM(IF(AND((D181&lt;&gt;"")+(E181&lt;&gt;""),WEEKDAY(D$1,2)=6),1,0),IF(AND((F181&lt;&gt;"")+(G181&lt;&gt;""),WEEKDAY(F$1,2)=6),1,0),IF(AND((H181&lt;&gt;"")+(I181&lt;&gt;""),WEEKDAY(H$1,2)=6),1,0),IF(AND((J181&lt;&gt;"")+(K181&lt;&gt;""),WEEKDAY(J$1,2)=6),1,0),IF(AND((L181&lt;&gt;"")+(M181&lt;&gt;""),WEEKDAY(L$1,2)=6),1,0),IF(AND((N181&lt;&gt;"")+(O181&lt;&gt;""),WEEKDAY(N$1,2)=6),1,0),IF(AND((P181&lt;&gt;"")+(Q181&lt;&gt;""),WEEKDAY(P$1,2)=6),1,0),IF(AND((R181&lt;&gt;"")+(S181&lt;&gt;""),WEEKDAY(R$1,2)=6),1,0),IF(AND((T181&lt;&gt;"")+(U181&lt;&gt;""),WEEKDAY(T$1,2)=6),1,0),IF(AND((V181&lt;&gt;"")+(W181&lt;&gt;""),WEEKDAY(V$1,2)=6),1,0),IF(AND((X181&lt;&gt;"")+(Y181&lt;&gt;""),WEEKDAY(X$1,2)=6),1,0),IF(AND((Z181&lt;&gt;"")+(AA181&lt;&gt;""),WEEKDAY(Z$1,2)=6),1,0),IF(AND((AB181&lt;&gt;"")+(AC181&lt;&gt;""),WEEKDAY(AB$1,2)=6),1,0),IF(AND((AD181&lt;&gt;"")+(AE181&lt;&gt;""),WEEKDAY(AD$1,2)=6),1,0),IF(AND((AF181&lt;&gt;"")+(AG181&lt;&gt;""),WEEKDAY(AF$1,2)=6),1,0),IF(AND((AH181&lt;&gt;"")+(AI181&lt;&gt;""),WEEKDAY(AH$1,2)=6),1,0),IF(AND((AJ181&lt;&gt;"")+(AK181&lt;&gt;""),WEEKDAY(AJ$1,2)=6),1,0),IF(AND((AL181&lt;&gt;"")+(AM181&lt;&gt;""),WEEKDAY(AL$1,2)=6),1,0),IF(AND((AN181&lt;&gt;"")+(AO181&lt;&gt;""),WEEKDAY(AN$1,2)=6),1,0),IF(AND((AP181&lt;&gt;"")+(AQ181&lt;&gt;""),WEEKDAY(AP$1,2)=6),1,0),IF(AND((AR181&lt;&gt;"")+(AS181&lt;&gt;""),WEEKDAY(AR$1,2)=6),1,0),IF(AND((AT181&lt;&gt;"")+(AU181&lt;&gt;""),WEEKDAY(AT$1,2)=6),1,0),IF(AND((AV181&lt;&gt;"")+(AW181&lt;&gt;""),WEEKDAY(AV$1,2)=6),1,0),IF(AND((AX181&lt;&gt;"")+(AY181&lt;&gt;""),WEEKDAY(AX$1,2)=6),1,0),IF(AND((AZ181&lt;&gt;"")+(BA181&lt;&gt;""),WEEKDAY(AZ$1,2)=6),1,0),IF(AND((BB181&lt;&gt;"")+(BC181&lt;&gt;""),WEEKDAY(BB$1,2)=6),1,0),IF(AND((BD181&lt;&gt;"")+(BE181&lt;&gt;""),WEEKDAY(BD$1,2)=6),1,0),IF(AND((BF181&lt;&gt;"")+(BG181&lt;&gt;""),WEEKDAY(BF$1,2)=6),1,0),IF(AND((BH181&lt;&gt;"")+(BI181&lt;&gt;""),WEEKDAY(BH$1,2)=6),1,0),IF(AND((BJ181&lt;&gt;"")+(BK181&lt;&gt;""),WEEKDAY(BJ$1,2)=6),1,0),IF(AND((BL181&lt;&gt;"")+(BM181&lt;&gt;""),WEEKDAY(BL$1,2)=6),1,0))</f>
        <v>0</v>
      </c>
    </row>
    <row r="182" spans="1:68" ht="16.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>
        <f>SUM(IF(AND(D182&lt;&gt;"",WEEKDAY(D$1,2)&lt;6),1,0),IF(AND(F182&lt;&gt;"",WEEKDAY(F$1,2)&lt;6),1,0),IF(AND(H182&lt;&gt;"",WEEKDAY(H$1,2)&lt;6),1,0),IF(AND(J182&lt;&gt;"",WEEKDAY(J$1,2)&lt;6),1,0),IF(AND(L182&lt;&gt;"",WEEKDAY(L$1,2)&lt;6),1,0),IF(AND(N182&lt;&gt;"",WEEKDAY(N$1,2)&lt;6),1,0),IF(AND(P182&lt;&gt;"",WEEKDAY(P$1,2)&lt;6),1,0),IF(AND(R182&lt;&gt;"",WEEKDAY(R$1,2)&lt;6),1,0),IF(AND(T182&lt;&gt;"",WEEKDAY(T$1,2)&lt;6),1,0),IF(AND(V182&lt;&gt;"",WEEKDAY(V$1,2)&lt;6),1,0),IF(AND(X182&lt;&gt;"",WEEKDAY(X$1,2)&lt;6),1,0),IF(AND(Z182&lt;&gt;"",WEEKDAY(Z$1,2)&lt;6),1,0),IF(AND(AB182&lt;&gt;"",WEEKDAY(AB$1,2)&lt;6),1,0),IF(AND(AD182&lt;&gt;"",WEEKDAY(AD$1,2)&lt;6),1,0),IF(AND(AF182&lt;&gt;"",WEEKDAY(AF$1,2)&lt;6),1,0),IF(AND(AH182&lt;&gt;"",WEEKDAY(AH$1,2)&lt;6),1,0),IF(AND(AJ182&lt;&gt;"",WEEKDAY(AJ$1,2)&lt;6),1,0),IF(AND(AL182&lt;&gt;"",WEEKDAY(AL$1,2)&lt;6),1,0),IF(AND(AN182&lt;&gt;"",WEEKDAY(AN$1,2)&lt;6),1,0),IF(AND(AP182&lt;&gt;"",WEEKDAY(AP$1,2)&lt;6),1,0),IF(AND(AR182&lt;&gt;"",WEEKDAY(AR$1,2)&lt;6),1,0),IF(AND(AT182&lt;&gt;"",WEEKDAY(AT$1,2)&lt;6),1,0),IF(AND(AV182&lt;&gt;"",WEEKDAY(AV$1,2)&lt;6),1,0),IF(AND(AX182&lt;&gt;"",WEEKDAY(AX$1,2)&lt;6),1,0),IF(AND(AZ182&lt;&gt;"",WEEKDAY(AZ$1,2)&lt;6),1,0),IF(AND(BB182&lt;&gt;"",WEEKDAY(BB$1,2)&lt;6),1,0),IF(AND(BD182&lt;&gt;"",WEEKDAY(BD$1,2)&lt;6),1,0),IF(AND(BF182&lt;&gt;"",WEEKDAY(BF$1,2)&lt;6),1,0),IF(AND(BH182&lt;&gt;"",WEEKDAY(BH$1,2)&lt;6),1,0),IF(AND(BJ182&lt;&gt;"",WEEKDAY(BJ$1,2)&lt;6),1,0),IF(AND(BL182&lt;&gt;"",WEEKDAY(BL$1,2)&lt;6),1,0))</f>
        <v>0</v>
      </c>
      <c r="BO182" s="85">
        <f>SUM(IF(AND(E182&lt;&gt;"",WEEKDAY(D$1,2)&lt;6),1,0),IF(AND(G182&lt;&gt;"",WEEKDAY(F$1,2)&lt;6),1,0),IF(AND(I182&lt;&gt;"",WEEKDAY(H$1,2)&lt;6),1,0),IF(AND(K182&lt;&gt;"",WEEKDAY(J$1,2)&lt;6),1,0),IF(AND(M182&lt;&gt;"",WEEKDAY(L$1,2)&lt;6),1,0),IF(AND(O182&lt;&gt;"",WEEKDAY(N$1,2)&lt;6),1,0),IF(AND(Q182&lt;&gt;"",WEEKDAY(P$1,2)&lt;6),1,0),IF(AND(S182&lt;&gt;"",WEEKDAY(R$1,2)&lt;6),1,0),IF(AND(U182&lt;&gt;"",WEEKDAY(T$1,2)&lt;6),1,0),IF(AND(W182&lt;&gt;"",WEEKDAY(V$1,2)&lt;6),1,0),IF(AND(Y182&lt;&gt;"",WEEKDAY(X$1,2)&lt;6),1,0),IF(AND(AA182&lt;&gt;"",WEEKDAY(Z$1,2)&lt;6),1,0),IF(AND(AC182&lt;&gt;"",WEEKDAY(AB$1,2)&lt;6),1,0),IF(AND(AE182&lt;&gt;"",WEEKDAY(AD$1,2)&lt;6),1,0),IF(AND(AG182&lt;&gt;"",WEEKDAY(AF$1,2)&lt;6),1,0),IF(AND(AI182&lt;&gt;"",WEEKDAY(AH$1,2)&lt;6),1,0),IF(AND(AK182&lt;&gt;"",WEEKDAY(AJ$1,2)&lt;6),1,0),IF(AND(AM182&lt;&gt;"",WEEKDAY(AL$1,2)&lt;6),1,0),IF(AND(AO182&lt;&gt;"",WEEKDAY(AN$1,2)&lt;6),1,0),IF(AND(AQ182&lt;&gt;"",WEEKDAY(AP$1,2)&lt;6),1,0),IF(AND(AS182&lt;&gt;"",WEEKDAY(AR$1,2)&lt;6),1,0),IF(AND(AU182&lt;&gt;"",WEEKDAY(AT$1,2)&lt;6),1,0),IF(AND(AW182&lt;&gt;"",WEEKDAY(AV$1,2)&lt;6),1,0),IF(AND(AY182&lt;&gt;"",WEEKDAY(AX$1,2)&lt;6),1,0),IF(AND(BA182&lt;&gt;"",WEEKDAY(AZ$1,2)&lt;6),1,0),IF(AND(BC182&lt;&gt;"",WEEKDAY(BB$1,2)&lt;6),1,0),IF(AND(BE182&lt;&gt;"",WEEKDAY(BD$1,2)&lt;6),1,0),IF(AND(BG182&lt;&gt;"",WEEKDAY(BF$1,2)&lt;6),1,0),IF(AND(BI182&lt;&gt;"",WEEKDAY(BH$1,2)&lt;6),1,0),IF(AND(BK182&lt;&gt;"",WEEKDAY(BJ$1,2)&lt;6),1,0),IF(AND(BM182&lt;&gt;"",WEEKDAY(BL$1,2)&lt;6),1,0))</f>
        <v>0</v>
      </c>
      <c r="BP182" s="85">
        <f>SUM(IF(AND((D182&lt;&gt;"")+(E182&lt;&gt;""),WEEKDAY(D$1,2)=6),1,0),IF(AND((F182&lt;&gt;"")+(G182&lt;&gt;""),WEEKDAY(F$1,2)=6),1,0),IF(AND((H182&lt;&gt;"")+(I182&lt;&gt;""),WEEKDAY(H$1,2)=6),1,0),IF(AND((J182&lt;&gt;"")+(K182&lt;&gt;""),WEEKDAY(J$1,2)=6),1,0),IF(AND((L182&lt;&gt;"")+(M182&lt;&gt;""),WEEKDAY(L$1,2)=6),1,0),IF(AND((N182&lt;&gt;"")+(O182&lt;&gt;""),WEEKDAY(N$1,2)=6),1,0),IF(AND((P182&lt;&gt;"")+(Q182&lt;&gt;""),WEEKDAY(P$1,2)=6),1,0),IF(AND((R182&lt;&gt;"")+(S182&lt;&gt;""),WEEKDAY(R$1,2)=6),1,0),IF(AND((T182&lt;&gt;"")+(U182&lt;&gt;""),WEEKDAY(T$1,2)=6),1,0),IF(AND((V182&lt;&gt;"")+(W182&lt;&gt;""),WEEKDAY(V$1,2)=6),1,0),IF(AND((X182&lt;&gt;"")+(Y182&lt;&gt;""),WEEKDAY(X$1,2)=6),1,0),IF(AND((Z182&lt;&gt;"")+(AA182&lt;&gt;""),WEEKDAY(Z$1,2)=6),1,0),IF(AND((AB182&lt;&gt;"")+(AC182&lt;&gt;""),WEEKDAY(AB$1,2)=6),1,0),IF(AND((AD182&lt;&gt;"")+(AE182&lt;&gt;""),WEEKDAY(AD$1,2)=6),1,0),IF(AND((AF182&lt;&gt;"")+(AG182&lt;&gt;""),WEEKDAY(AF$1,2)=6),1,0),IF(AND((AH182&lt;&gt;"")+(AI182&lt;&gt;""),WEEKDAY(AH$1,2)=6),1,0),IF(AND((AJ182&lt;&gt;"")+(AK182&lt;&gt;""),WEEKDAY(AJ$1,2)=6),1,0),IF(AND((AL182&lt;&gt;"")+(AM182&lt;&gt;""),WEEKDAY(AL$1,2)=6),1,0),IF(AND((AN182&lt;&gt;"")+(AO182&lt;&gt;""),WEEKDAY(AN$1,2)=6),1,0),IF(AND((AP182&lt;&gt;"")+(AQ182&lt;&gt;""),WEEKDAY(AP$1,2)=6),1,0),IF(AND((AR182&lt;&gt;"")+(AS182&lt;&gt;""),WEEKDAY(AR$1,2)=6),1,0),IF(AND((AT182&lt;&gt;"")+(AU182&lt;&gt;""),WEEKDAY(AT$1,2)=6),1,0),IF(AND((AV182&lt;&gt;"")+(AW182&lt;&gt;""),WEEKDAY(AV$1,2)=6),1,0),IF(AND((AX182&lt;&gt;"")+(AY182&lt;&gt;""),WEEKDAY(AX$1,2)=6),1,0),IF(AND((AZ182&lt;&gt;"")+(BA182&lt;&gt;""),WEEKDAY(AZ$1,2)=6),1,0),IF(AND((BB182&lt;&gt;"")+(BC182&lt;&gt;""),WEEKDAY(BB$1,2)=6),1,0),IF(AND((BD182&lt;&gt;"")+(BE182&lt;&gt;""),WEEKDAY(BD$1,2)=6),1,0),IF(AND((BF182&lt;&gt;"")+(BG182&lt;&gt;""),WEEKDAY(BF$1,2)=6),1,0),IF(AND((BH182&lt;&gt;"")+(BI182&lt;&gt;""),WEEKDAY(BH$1,2)=6),1,0),IF(AND((BJ182&lt;&gt;"")+(BK182&lt;&gt;""),WEEKDAY(BJ$1,2)=6),1,0),IF(AND((BL182&lt;&gt;"")+(BM182&lt;&gt;""),WEEKDAY(BL$1,2)=6),1,0))</f>
        <v>0</v>
      </c>
    </row>
    <row r="183" spans="1:68" ht="16.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>
        <f>SUM(IF(AND(D183&lt;&gt;"",WEEKDAY(D$1,2)&lt;6),1,0),IF(AND(F183&lt;&gt;"",WEEKDAY(F$1,2)&lt;6),1,0),IF(AND(H183&lt;&gt;"",WEEKDAY(H$1,2)&lt;6),1,0),IF(AND(J183&lt;&gt;"",WEEKDAY(J$1,2)&lt;6),1,0),IF(AND(L183&lt;&gt;"",WEEKDAY(L$1,2)&lt;6),1,0),IF(AND(N183&lt;&gt;"",WEEKDAY(N$1,2)&lt;6),1,0),IF(AND(P183&lt;&gt;"",WEEKDAY(P$1,2)&lt;6),1,0),IF(AND(R183&lt;&gt;"",WEEKDAY(R$1,2)&lt;6),1,0),IF(AND(T183&lt;&gt;"",WEEKDAY(T$1,2)&lt;6),1,0),IF(AND(V183&lt;&gt;"",WEEKDAY(V$1,2)&lt;6),1,0),IF(AND(X183&lt;&gt;"",WEEKDAY(X$1,2)&lt;6),1,0),IF(AND(Z183&lt;&gt;"",WEEKDAY(Z$1,2)&lt;6),1,0),IF(AND(AB183&lt;&gt;"",WEEKDAY(AB$1,2)&lt;6),1,0),IF(AND(AD183&lt;&gt;"",WEEKDAY(AD$1,2)&lt;6),1,0),IF(AND(AF183&lt;&gt;"",WEEKDAY(AF$1,2)&lt;6),1,0),IF(AND(AH183&lt;&gt;"",WEEKDAY(AH$1,2)&lt;6),1,0),IF(AND(AJ183&lt;&gt;"",WEEKDAY(AJ$1,2)&lt;6),1,0),IF(AND(AL183&lt;&gt;"",WEEKDAY(AL$1,2)&lt;6),1,0),IF(AND(AN183&lt;&gt;"",WEEKDAY(AN$1,2)&lt;6),1,0),IF(AND(AP183&lt;&gt;"",WEEKDAY(AP$1,2)&lt;6),1,0),IF(AND(AR183&lt;&gt;"",WEEKDAY(AR$1,2)&lt;6),1,0),IF(AND(AT183&lt;&gt;"",WEEKDAY(AT$1,2)&lt;6),1,0),IF(AND(AV183&lt;&gt;"",WEEKDAY(AV$1,2)&lt;6),1,0),IF(AND(AX183&lt;&gt;"",WEEKDAY(AX$1,2)&lt;6),1,0),IF(AND(AZ183&lt;&gt;"",WEEKDAY(AZ$1,2)&lt;6),1,0),IF(AND(BB183&lt;&gt;"",WEEKDAY(BB$1,2)&lt;6),1,0),IF(AND(BD183&lt;&gt;"",WEEKDAY(BD$1,2)&lt;6),1,0),IF(AND(BF183&lt;&gt;"",WEEKDAY(BF$1,2)&lt;6),1,0),IF(AND(BH183&lt;&gt;"",WEEKDAY(BH$1,2)&lt;6),1,0),IF(AND(BJ183&lt;&gt;"",WEEKDAY(BJ$1,2)&lt;6),1,0),IF(AND(BL183&lt;&gt;"",WEEKDAY(BL$1,2)&lt;6),1,0))</f>
        <v>0</v>
      </c>
      <c r="BO183" s="85">
        <f>SUM(IF(AND(E183&lt;&gt;"",WEEKDAY(D$1,2)&lt;6),1,0),IF(AND(G183&lt;&gt;"",WEEKDAY(F$1,2)&lt;6),1,0),IF(AND(I183&lt;&gt;"",WEEKDAY(H$1,2)&lt;6),1,0),IF(AND(K183&lt;&gt;"",WEEKDAY(J$1,2)&lt;6),1,0),IF(AND(M183&lt;&gt;"",WEEKDAY(L$1,2)&lt;6),1,0),IF(AND(O183&lt;&gt;"",WEEKDAY(N$1,2)&lt;6),1,0),IF(AND(Q183&lt;&gt;"",WEEKDAY(P$1,2)&lt;6),1,0),IF(AND(S183&lt;&gt;"",WEEKDAY(R$1,2)&lt;6),1,0),IF(AND(U183&lt;&gt;"",WEEKDAY(T$1,2)&lt;6),1,0),IF(AND(W183&lt;&gt;"",WEEKDAY(V$1,2)&lt;6),1,0),IF(AND(Y183&lt;&gt;"",WEEKDAY(X$1,2)&lt;6),1,0),IF(AND(AA183&lt;&gt;"",WEEKDAY(Z$1,2)&lt;6),1,0),IF(AND(AC183&lt;&gt;"",WEEKDAY(AB$1,2)&lt;6),1,0),IF(AND(AE183&lt;&gt;"",WEEKDAY(AD$1,2)&lt;6),1,0),IF(AND(AG183&lt;&gt;"",WEEKDAY(AF$1,2)&lt;6),1,0),IF(AND(AI183&lt;&gt;"",WEEKDAY(AH$1,2)&lt;6),1,0),IF(AND(AK183&lt;&gt;"",WEEKDAY(AJ$1,2)&lt;6),1,0),IF(AND(AM183&lt;&gt;"",WEEKDAY(AL$1,2)&lt;6),1,0),IF(AND(AO183&lt;&gt;"",WEEKDAY(AN$1,2)&lt;6),1,0),IF(AND(AQ183&lt;&gt;"",WEEKDAY(AP$1,2)&lt;6),1,0),IF(AND(AS183&lt;&gt;"",WEEKDAY(AR$1,2)&lt;6),1,0),IF(AND(AU183&lt;&gt;"",WEEKDAY(AT$1,2)&lt;6),1,0),IF(AND(AW183&lt;&gt;"",WEEKDAY(AV$1,2)&lt;6),1,0),IF(AND(AY183&lt;&gt;"",WEEKDAY(AX$1,2)&lt;6),1,0),IF(AND(BA183&lt;&gt;"",WEEKDAY(AZ$1,2)&lt;6),1,0),IF(AND(BC183&lt;&gt;"",WEEKDAY(BB$1,2)&lt;6),1,0),IF(AND(BE183&lt;&gt;"",WEEKDAY(BD$1,2)&lt;6),1,0),IF(AND(BG183&lt;&gt;"",WEEKDAY(BF$1,2)&lt;6),1,0),IF(AND(BI183&lt;&gt;"",WEEKDAY(BH$1,2)&lt;6),1,0),IF(AND(BK183&lt;&gt;"",WEEKDAY(BJ$1,2)&lt;6),1,0),IF(AND(BM183&lt;&gt;"",WEEKDAY(BL$1,2)&lt;6),1,0))</f>
        <v>0</v>
      </c>
      <c r="BP183" s="85">
        <f>SUM(IF(AND((D183&lt;&gt;"")+(E183&lt;&gt;""),WEEKDAY(D$1,2)=6),1,0),IF(AND((F183&lt;&gt;"")+(G183&lt;&gt;""),WEEKDAY(F$1,2)=6),1,0),IF(AND((H183&lt;&gt;"")+(I183&lt;&gt;""),WEEKDAY(H$1,2)=6),1,0),IF(AND((J183&lt;&gt;"")+(K183&lt;&gt;""),WEEKDAY(J$1,2)=6),1,0),IF(AND((L183&lt;&gt;"")+(M183&lt;&gt;""),WEEKDAY(L$1,2)=6),1,0),IF(AND((N183&lt;&gt;"")+(O183&lt;&gt;""),WEEKDAY(N$1,2)=6),1,0),IF(AND((P183&lt;&gt;"")+(Q183&lt;&gt;""),WEEKDAY(P$1,2)=6),1,0),IF(AND((R183&lt;&gt;"")+(S183&lt;&gt;""),WEEKDAY(R$1,2)=6),1,0),IF(AND((T183&lt;&gt;"")+(U183&lt;&gt;""),WEEKDAY(T$1,2)=6),1,0),IF(AND((V183&lt;&gt;"")+(W183&lt;&gt;""),WEEKDAY(V$1,2)=6),1,0),IF(AND((X183&lt;&gt;"")+(Y183&lt;&gt;""),WEEKDAY(X$1,2)=6),1,0),IF(AND((Z183&lt;&gt;"")+(AA183&lt;&gt;""),WEEKDAY(Z$1,2)=6),1,0),IF(AND((AB183&lt;&gt;"")+(AC183&lt;&gt;""),WEEKDAY(AB$1,2)=6),1,0),IF(AND((AD183&lt;&gt;"")+(AE183&lt;&gt;""),WEEKDAY(AD$1,2)=6),1,0),IF(AND((AF183&lt;&gt;"")+(AG183&lt;&gt;""),WEEKDAY(AF$1,2)=6),1,0),IF(AND((AH183&lt;&gt;"")+(AI183&lt;&gt;""),WEEKDAY(AH$1,2)=6),1,0),IF(AND((AJ183&lt;&gt;"")+(AK183&lt;&gt;""),WEEKDAY(AJ$1,2)=6),1,0),IF(AND((AL183&lt;&gt;"")+(AM183&lt;&gt;""),WEEKDAY(AL$1,2)=6),1,0),IF(AND((AN183&lt;&gt;"")+(AO183&lt;&gt;""),WEEKDAY(AN$1,2)=6),1,0),IF(AND((AP183&lt;&gt;"")+(AQ183&lt;&gt;""),WEEKDAY(AP$1,2)=6),1,0),IF(AND((AR183&lt;&gt;"")+(AS183&lt;&gt;""),WEEKDAY(AR$1,2)=6),1,0),IF(AND((AT183&lt;&gt;"")+(AU183&lt;&gt;""),WEEKDAY(AT$1,2)=6),1,0),IF(AND((AV183&lt;&gt;"")+(AW183&lt;&gt;""),WEEKDAY(AV$1,2)=6),1,0),IF(AND((AX183&lt;&gt;"")+(AY183&lt;&gt;""),WEEKDAY(AX$1,2)=6),1,0),IF(AND((AZ183&lt;&gt;"")+(BA183&lt;&gt;""),WEEKDAY(AZ$1,2)=6),1,0),IF(AND((BB183&lt;&gt;"")+(BC183&lt;&gt;""),WEEKDAY(BB$1,2)=6),1,0),IF(AND((BD183&lt;&gt;"")+(BE183&lt;&gt;""),WEEKDAY(BD$1,2)=6),1,0),IF(AND((BF183&lt;&gt;"")+(BG183&lt;&gt;""),WEEKDAY(BF$1,2)=6),1,0),IF(AND((BH183&lt;&gt;"")+(BI183&lt;&gt;""),WEEKDAY(BH$1,2)=6),1,0),IF(AND((BJ183&lt;&gt;"")+(BK183&lt;&gt;""),WEEKDAY(BJ$1,2)=6),1,0),IF(AND((BL183&lt;&gt;"")+(BM183&lt;&gt;""),WEEKDAY(BL$1,2)=6),1,0))</f>
        <v>0</v>
      </c>
    </row>
    <row r="184" spans="1:68" ht="16.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>
        <f>SUM(IF(AND(D184&lt;&gt;"",WEEKDAY(D$1,2)&lt;6),1,0),IF(AND(F184&lt;&gt;"",WEEKDAY(F$1,2)&lt;6),1,0),IF(AND(H184&lt;&gt;"",WEEKDAY(H$1,2)&lt;6),1,0),IF(AND(J184&lt;&gt;"",WEEKDAY(J$1,2)&lt;6),1,0),IF(AND(L184&lt;&gt;"",WEEKDAY(L$1,2)&lt;6),1,0),IF(AND(N184&lt;&gt;"",WEEKDAY(N$1,2)&lt;6),1,0),IF(AND(P184&lt;&gt;"",WEEKDAY(P$1,2)&lt;6),1,0),IF(AND(R184&lt;&gt;"",WEEKDAY(R$1,2)&lt;6),1,0),IF(AND(T184&lt;&gt;"",WEEKDAY(T$1,2)&lt;6),1,0),IF(AND(V184&lt;&gt;"",WEEKDAY(V$1,2)&lt;6),1,0),IF(AND(X184&lt;&gt;"",WEEKDAY(X$1,2)&lt;6),1,0),IF(AND(Z184&lt;&gt;"",WEEKDAY(Z$1,2)&lt;6),1,0),IF(AND(AB184&lt;&gt;"",WEEKDAY(AB$1,2)&lt;6),1,0),IF(AND(AD184&lt;&gt;"",WEEKDAY(AD$1,2)&lt;6),1,0),IF(AND(AF184&lt;&gt;"",WEEKDAY(AF$1,2)&lt;6),1,0),IF(AND(AH184&lt;&gt;"",WEEKDAY(AH$1,2)&lt;6),1,0),IF(AND(AJ184&lt;&gt;"",WEEKDAY(AJ$1,2)&lt;6),1,0),IF(AND(AL184&lt;&gt;"",WEEKDAY(AL$1,2)&lt;6),1,0),IF(AND(AN184&lt;&gt;"",WEEKDAY(AN$1,2)&lt;6),1,0),IF(AND(AP184&lt;&gt;"",WEEKDAY(AP$1,2)&lt;6),1,0),IF(AND(AR184&lt;&gt;"",WEEKDAY(AR$1,2)&lt;6),1,0),IF(AND(AT184&lt;&gt;"",WEEKDAY(AT$1,2)&lt;6),1,0),IF(AND(AV184&lt;&gt;"",WEEKDAY(AV$1,2)&lt;6),1,0),IF(AND(AX184&lt;&gt;"",WEEKDAY(AX$1,2)&lt;6),1,0),IF(AND(AZ184&lt;&gt;"",WEEKDAY(AZ$1,2)&lt;6),1,0),IF(AND(BB184&lt;&gt;"",WEEKDAY(BB$1,2)&lt;6),1,0),IF(AND(BD184&lt;&gt;"",WEEKDAY(BD$1,2)&lt;6),1,0),IF(AND(BF184&lt;&gt;"",WEEKDAY(BF$1,2)&lt;6),1,0),IF(AND(BH184&lt;&gt;"",WEEKDAY(BH$1,2)&lt;6),1,0),IF(AND(BJ184&lt;&gt;"",WEEKDAY(BJ$1,2)&lt;6),1,0),IF(AND(BL184&lt;&gt;"",WEEKDAY(BL$1,2)&lt;6),1,0))</f>
        <v>0</v>
      </c>
      <c r="BO184" s="85">
        <f>SUM(IF(AND(E184&lt;&gt;"",WEEKDAY(D$1,2)&lt;6),1,0),IF(AND(G184&lt;&gt;"",WEEKDAY(F$1,2)&lt;6),1,0),IF(AND(I184&lt;&gt;"",WEEKDAY(H$1,2)&lt;6),1,0),IF(AND(K184&lt;&gt;"",WEEKDAY(J$1,2)&lt;6),1,0),IF(AND(M184&lt;&gt;"",WEEKDAY(L$1,2)&lt;6),1,0),IF(AND(O184&lt;&gt;"",WEEKDAY(N$1,2)&lt;6),1,0),IF(AND(Q184&lt;&gt;"",WEEKDAY(P$1,2)&lt;6),1,0),IF(AND(S184&lt;&gt;"",WEEKDAY(R$1,2)&lt;6),1,0),IF(AND(U184&lt;&gt;"",WEEKDAY(T$1,2)&lt;6),1,0),IF(AND(W184&lt;&gt;"",WEEKDAY(V$1,2)&lt;6),1,0),IF(AND(Y184&lt;&gt;"",WEEKDAY(X$1,2)&lt;6),1,0),IF(AND(AA184&lt;&gt;"",WEEKDAY(Z$1,2)&lt;6),1,0),IF(AND(AC184&lt;&gt;"",WEEKDAY(AB$1,2)&lt;6),1,0),IF(AND(AE184&lt;&gt;"",WEEKDAY(AD$1,2)&lt;6),1,0),IF(AND(AG184&lt;&gt;"",WEEKDAY(AF$1,2)&lt;6),1,0),IF(AND(AI184&lt;&gt;"",WEEKDAY(AH$1,2)&lt;6),1,0),IF(AND(AK184&lt;&gt;"",WEEKDAY(AJ$1,2)&lt;6),1,0),IF(AND(AM184&lt;&gt;"",WEEKDAY(AL$1,2)&lt;6),1,0),IF(AND(AO184&lt;&gt;"",WEEKDAY(AN$1,2)&lt;6),1,0),IF(AND(AQ184&lt;&gt;"",WEEKDAY(AP$1,2)&lt;6),1,0),IF(AND(AS184&lt;&gt;"",WEEKDAY(AR$1,2)&lt;6),1,0),IF(AND(AU184&lt;&gt;"",WEEKDAY(AT$1,2)&lt;6),1,0),IF(AND(AW184&lt;&gt;"",WEEKDAY(AV$1,2)&lt;6),1,0),IF(AND(AY184&lt;&gt;"",WEEKDAY(AX$1,2)&lt;6),1,0),IF(AND(BA184&lt;&gt;"",WEEKDAY(AZ$1,2)&lt;6),1,0),IF(AND(BC184&lt;&gt;"",WEEKDAY(BB$1,2)&lt;6),1,0),IF(AND(BE184&lt;&gt;"",WEEKDAY(BD$1,2)&lt;6),1,0),IF(AND(BG184&lt;&gt;"",WEEKDAY(BF$1,2)&lt;6),1,0),IF(AND(BI184&lt;&gt;"",WEEKDAY(BH$1,2)&lt;6),1,0),IF(AND(BK184&lt;&gt;"",WEEKDAY(BJ$1,2)&lt;6),1,0),IF(AND(BM184&lt;&gt;"",WEEKDAY(BL$1,2)&lt;6),1,0))</f>
        <v>0</v>
      </c>
      <c r="BP184" s="85">
        <f>SUM(IF(AND((D184&lt;&gt;"")+(E184&lt;&gt;""),WEEKDAY(D$1,2)=6),1,0),IF(AND((F184&lt;&gt;"")+(G184&lt;&gt;""),WEEKDAY(F$1,2)=6),1,0),IF(AND((H184&lt;&gt;"")+(I184&lt;&gt;""),WEEKDAY(H$1,2)=6),1,0),IF(AND((J184&lt;&gt;"")+(K184&lt;&gt;""),WEEKDAY(J$1,2)=6),1,0),IF(AND((L184&lt;&gt;"")+(M184&lt;&gt;""),WEEKDAY(L$1,2)=6),1,0),IF(AND((N184&lt;&gt;"")+(O184&lt;&gt;""),WEEKDAY(N$1,2)=6),1,0),IF(AND((P184&lt;&gt;"")+(Q184&lt;&gt;""),WEEKDAY(P$1,2)=6),1,0),IF(AND((R184&lt;&gt;"")+(S184&lt;&gt;""),WEEKDAY(R$1,2)=6),1,0),IF(AND((T184&lt;&gt;"")+(U184&lt;&gt;""),WEEKDAY(T$1,2)=6),1,0),IF(AND((V184&lt;&gt;"")+(W184&lt;&gt;""),WEEKDAY(V$1,2)=6),1,0),IF(AND((X184&lt;&gt;"")+(Y184&lt;&gt;""),WEEKDAY(X$1,2)=6),1,0),IF(AND((Z184&lt;&gt;"")+(AA184&lt;&gt;""),WEEKDAY(Z$1,2)=6),1,0),IF(AND((AB184&lt;&gt;"")+(AC184&lt;&gt;""),WEEKDAY(AB$1,2)=6),1,0),IF(AND((AD184&lt;&gt;"")+(AE184&lt;&gt;""),WEEKDAY(AD$1,2)=6),1,0),IF(AND((AF184&lt;&gt;"")+(AG184&lt;&gt;""),WEEKDAY(AF$1,2)=6),1,0),IF(AND((AH184&lt;&gt;"")+(AI184&lt;&gt;""),WEEKDAY(AH$1,2)=6),1,0),IF(AND((AJ184&lt;&gt;"")+(AK184&lt;&gt;""),WEEKDAY(AJ$1,2)=6),1,0),IF(AND((AL184&lt;&gt;"")+(AM184&lt;&gt;""),WEEKDAY(AL$1,2)=6),1,0),IF(AND((AN184&lt;&gt;"")+(AO184&lt;&gt;""),WEEKDAY(AN$1,2)=6),1,0),IF(AND((AP184&lt;&gt;"")+(AQ184&lt;&gt;""),WEEKDAY(AP$1,2)=6),1,0),IF(AND((AR184&lt;&gt;"")+(AS184&lt;&gt;""),WEEKDAY(AR$1,2)=6),1,0),IF(AND((AT184&lt;&gt;"")+(AU184&lt;&gt;""),WEEKDAY(AT$1,2)=6),1,0),IF(AND((AV184&lt;&gt;"")+(AW184&lt;&gt;""),WEEKDAY(AV$1,2)=6),1,0),IF(AND((AX184&lt;&gt;"")+(AY184&lt;&gt;""),WEEKDAY(AX$1,2)=6),1,0),IF(AND((AZ184&lt;&gt;"")+(BA184&lt;&gt;""),WEEKDAY(AZ$1,2)=6),1,0),IF(AND((BB184&lt;&gt;"")+(BC184&lt;&gt;""),WEEKDAY(BB$1,2)=6),1,0),IF(AND((BD184&lt;&gt;"")+(BE184&lt;&gt;""),WEEKDAY(BD$1,2)=6),1,0),IF(AND((BF184&lt;&gt;"")+(BG184&lt;&gt;""),WEEKDAY(BF$1,2)=6),1,0),IF(AND((BH184&lt;&gt;"")+(BI184&lt;&gt;""),WEEKDAY(BH$1,2)=6),1,0),IF(AND((BJ184&lt;&gt;"")+(BK184&lt;&gt;""),WEEKDAY(BJ$1,2)=6),1,0),IF(AND((BL184&lt;&gt;"")+(BM184&lt;&gt;""),WEEKDAY(BL$1,2)=6),1,0))</f>
        <v>0</v>
      </c>
    </row>
    <row r="185" spans="1:68" ht="16.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>
        <f>SUM(IF(AND(D185&lt;&gt;"",WEEKDAY(D$1,2)&lt;6),1,0),IF(AND(F185&lt;&gt;"",WEEKDAY(F$1,2)&lt;6),1,0),IF(AND(H185&lt;&gt;"",WEEKDAY(H$1,2)&lt;6),1,0),IF(AND(J185&lt;&gt;"",WEEKDAY(J$1,2)&lt;6),1,0),IF(AND(L185&lt;&gt;"",WEEKDAY(L$1,2)&lt;6),1,0),IF(AND(N185&lt;&gt;"",WEEKDAY(N$1,2)&lt;6),1,0),IF(AND(P185&lt;&gt;"",WEEKDAY(P$1,2)&lt;6),1,0),IF(AND(R185&lt;&gt;"",WEEKDAY(R$1,2)&lt;6),1,0),IF(AND(T185&lt;&gt;"",WEEKDAY(T$1,2)&lt;6),1,0),IF(AND(V185&lt;&gt;"",WEEKDAY(V$1,2)&lt;6),1,0),IF(AND(X185&lt;&gt;"",WEEKDAY(X$1,2)&lt;6),1,0),IF(AND(Z185&lt;&gt;"",WEEKDAY(Z$1,2)&lt;6),1,0),IF(AND(AB185&lt;&gt;"",WEEKDAY(AB$1,2)&lt;6),1,0),IF(AND(AD185&lt;&gt;"",WEEKDAY(AD$1,2)&lt;6),1,0),IF(AND(AF185&lt;&gt;"",WEEKDAY(AF$1,2)&lt;6),1,0),IF(AND(AH185&lt;&gt;"",WEEKDAY(AH$1,2)&lt;6),1,0),IF(AND(AJ185&lt;&gt;"",WEEKDAY(AJ$1,2)&lt;6),1,0),IF(AND(AL185&lt;&gt;"",WEEKDAY(AL$1,2)&lt;6),1,0),IF(AND(AN185&lt;&gt;"",WEEKDAY(AN$1,2)&lt;6),1,0),IF(AND(AP185&lt;&gt;"",WEEKDAY(AP$1,2)&lt;6),1,0),IF(AND(AR185&lt;&gt;"",WEEKDAY(AR$1,2)&lt;6),1,0),IF(AND(AT185&lt;&gt;"",WEEKDAY(AT$1,2)&lt;6),1,0),IF(AND(AV185&lt;&gt;"",WEEKDAY(AV$1,2)&lt;6),1,0),IF(AND(AX185&lt;&gt;"",WEEKDAY(AX$1,2)&lt;6),1,0),IF(AND(AZ185&lt;&gt;"",WEEKDAY(AZ$1,2)&lt;6),1,0),IF(AND(BB185&lt;&gt;"",WEEKDAY(BB$1,2)&lt;6),1,0),IF(AND(BD185&lt;&gt;"",WEEKDAY(BD$1,2)&lt;6),1,0),IF(AND(BF185&lt;&gt;"",WEEKDAY(BF$1,2)&lt;6),1,0),IF(AND(BH185&lt;&gt;"",WEEKDAY(BH$1,2)&lt;6),1,0),IF(AND(BJ185&lt;&gt;"",WEEKDAY(BJ$1,2)&lt;6),1,0),IF(AND(BL185&lt;&gt;"",WEEKDAY(BL$1,2)&lt;6),1,0))</f>
        <v>0</v>
      </c>
      <c r="BO185" s="85">
        <f>SUM(IF(AND(E185&lt;&gt;"",WEEKDAY(D$1,2)&lt;6),1,0),IF(AND(G185&lt;&gt;"",WEEKDAY(F$1,2)&lt;6),1,0),IF(AND(I185&lt;&gt;"",WEEKDAY(H$1,2)&lt;6),1,0),IF(AND(K185&lt;&gt;"",WEEKDAY(J$1,2)&lt;6),1,0),IF(AND(M185&lt;&gt;"",WEEKDAY(L$1,2)&lt;6),1,0),IF(AND(O185&lt;&gt;"",WEEKDAY(N$1,2)&lt;6),1,0),IF(AND(Q185&lt;&gt;"",WEEKDAY(P$1,2)&lt;6),1,0),IF(AND(S185&lt;&gt;"",WEEKDAY(R$1,2)&lt;6),1,0),IF(AND(U185&lt;&gt;"",WEEKDAY(T$1,2)&lt;6),1,0),IF(AND(W185&lt;&gt;"",WEEKDAY(V$1,2)&lt;6),1,0),IF(AND(Y185&lt;&gt;"",WEEKDAY(X$1,2)&lt;6),1,0),IF(AND(AA185&lt;&gt;"",WEEKDAY(Z$1,2)&lt;6),1,0),IF(AND(AC185&lt;&gt;"",WEEKDAY(AB$1,2)&lt;6),1,0),IF(AND(AE185&lt;&gt;"",WEEKDAY(AD$1,2)&lt;6),1,0),IF(AND(AG185&lt;&gt;"",WEEKDAY(AF$1,2)&lt;6),1,0),IF(AND(AI185&lt;&gt;"",WEEKDAY(AH$1,2)&lt;6),1,0),IF(AND(AK185&lt;&gt;"",WEEKDAY(AJ$1,2)&lt;6),1,0),IF(AND(AM185&lt;&gt;"",WEEKDAY(AL$1,2)&lt;6),1,0),IF(AND(AO185&lt;&gt;"",WEEKDAY(AN$1,2)&lt;6),1,0),IF(AND(AQ185&lt;&gt;"",WEEKDAY(AP$1,2)&lt;6),1,0),IF(AND(AS185&lt;&gt;"",WEEKDAY(AR$1,2)&lt;6),1,0),IF(AND(AU185&lt;&gt;"",WEEKDAY(AT$1,2)&lt;6),1,0),IF(AND(AW185&lt;&gt;"",WEEKDAY(AV$1,2)&lt;6),1,0),IF(AND(AY185&lt;&gt;"",WEEKDAY(AX$1,2)&lt;6),1,0),IF(AND(BA185&lt;&gt;"",WEEKDAY(AZ$1,2)&lt;6),1,0),IF(AND(BC185&lt;&gt;"",WEEKDAY(BB$1,2)&lt;6),1,0),IF(AND(BE185&lt;&gt;"",WEEKDAY(BD$1,2)&lt;6),1,0),IF(AND(BG185&lt;&gt;"",WEEKDAY(BF$1,2)&lt;6),1,0),IF(AND(BI185&lt;&gt;"",WEEKDAY(BH$1,2)&lt;6),1,0),IF(AND(BK185&lt;&gt;"",WEEKDAY(BJ$1,2)&lt;6),1,0),IF(AND(BM185&lt;&gt;"",WEEKDAY(BL$1,2)&lt;6),1,0))</f>
        <v>0</v>
      </c>
      <c r="BP185" s="85">
        <f>SUM(IF(AND((D185&lt;&gt;"")+(E185&lt;&gt;""),WEEKDAY(D$1,2)=6),1,0),IF(AND((F185&lt;&gt;"")+(G185&lt;&gt;""),WEEKDAY(F$1,2)=6),1,0),IF(AND((H185&lt;&gt;"")+(I185&lt;&gt;""),WEEKDAY(H$1,2)=6),1,0),IF(AND((J185&lt;&gt;"")+(K185&lt;&gt;""),WEEKDAY(J$1,2)=6),1,0),IF(AND((L185&lt;&gt;"")+(M185&lt;&gt;""),WEEKDAY(L$1,2)=6),1,0),IF(AND((N185&lt;&gt;"")+(O185&lt;&gt;""),WEEKDAY(N$1,2)=6),1,0),IF(AND((P185&lt;&gt;"")+(Q185&lt;&gt;""),WEEKDAY(P$1,2)=6),1,0),IF(AND((R185&lt;&gt;"")+(S185&lt;&gt;""),WEEKDAY(R$1,2)=6),1,0),IF(AND((T185&lt;&gt;"")+(U185&lt;&gt;""),WEEKDAY(T$1,2)=6),1,0),IF(AND((V185&lt;&gt;"")+(W185&lt;&gt;""),WEEKDAY(V$1,2)=6),1,0),IF(AND((X185&lt;&gt;"")+(Y185&lt;&gt;""),WEEKDAY(X$1,2)=6),1,0),IF(AND((Z185&lt;&gt;"")+(AA185&lt;&gt;""),WEEKDAY(Z$1,2)=6),1,0),IF(AND((AB185&lt;&gt;"")+(AC185&lt;&gt;""),WEEKDAY(AB$1,2)=6),1,0),IF(AND((AD185&lt;&gt;"")+(AE185&lt;&gt;""),WEEKDAY(AD$1,2)=6),1,0),IF(AND((AF185&lt;&gt;"")+(AG185&lt;&gt;""),WEEKDAY(AF$1,2)=6),1,0),IF(AND((AH185&lt;&gt;"")+(AI185&lt;&gt;""),WEEKDAY(AH$1,2)=6),1,0),IF(AND((AJ185&lt;&gt;"")+(AK185&lt;&gt;""),WEEKDAY(AJ$1,2)=6),1,0),IF(AND((AL185&lt;&gt;"")+(AM185&lt;&gt;""),WEEKDAY(AL$1,2)=6),1,0),IF(AND((AN185&lt;&gt;"")+(AO185&lt;&gt;""),WEEKDAY(AN$1,2)=6),1,0),IF(AND((AP185&lt;&gt;"")+(AQ185&lt;&gt;""),WEEKDAY(AP$1,2)=6),1,0),IF(AND((AR185&lt;&gt;"")+(AS185&lt;&gt;""),WEEKDAY(AR$1,2)=6),1,0),IF(AND((AT185&lt;&gt;"")+(AU185&lt;&gt;""),WEEKDAY(AT$1,2)=6),1,0),IF(AND((AV185&lt;&gt;"")+(AW185&lt;&gt;""),WEEKDAY(AV$1,2)=6),1,0),IF(AND((AX185&lt;&gt;"")+(AY185&lt;&gt;""),WEEKDAY(AX$1,2)=6),1,0),IF(AND((AZ185&lt;&gt;"")+(BA185&lt;&gt;""),WEEKDAY(AZ$1,2)=6),1,0),IF(AND((BB185&lt;&gt;"")+(BC185&lt;&gt;""),WEEKDAY(BB$1,2)=6),1,0),IF(AND((BD185&lt;&gt;"")+(BE185&lt;&gt;""),WEEKDAY(BD$1,2)=6),1,0),IF(AND((BF185&lt;&gt;"")+(BG185&lt;&gt;""),WEEKDAY(BF$1,2)=6),1,0),IF(AND((BH185&lt;&gt;"")+(BI185&lt;&gt;""),WEEKDAY(BH$1,2)=6),1,0),IF(AND((BJ185&lt;&gt;"")+(BK185&lt;&gt;""),WEEKDAY(BJ$1,2)=6),1,0),IF(AND((BL185&lt;&gt;"")+(BM185&lt;&gt;""),WEEKDAY(BL$1,2)=6),1,0))</f>
        <v>0</v>
      </c>
    </row>
    <row r="186" spans="1:68" ht="16.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>
        <f>SUM(IF(AND(D186&lt;&gt;"",WEEKDAY(D$1,2)&lt;6),1,0),IF(AND(F186&lt;&gt;"",WEEKDAY(F$1,2)&lt;6),1,0),IF(AND(H186&lt;&gt;"",WEEKDAY(H$1,2)&lt;6),1,0),IF(AND(J186&lt;&gt;"",WEEKDAY(J$1,2)&lt;6),1,0),IF(AND(L186&lt;&gt;"",WEEKDAY(L$1,2)&lt;6),1,0),IF(AND(N186&lt;&gt;"",WEEKDAY(N$1,2)&lt;6),1,0),IF(AND(P186&lt;&gt;"",WEEKDAY(P$1,2)&lt;6),1,0),IF(AND(R186&lt;&gt;"",WEEKDAY(R$1,2)&lt;6),1,0),IF(AND(T186&lt;&gt;"",WEEKDAY(T$1,2)&lt;6),1,0),IF(AND(V186&lt;&gt;"",WEEKDAY(V$1,2)&lt;6),1,0),IF(AND(X186&lt;&gt;"",WEEKDAY(X$1,2)&lt;6),1,0),IF(AND(Z186&lt;&gt;"",WEEKDAY(Z$1,2)&lt;6),1,0),IF(AND(AB186&lt;&gt;"",WEEKDAY(AB$1,2)&lt;6),1,0),IF(AND(AD186&lt;&gt;"",WEEKDAY(AD$1,2)&lt;6),1,0),IF(AND(AF186&lt;&gt;"",WEEKDAY(AF$1,2)&lt;6),1,0),IF(AND(AH186&lt;&gt;"",WEEKDAY(AH$1,2)&lt;6),1,0),IF(AND(AJ186&lt;&gt;"",WEEKDAY(AJ$1,2)&lt;6),1,0),IF(AND(AL186&lt;&gt;"",WEEKDAY(AL$1,2)&lt;6),1,0),IF(AND(AN186&lt;&gt;"",WEEKDAY(AN$1,2)&lt;6),1,0),IF(AND(AP186&lt;&gt;"",WEEKDAY(AP$1,2)&lt;6),1,0),IF(AND(AR186&lt;&gt;"",WEEKDAY(AR$1,2)&lt;6),1,0),IF(AND(AT186&lt;&gt;"",WEEKDAY(AT$1,2)&lt;6),1,0),IF(AND(AV186&lt;&gt;"",WEEKDAY(AV$1,2)&lt;6),1,0),IF(AND(AX186&lt;&gt;"",WEEKDAY(AX$1,2)&lt;6),1,0),IF(AND(AZ186&lt;&gt;"",WEEKDAY(AZ$1,2)&lt;6),1,0),IF(AND(BB186&lt;&gt;"",WEEKDAY(BB$1,2)&lt;6),1,0),IF(AND(BD186&lt;&gt;"",WEEKDAY(BD$1,2)&lt;6),1,0),IF(AND(BF186&lt;&gt;"",WEEKDAY(BF$1,2)&lt;6),1,0),IF(AND(BH186&lt;&gt;"",WEEKDAY(BH$1,2)&lt;6),1,0),IF(AND(BJ186&lt;&gt;"",WEEKDAY(BJ$1,2)&lt;6),1,0),IF(AND(BL186&lt;&gt;"",WEEKDAY(BL$1,2)&lt;6),1,0))</f>
        <v>0</v>
      </c>
      <c r="BO186" s="85">
        <f>SUM(IF(AND(E186&lt;&gt;"",WEEKDAY(D$1,2)&lt;6),1,0),IF(AND(G186&lt;&gt;"",WEEKDAY(F$1,2)&lt;6),1,0),IF(AND(I186&lt;&gt;"",WEEKDAY(H$1,2)&lt;6),1,0),IF(AND(K186&lt;&gt;"",WEEKDAY(J$1,2)&lt;6),1,0),IF(AND(M186&lt;&gt;"",WEEKDAY(L$1,2)&lt;6),1,0),IF(AND(O186&lt;&gt;"",WEEKDAY(N$1,2)&lt;6),1,0),IF(AND(Q186&lt;&gt;"",WEEKDAY(P$1,2)&lt;6),1,0),IF(AND(S186&lt;&gt;"",WEEKDAY(R$1,2)&lt;6),1,0),IF(AND(U186&lt;&gt;"",WEEKDAY(T$1,2)&lt;6),1,0),IF(AND(W186&lt;&gt;"",WEEKDAY(V$1,2)&lt;6),1,0),IF(AND(Y186&lt;&gt;"",WEEKDAY(X$1,2)&lt;6),1,0),IF(AND(AA186&lt;&gt;"",WEEKDAY(Z$1,2)&lt;6),1,0),IF(AND(AC186&lt;&gt;"",WEEKDAY(AB$1,2)&lt;6),1,0),IF(AND(AE186&lt;&gt;"",WEEKDAY(AD$1,2)&lt;6),1,0),IF(AND(AG186&lt;&gt;"",WEEKDAY(AF$1,2)&lt;6),1,0),IF(AND(AI186&lt;&gt;"",WEEKDAY(AH$1,2)&lt;6),1,0),IF(AND(AK186&lt;&gt;"",WEEKDAY(AJ$1,2)&lt;6),1,0),IF(AND(AM186&lt;&gt;"",WEEKDAY(AL$1,2)&lt;6),1,0),IF(AND(AO186&lt;&gt;"",WEEKDAY(AN$1,2)&lt;6),1,0),IF(AND(AQ186&lt;&gt;"",WEEKDAY(AP$1,2)&lt;6),1,0),IF(AND(AS186&lt;&gt;"",WEEKDAY(AR$1,2)&lt;6),1,0),IF(AND(AU186&lt;&gt;"",WEEKDAY(AT$1,2)&lt;6),1,0),IF(AND(AW186&lt;&gt;"",WEEKDAY(AV$1,2)&lt;6),1,0),IF(AND(AY186&lt;&gt;"",WEEKDAY(AX$1,2)&lt;6),1,0),IF(AND(BA186&lt;&gt;"",WEEKDAY(AZ$1,2)&lt;6),1,0),IF(AND(BC186&lt;&gt;"",WEEKDAY(BB$1,2)&lt;6),1,0),IF(AND(BE186&lt;&gt;"",WEEKDAY(BD$1,2)&lt;6),1,0),IF(AND(BG186&lt;&gt;"",WEEKDAY(BF$1,2)&lt;6),1,0),IF(AND(BI186&lt;&gt;"",WEEKDAY(BH$1,2)&lt;6),1,0),IF(AND(BK186&lt;&gt;"",WEEKDAY(BJ$1,2)&lt;6),1,0),IF(AND(BM186&lt;&gt;"",WEEKDAY(BL$1,2)&lt;6),1,0))</f>
        <v>0</v>
      </c>
      <c r="BP186" s="85">
        <f>SUM(IF(AND((D186&lt;&gt;"")+(E186&lt;&gt;""),WEEKDAY(D$1,2)=6),1,0),IF(AND((F186&lt;&gt;"")+(G186&lt;&gt;""),WEEKDAY(F$1,2)=6),1,0),IF(AND((H186&lt;&gt;"")+(I186&lt;&gt;""),WEEKDAY(H$1,2)=6),1,0),IF(AND((J186&lt;&gt;"")+(K186&lt;&gt;""),WEEKDAY(J$1,2)=6),1,0),IF(AND((L186&lt;&gt;"")+(M186&lt;&gt;""),WEEKDAY(L$1,2)=6),1,0),IF(AND((N186&lt;&gt;"")+(O186&lt;&gt;""),WEEKDAY(N$1,2)=6),1,0),IF(AND((P186&lt;&gt;"")+(Q186&lt;&gt;""),WEEKDAY(P$1,2)=6),1,0),IF(AND((R186&lt;&gt;"")+(S186&lt;&gt;""),WEEKDAY(R$1,2)=6),1,0),IF(AND((T186&lt;&gt;"")+(U186&lt;&gt;""),WEEKDAY(T$1,2)=6),1,0),IF(AND((V186&lt;&gt;"")+(W186&lt;&gt;""),WEEKDAY(V$1,2)=6),1,0),IF(AND((X186&lt;&gt;"")+(Y186&lt;&gt;""),WEEKDAY(X$1,2)=6),1,0),IF(AND((Z186&lt;&gt;"")+(AA186&lt;&gt;""),WEEKDAY(Z$1,2)=6),1,0),IF(AND((AB186&lt;&gt;"")+(AC186&lt;&gt;""),WEEKDAY(AB$1,2)=6),1,0),IF(AND((AD186&lt;&gt;"")+(AE186&lt;&gt;""),WEEKDAY(AD$1,2)=6),1,0),IF(AND((AF186&lt;&gt;"")+(AG186&lt;&gt;""),WEEKDAY(AF$1,2)=6),1,0),IF(AND((AH186&lt;&gt;"")+(AI186&lt;&gt;""),WEEKDAY(AH$1,2)=6),1,0),IF(AND((AJ186&lt;&gt;"")+(AK186&lt;&gt;""),WEEKDAY(AJ$1,2)=6),1,0),IF(AND((AL186&lt;&gt;"")+(AM186&lt;&gt;""),WEEKDAY(AL$1,2)=6),1,0),IF(AND((AN186&lt;&gt;"")+(AO186&lt;&gt;""),WEEKDAY(AN$1,2)=6),1,0),IF(AND((AP186&lt;&gt;"")+(AQ186&lt;&gt;""),WEEKDAY(AP$1,2)=6),1,0),IF(AND((AR186&lt;&gt;"")+(AS186&lt;&gt;""),WEEKDAY(AR$1,2)=6),1,0),IF(AND((AT186&lt;&gt;"")+(AU186&lt;&gt;""),WEEKDAY(AT$1,2)=6),1,0),IF(AND((AV186&lt;&gt;"")+(AW186&lt;&gt;""),WEEKDAY(AV$1,2)=6),1,0),IF(AND((AX186&lt;&gt;"")+(AY186&lt;&gt;""),WEEKDAY(AX$1,2)=6),1,0),IF(AND((AZ186&lt;&gt;"")+(BA186&lt;&gt;""),WEEKDAY(AZ$1,2)=6),1,0),IF(AND((BB186&lt;&gt;"")+(BC186&lt;&gt;""),WEEKDAY(BB$1,2)=6),1,0),IF(AND((BD186&lt;&gt;"")+(BE186&lt;&gt;""),WEEKDAY(BD$1,2)=6),1,0),IF(AND((BF186&lt;&gt;"")+(BG186&lt;&gt;""),WEEKDAY(BF$1,2)=6),1,0),IF(AND((BH186&lt;&gt;"")+(BI186&lt;&gt;""),WEEKDAY(BH$1,2)=6),1,0),IF(AND((BJ186&lt;&gt;"")+(BK186&lt;&gt;""),WEEKDAY(BJ$1,2)=6),1,0),IF(AND((BL186&lt;&gt;"")+(BM186&lt;&gt;""),WEEKDAY(BL$1,2)=6),1,0))</f>
        <v>0</v>
      </c>
    </row>
    <row r="187" spans="1:68" ht="16.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>
        <f>SUM(IF(AND(D187&lt;&gt;"",WEEKDAY(D$1,2)&lt;6),1,0),IF(AND(F187&lt;&gt;"",WEEKDAY(F$1,2)&lt;6),1,0),IF(AND(H187&lt;&gt;"",WEEKDAY(H$1,2)&lt;6),1,0),IF(AND(J187&lt;&gt;"",WEEKDAY(J$1,2)&lt;6),1,0),IF(AND(L187&lt;&gt;"",WEEKDAY(L$1,2)&lt;6),1,0),IF(AND(N187&lt;&gt;"",WEEKDAY(N$1,2)&lt;6),1,0),IF(AND(P187&lt;&gt;"",WEEKDAY(P$1,2)&lt;6),1,0),IF(AND(R187&lt;&gt;"",WEEKDAY(R$1,2)&lt;6),1,0),IF(AND(T187&lt;&gt;"",WEEKDAY(T$1,2)&lt;6),1,0),IF(AND(V187&lt;&gt;"",WEEKDAY(V$1,2)&lt;6),1,0),IF(AND(X187&lt;&gt;"",WEEKDAY(X$1,2)&lt;6),1,0),IF(AND(Z187&lt;&gt;"",WEEKDAY(Z$1,2)&lt;6),1,0),IF(AND(AB187&lt;&gt;"",WEEKDAY(AB$1,2)&lt;6),1,0),IF(AND(AD187&lt;&gt;"",WEEKDAY(AD$1,2)&lt;6),1,0),IF(AND(AF187&lt;&gt;"",WEEKDAY(AF$1,2)&lt;6),1,0),IF(AND(AH187&lt;&gt;"",WEEKDAY(AH$1,2)&lt;6),1,0),IF(AND(AJ187&lt;&gt;"",WEEKDAY(AJ$1,2)&lt;6),1,0),IF(AND(AL187&lt;&gt;"",WEEKDAY(AL$1,2)&lt;6),1,0),IF(AND(AN187&lt;&gt;"",WEEKDAY(AN$1,2)&lt;6),1,0),IF(AND(AP187&lt;&gt;"",WEEKDAY(AP$1,2)&lt;6),1,0),IF(AND(AR187&lt;&gt;"",WEEKDAY(AR$1,2)&lt;6),1,0),IF(AND(AT187&lt;&gt;"",WEEKDAY(AT$1,2)&lt;6),1,0),IF(AND(AV187&lt;&gt;"",WEEKDAY(AV$1,2)&lt;6),1,0),IF(AND(AX187&lt;&gt;"",WEEKDAY(AX$1,2)&lt;6),1,0),IF(AND(AZ187&lt;&gt;"",WEEKDAY(AZ$1,2)&lt;6),1,0),IF(AND(BB187&lt;&gt;"",WEEKDAY(BB$1,2)&lt;6),1,0),IF(AND(BD187&lt;&gt;"",WEEKDAY(BD$1,2)&lt;6),1,0),IF(AND(BF187&lt;&gt;"",WEEKDAY(BF$1,2)&lt;6),1,0),IF(AND(BH187&lt;&gt;"",WEEKDAY(BH$1,2)&lt;6),1,0),IF(AND(BJ187&lt;&gt;"",WEEKDAY(BJ$1,2)&lt;6),1,0),IF(AND(BL187&lt;&gt;"",WEEKDAY(BL$1,2)&lt;6),1,0))</f>
        <v>0</v>
      </c>
      <c r="BO187" s="85">
        <f>SUM(IF(AND(E187&lt;&gt;"",WEEKDAY(D$1,2)&lt;6),1,0),IF(AND(G187&lt;&gt;"",WEEKDAY(F$1,2)&lt;6),1,0),IF(AND(I187&lt;&gt;"",WEEKDAY(H$1,2)&lt;6),1,0),IF(AND(K187&lt;&gt;"",WEEKDAY(J$1,2)&lt;6),1,0),IF(AND(M187&lt;&gt;"",WEEKDAY(L$1,2)&lt;6),1,0),IF(AND(O187&lt;&gt;"",WEEKDAY(N$1,2)&lt;6),1,0),IF(AND(Q187&lt;&gt;"",WEEKDAY(P$1,2)&lt;6),1,0),IF(AND(S187&lt;&gt;"",WEEKDAY(R$1,2)&lt;6),1,0),IF(AND(U187&lt;&gt;"",WEEKDAY(T$1,2)&lt;6),1,0),IF(AND(W187&lt;&gt;"",WEEKDAY(V$1,2)&lt;6),1,0),IF(AND(Y187&lt;&gt;"",WEEKDAY(X$1,2)&lt;6),1,0),IF(AND(AA187&lt;&gt;"",WEEKDAY(Z$1,2)&lt;6),1,0),IF(AND(AC187&lt;&gt;"",WEEKDAY(AB$1,2)&lt;6),1,0),IF(AND(AE187&lt;&gt;"",WEEKDAY(AD$1,2)&lt;6),1,0),IF(AND(AG187&lt;&gt;"",WEEKDAY(AF$1,2)&lt;6),1,0),IF(AND(AI187&lt;&gt;"",WEEKDAY(AH$1,2)&lt;6),1,0),IF(AND(AK187&lt;&gt;"",WEEKDAY(AJ$1,2)&lt;6),1,0),IF(AND(AM187&lt;&gt;"",WEEKDAY(AL$1,2)&lt;6),1,0),IF(AND(AO187&lt;&gt;"",WEEKDAY(AN$1,2)&lt;6),1,0),IF(AND(AQ187&lt;&gt;"",WEEKDAY(AP$1,2)&lt;6),1,0),IF(AND(AS187&lt;&gt;"",WEEKDAY(AR$1,2)&lt;6),1,0),IF(AND(AU187&lt;&gt;"",WEEKDAY(AT$1,2)&lt;6),1,0),IF(AND(AW187&lt;&gt;"",WEEKDAY(AV$1,2)&lt;6),1,0),IF(AND(AY187&lt;&gt;"",WEEKDAY(AX$1,2)&lt;6),1,0),IF(AND(BA187&lt;&gt;"",WEEKDAY(AZ$1,2)&lt;6),1,0),IF(AND(BC187&lt;&gt;"",WEEKDAY(BB$1,2)&lt;6),1,0),IF(AND(BE187&lt;&gt;"",WEEKDAY(BD$1,2)&lt;6),1,0),IF(AND(BG187&lt;&gt;"",WEEKDAY(BF$1,2)&lt;6),1,0),IF(AND(BI187&lt;&gt;"",WEEKDAY(BH$1,2)&lt;6),1,0),IF(AND(BK187&lt;&gt;"",WEEKDAY(BJ$1,2)&lt;6),1,0),IF(AND(BM187&lt;&gt;"",WEEKDAY(BL$1,2)&lt;6),1,0))</f>
        <v>0</v>
      </c>
      <c r="BP187" s="85">
        <f>SUM(IF(AND((D187&lt;&gt;"")+(E187&lt;&gt;""),WEEKDAY(D$1,2)=6),1,0),IF(AND((F187&lt;&gt;"")+(G187&lt;&gt;""),WEEKDAY(F$1,2)=6),1,0),IF(AND((H187&lt;&gt;"")+(I187&lt;&gt;""),WEEKDAY(H$1,2)=6),1,0),IF(AND((J187&lt;&gt;"")+(K187&lt;&gt;""),WEEKDAY(J$1,2)=6),1,0),IF(AND((L187&lt;&gt;"")+(M187&lt;&gt;""),WEEKDAY(L$1,2)=6),1,0),IF(AND((N187&lt;&gt;"")+(O187&lt;&gt;""),WEEKDAY(N$1,2)=6),1,0),IF(AND((P187&lt;&gt;"")+(Q187&lt;&gt;""),WEEKDAY(P$1,2)=6),1,0),IF(AND((R187&lt;&gt;"")+(S187&lt;&gt;""),WEEKDAY(R$1,2)=6),1,0),IF(AND((T187&lt;&gt;"")+(U187&lt;&gt;""),WEEKDAY(T$1,2)=6),1,0),IF(AND((V187&lt;&gt;"")+(W187&lt;&gt;""),WEEKDAY(V$1,2)=6),1,0),IF(AND((X187&lt;&gt;"")+(Y187&lt;&gt;""),WEEKDAY(X$1,2)=6),1,0),IF(AND((Z187&lt;&gt;"")+(AA187&lt;&gt;""),WEEKDAY(Z$1,2)=6),1,0),IF(AND((AB187&lt;&gt;"")+(AC187&lt;&gt;""),WEEKDAY(AB$1,2)=6),1,0),IF(AND((AD187&lt;&gt;"")+(AE187&lt;&gt;""),WEEKDAY(AD$1,2)=6),1,0),IF(AND((AF187&lt;&gt;"")+(AG187&lt;&gt;""),WEEKDAY(AF$1,2)=6),1,0),IF(AND((AH187&lt;&gt;"")+(AI187&lt;&gt;""),WEEKDAY(AH$1,2)=6),1,0),IF(AND((AJ187&lt;&gt;"")+(AK187&lt;&gt;""),WEEKDAY(AJ$1,2)=6),1,0),IF(AND((AL187&lt;&gt;"")+(AM187&lt;&gt;""),WEEKDAY(AL$1,2)=6),1,0),IF(AND((AN187&lt;&gt;"")+(AO187&lt;&gt;""),WEEKDAY(AN$1,2)=6),1,0),IF(AND((AP187&lt;&gt;"")+(AQ187&lt;&gt;""),WEEKDAY(AP$1,2)=6),1,0),IF(AND((AR187&lt;&gt;"")+(AS187&lt;&gt;""),WEEKDAY(AR$1,2)=6),1,0),IF(AND((AT187&lt;&gt;"")+(AU187&lt;&gt;""),WEEKDAY(AT$1,2)=6),1,0),IF(AND((AV187&lt;&gt;"")+(AW187&lt;&gt;""),WEEKDAY(AV$1,2)=6),1,0),IF(AND((AX187&lt;&gt;"")+(AY187&lt;&gt;""),WEEKDAY(AX$1,2)=6),1,0),IF(AND((AZ187&lt;&gt;"")+(BA187&lt;&gt;""),WEEKDAY(AZ$1,2)=6),1,0),IF(AND((BB187&lt;&gt;"")+(BC187&lt;&gt;""),WEEKDAY(BB$1,2)=6),1,0),IF(AND((BD187&lt;&gt;"")+(BE187&lt;&gt;""),WEEKDAY(BD$1,2)=6),1,0),IF(AND((BF187&lt;&gt;"")+(BG187&lt;&gt;""),WEEKDAY(BF$1,2)=6),1,0),IF(AND((BH187&lt;&gt;"")+(BI187&lt;&gt;""),WEEKDAY(BH$1,2)=6),1,0),IF(AND((BJ187&lt;&gt;"")+(BK187&lt;&gt;""),WEEKDAY(BJ$1,2)=6),1,0),IF(AND((BL187&lt;&gt;"")+(BM187&lt;&gt;""),WEEKDAY(BL$1,2)=6),1,0))</f>
        <v>0</v>
      </c>
    </row>
    <row r="188" spans="1:68" ht="16.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>
        <f>SUM(IF(AND(D188&lt;&gt;"",WEEKDAY(D$1,2)&lt;6),1,0),IF(AND(F188&lt;&gt;"",WEEKDAY(F$1,2)&lt;6),1,0),IF(AND(H188&lt;&gt;"",WEEKDAY(H$1,2)&lt;6),1,0),IF(AND(J188&lt;&gt;"",WEEKDAY(J$1,2)&lt;6),1,0),IF(AND(L188&lt;&gt;"",WEEKDAY(L$1,2)&lt;6),1,0),IF(AND(N188&lt;&gt;"",WEEKDAY(N$1,2)&lt;6),1,0),IF(AND(P188&lt;&gt;"",WEEKDAY(P$1,2)&lt;6),1,0),IF(AND(R188&lt;&gt;"",WEEKDAY(R$1,2)&lt;6),1,0),IF(AND(T188&lt;&gt;"",WEEKDAY(T$1,2)&lt;6),1,0),IF(AND(V188&lt;&gt;"",WEEKDAY(V$1,2)&lt;6),1,0),IF(AND(X188&lt;&gt;"",WEEKDAY(X$1,2)&lt;6),1,0),IF(AND(Z188&lt;&gt;"",WEEKDAY(Z$1,2)&lt;6),1,0),IF(AND(AB188&lt;&gt;"",WEEKDAY(AB$1,2)&lt;6),1,0),IF(AND(AD188&lt;&gt;"",WEEKDAY(AD$1,2)&lt;6),1,0),IF(AND(AF188&lt;&gt;"",WEEKDAY(AF$1,2)&lt;6),1,0),IF(AND(AH188&lt;&gt;"",WEEKDAY(AH$1,2)&lt;6),1,0),IF(AND(AJ188&lt;&gt;"",WEEKDAY(AJ$1,2)&lt;6),1,0),IF(AND(AL188&lt;&gt;"",WEEKDAY(AL$1,2)&lt;6),1,0),IF(AND(AN188&lt;&gt;"",WEEKDAY(AN$1,2)&lt;6),1,0),IF(AND(AP188&lt;&gt;"",WEEKDAY(AP$1,2)&lt;6),1,0),IF(AND(AR188&lt;&gt;"",WEEKDAY(AR$1,2)&lt;6),1,0),IF(AND(AT188&lt;&gt;"",WEEKDAY(AT$1,2)&lt;6),1,0),IF(AND(AV188&lt;&gt;"",WEEKDAY(AV$1,2)&lt;6),1,0),IF(AND(AX188&lt;&gt;"",WEEKDAY(AX$1,2)&lt;6),1,0),IF(AND(AZ188&lt;&gt;"",WEEKDAY(AZ$1,2)&lt;6),1,0),IF(AND(BB188&lt;&gt;"",WEEKDAY(BB$1,2)&lt;6),1,0),IF(AND(BD188&lt;&gt;"",WEEKDAY(BD$1,2)&lt;6),1,0),IF(AND(BF188&lt;&gt;"",WEEKDAY(BF$1,2)&lt;6),1,0),IF(AND(BH188&lt;&gt;"",WEEKDAY(BH$1,2)&lt;6),1,0),IF(AND(BJ188&lt;&gt;"",WEEKDAY(BJ$1,2)&lt;6),1,0),IF(AND(BL188&lt;&gt;"",WEEKDAY(BL$1,2)&lt;6),1,0))</f>
        <v>0</v>
      </c>
      <c r="BO188" s="85">
        <f>SUM(IF(AND(E188&lt;&gt;"",WEEKDAY(D$1,2)&lt;6),1,0),IF(AND(G188&lt;&gt;"",WEEKDAY(F$1,2)&lt;6),1,0),IF(AND(I188&lt;&gt;"",WEEKDAY(H$1,2)&lt;6),1,0),IF(AND(K188&lt;&gt;"",WEEKDAY(J$1,2)&lt;6),1,0),IF(AND(M188&lt;&gt;"",WEEKDAY(L$1,2)&lt;6),1,0),IF(AND(O188&lt;&gt;"",WEEKDAY(N$1,2)&lt;6),1,0),IF(AND(Q188&lt;&gt;"",WEEKDAY(P$1,2)&lt;6),1,0),IF(AND(S188&lt;&gt;"",WEEKDAY(R$1,2)&lt;6),1,0),IF(AND(U188&lt;&gt;"",WEEKDAY(T$1,2)&lt;6),1,0),IF(AND(W188&lt;&gt;"",WEEKDAY(V$1,2)&lt;6),1,0),IF(AND(Y188&lt;&gt;"",WEEKDAY(X$1,2)&lt;6),1,0),IF(AND(AA188&lt;&gt;"",WEEKDAY(Z$1,2)&lt;6),1,0),IF(AND(AC188&lt;&gt;"",WEEKDAY(AB$1,2)&lt;6),1,0),IF(AND(AE188&lt;&gt;"",WEEKDAY(AD$1,2)&lt;6),1,0),IF(AND(AG188&lt;&gt;"",WEEKDAY(AF$1,2)&lt;6),1,0),IF(AND(AI188&lt;&gt;"",WEEKDAY(AH$1,2)&lt;6),1,0),IF(AND(AK188&lt;&gt;"",WEEKDAY(AJ$1,2)&lt;6),1,0),IF(AND(AM188&lt;&gt;"",WEEKDAY(AL$1,2)&lt;6),1,0),IF(AND(AO188&lt;&gt;"",WEEKDAY(AN$1,2)&lt;6),1,0),IF(AND(AQ188&lt;&gt;"",WEEKDAY(AP$1,2)&lt;6),1,0),IF(AND(AS188&lt;&gt;"",WEEKDAY(AR$1,2)&lt;6),1,0),IF(AND(AU188&lt;&gt;"",WEEKDAY(AT$1,2)&lt;6),1,0),IF(AND(AW188&lt;&gt;"",WEEKDAY(AV$1,2)&lt;6),1,0),IF(AND(AY188&lt;&gt;"",WEEKDAY(AX$1,2)&lt;6),1,0),IF(AND(BA188&lt;&gt;"",WEEKDAY(AZ$1,2)&lt;6),1,0),IF(AND(BC188&lt;&gt;"",WEEKDAY(BB$1,2)&lt;6),1,0),IF(AND(BE188&lt;&gt;"",WEEKDAY(BD$1,2)&lt;6),1,0),IF(AND(BG188&lt;&gt;"",WEEKDAY(BF$1,2)&lt;6),1,0),IF(AND(BI188&lt;&gt;"",WEEKDAY(BH$1,2)&lt;6),1,0),IF(AND(BK188&lt;&gt;"",WEEKDAY(BJ$1,2)&lt;6),1,0),IF(AND(BM188&lt;&gt;"",WEEKDAY(BL$1,2)&lt;6),1,0))</f>
        <v>0</v>
      </c>
      <c r="BP188" s="85">
        <f>SUM(IF(AND((D188&lt;&gt;"")+(E188&lt;&gt;""),WEEKDAY(D$1,2)=6),1,0),IF(AND((F188&lt;&gt;"")+(G188&lt;&gt;""),WEEKDAY(F$1,2)=6),1,0),IF(AND((H188&lt;&gt;"")+(I188&lt;&gt;""),WEEKDAY(H$1,2)=6),1,0),IF(AND((J188&lt;&gt;"")+(K188&lt;&gt;""),WEEKDAY(J$1,2)=6),1,0),IF(AND((L188&lt;&gt;"")+(M188&lt;&gt;""),WEEKDAY(L$1,2)=6),1,0),IF(AND((N188&lt;&gt;"")+(O188&lt;&gt;""),WEEKDAY(N$1,2)=6),1,0),IF(AND((P188&lt;&gt;"")+(Q188&lt;&gt;""),WEEKDAY(P$1,2)=6),1,0),IF(AND((R188&lt;&gt;"")+(S188&lt;&gt;""),WEEKDAY(R$1,2)=6),1,0),IF(AND((T188&lt;&gt;"")+(U188&lt;&gt;""),WEEKDAY(T$1,2)=6),1,0),IF(AND((V188&lt;&gt;"")+(W188&lt;&gt;""),WEEKDAY(V$1,2)=6),1,0),IF(AND((X188&lt;&gt;"")+(Y188&lt;&gt;""),WEEKDAY(X$1,2)=6),1,0),IF(AND((Z188&lt;&gt;"")+(AA188&lt;&gt;""),WEEKDAY(Z$1,2)=6),1,0),IF(AND((AB188&lt;&gt;"")+(AC188&lt;&gt;""),WEEKDAY(AB$1,2)=6),1,0),IF(AND((AD188&lt;&gt;"")+(AE188&lt;&gt;""),WEEKDAY(AD$1,2)=6),1,0),IF(AND((AF188&lt;&gt;"")+(AG188&lt;&gt;""),WEEKDAY(AF$1,2)=6),1,0),IF(AND((AH188&lt;&gt;"")+(AI188&lt;&gt;""),WEEKDAY(AH$1,2)=6),1,0),IF(AND((AJ188&lt;&gt;"")+(AK188&lt;&gt;""),WEEKDAY(AJ$1,2)=6),1,0),IF(AND((AL188&lt;&gt;"")+(AM188&lt;&gt;""),WEEKDAY(AL$1,2)=6),1,0),IF(AND((AN188&lt;&gt;"")+(AO188&lt;&gt;""),WEEKDAY(AN$1,2)=6),1,0),IF(AND((AP188&lt;&gt;"")+(AQ188&lt;&gt;""),WEEKDAY(AP$1,2)=6),1,0),IF(AND((AR188&lt;&gt;"")+(AS188&lt;&gt;""),WEEKDAY(AR$1,2)=6),1,0),IF(AND((AT188&lt;&gt;"")+(AU188&lt;&gt;""),WEEKDAY(AT$1,2)=6),1,0),IF(AND((AV188&lt;&gt;"")+(AW188&lt;&gt;""),WEEKDAY(AV$1,2)=6),1,0),IF(AND((AX188&lt;&gt;"")+(AY188&lt;&gt;""),WEEKDAY(AX$1,2)=6),1,0),IF(AND((AZ188&lt;&gt;"")+(BA188&lt;&gt;""),WEEKDAY(AZ$1,2)=6),1,0),IF(AND((BB188&lt;&gt;"")+(BC188&lt;&gt;""),WEEKDAY(BB$1,2)=6),1,0),IF(AND((BD188&lt;&gt;"")+(BE188&lt;&gt;""),WEEKDAY(BD$1,2)=6),1,0),IF(AND((BF188&lt;&gt;"")+(BG188&lt;&gt;""),WEEKDAY(BF$1,2)=6),1,0),IF(AND((BH188&lt;&gt;"")+(BI188&lt;&gt;""),WEEKDAY(BH$1,2)=6),1,0),IF(AND((BJ188&lt;&gt;"")+(BK188&lt;&gt;""),WEEKDAY(BJ$1,2)=6),1,0),IF(AND((BL188&lt;&gt;"")+(BM188&lt;&gt;""),WEEKDAY(BL$1,2)=6),1,0))</f>
        <v>0</v>
      </c>
    </row>
    <row r="189" spans="1:68" ht="16.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>
        <f>SUM(IF(AND(D189&lt;&gt;"",WEEKDAY(D$1,2)&lt;6),1,0),IF(AND(F189&lt;&gt;"",WEEKDAY(F$1,2)&lt;6),1,0),IF(AND(H189&lt;&gt;"",WEEKDAY(H$1,2)&lt;6),1,0),IF(AND(J189&lt;&gt;"",WEEKDAY(J$1,2)&lt;6),1,0),IF(AND(L189&lt;&gt;"",WEEKDAY(L$1,2)&lt;6),1,0),IF(AND(N189&lt;&gt;"",WEEKDAY(N$1,2)&lt;6),1,0),IF(AND(P189&lt;&gt;"",WEEKDAY(P$1,2)&lt;6),1,0),IF(AND(R189&lt;&gt;"",WEEKDAY(R$1,2)&lt;6),1,0),IF(AND(T189&lt;&gt;"",WEEKDAY(T$1,2)&lt;6),1,0),IF(AND(V189&lt;&gt;"",WEEKDAY(V$1,2)&lt;6),1,0),IF(AND(X189&lt;&gt;"",WEEKDAY(X$1,2)&lt;6),1,0),IF(AND(Z189&lt;&gt;"",WEEKDAY(Z$1,2)&lt;6),1,0),IF(AND(AB189&lt;&gt;"",WEEKDAY(AB$1,2)&lt;6),1,0),IF(AND(AD189&lt;&gt;"",WEEKDAY(AD$1,2)&lt;6),1,0),IF(AND(AF189&lt;&gt;"",WEEKDAY(AF$1,2)&lt;6),1,0),IF(AND(AH189&lt;&gt;"",WEEKDAY(AH$1,2)&lt;6),1,0),IF(AND(AJ189&lt;&gt;"",WEEKDAY(AJ$1,2)&lt;6),1,0),IF(AND(AL189&lt;&gt;"",WEEKDAY(AL$1,2)&lt;6),1,0),IF(AND(AN189&lt;&gt;"",WEEKDAY(AN$1,2)&lt;6),1,0),IF(AND(AP189&lt;&gt;"",WEEKDAY(AP$1,2)&lt;6),1,0),IF(AND(AR189&lt;&gt;"",WEEKDAY(AR$1,2)&lt;6),1,0),IF(AND(AT189&lt;&gt;"",WEEKDAY(AT$1,2)&lt;6),1,0),IF(AND(AV189&lt;&gt;"",WEEKDAY(AV$1,2)&lt;6),1,0),IF(AND(AX189&lt;&gt;"",WEEKDAY(AX$1,2)&lt;6),1,0),IF(AND(AZ189&lt;&gt;"",WEEKDAY(AZ$1,2)&lt;6),1,0),IF(AND(BB189&lt;&gt;"",WEEKDAY(BB$1,2)&lt;6),1,0),IF(AND(BD189&lt;&gt;"",WEEKDAY(BD$1,2)&lt;6),1,0),IF(AND(BF189&lt;&gt;"",WEEKDAY(BF$1,2)&lt;6),1,0),IF(AND(BH189&lt;&gt;"",WEEKDAY(BH$1,2)&lt;6),1,0),IF(AND(BJ189&lt;&gt;"",WEEKDAY(BJ$1,2)&lt;6),1,0),IF(AND(BL189&lt;&gt;"",WEEKDAY(BL$1,2)&lt;6),1,0))</f>
        <v>0</v>
      </c>
      <c r="BO189" s="85">
        <f>SUM(IF(AND(E189&lt;&gt;"",WEEKDAY(D$1,2)&lt;6),1,0),IF(AND(G189&lt;&gt;"",WEEKDAY(F$1,2)&lt;6),1,0),IF(AND(I189&lt;&gt;"",WEEKDAY(H$1,2)&lt;6),1,0),IF(AND(K189&lt;&gt;"",WEEKDAY(J$1,2)&lt;6),1,0),IF(AND(M189&lt;&gt;"",WEEKDAY(L$1,2)&lt;6),1,0),IF(AND(O189&lt;&gt;"",WEEKDAY(N$1,2)&lt;6),1,0),IF(AND(Q189&lt;&gt;"",WEEKDAY(P$1,2)&lt;6),1,0),IF(AND(S189&lt;&gt;"",WEEKDAY(R$1,2)&lt;6),1,0),IF(AND(U189&lt;&gt;"",WEEKDAY(T$1,2)&lt;6),1,0),IF(AND(W189&lt;&gt;"",WEEKDAY(V$1,2)&lt;6),1,0),IF(AND(Y189&lt;&gt;"",WEEKDAY(X$1,2)&lt;6),1,0),IF(AND(AA189&lt;&gt;"",WEEKDAY(Z$1,2)&lt;6),1,0),IF(AND(AC189&lt;&gt;"",WEEKDAY(AB$1,2)&lt;6),1,0),IF(AND(AE189&lt;&gt;"",WEEKDAY(AD$1,2)&lt;6),1,0),IF(AND(AG189&lt;&gt;"",WEEKDAY(AF$1,2)&lt;6),1,0),IF(AND(AI189&lt;&gt;"",WEEKDAY(AH$1,2)&lt;6),1,0),IF(AND(AK189&lt;&gt;"",WEEKDAY(AJ$1,2)&lt;6),1,0),IF(AND(AM189&lt;&gt;"",WEEKDAY(AL$1,2)&lt;6),1,0),IF(AND(AO189&lt;&gt;"",WEEKDAY(AN$1,2)&lt;6),1,0),IF(AND(AQ189&lt;&gt;"",WEEKDAY(AP$1,2)&lt;6),1,0),IF(AND(AS189&lt;&gt;"",WEEKDAY(AR$1,2)&lt;6),1,0),IF(AND(AU189&lt;&gt;"",WEEKDAY(AT$1,2)&lt;6),1,0),IF(AND(AW189&lt;&gt;"",WEEKDAY(AV$1,2)&lt;6),1,0),IF(AND(AY189&lt;&gt;"",WEEKDAY(AX$1,2)&lt;6),1,0),IF(AND(BA189&lt;&gt;"",WEEKDAY(AZ$1,2)&lt;6),1,0),IF(AND(BC189&lt;&gt;"",WEEKDAY(BB$1,2)&lt;6),1,0),IF(AND(BE189&lt;&gt;"",WEEKDAY(BD$1,2)&lt;6),1,0),IF(AND(BG189&lt;&gt;"",WEEKDAY(BF$1,2)&lt;6),1,0),IF(AND(BI189&lt;&gt;"",WEEKDAY(BH$1,2)&lt;6),1,0),IF(AND(BK189&lt;&gt;"",WEEKDAY(BJ$1,2)&lt;6),1,0),IF(AND(BM189&lt;&gt;"",WEEKDAY(BL$1,2)&lt;6),1,0))</f>
        <v>0</v>
      </c>
      <c r="BP189" s="85">
        <f>SUM(IF(AND((D189&lt;&gt;"")+(E189&lt;&gt;""),WEEKDAY(D$1,2)=6),1,0),IF(AND((F189&lt;&gt;"")+(G189&lt;&gt;""),WEEKDAY(F$1,2)=6),1,0),IF(AND((H189&lt;&gt;"")+(I189&lt;&gt;""),WEEKDAY(H$1,2)=6),1,0),IF(AND((J189&lt;&gt;"")+(K189&lt;&gt;""),WEEKDAY(J$1,2)=6),1,0),IF(AND((L189&lt;&gt;"")+(M189&lt;&gt;""),WEEKDAY(L$1,2)=6),1,0),IF(AND((N189&lt;&gt;"")+(O189&lt;&gt;""),WEEKDAY(N$1,2)=6),1,0),IF(AND((P189&lt;&gt;"")+(Q189&lt;&gt;""),WEEKDAY(P$1,2)=6),1,0),IF(AND((R189&lt;&gt;"")+(S189&lt;&gt;""),WEEKDAY(R$1,2)=6),1,0),IF(AND((T189&lt;&gt;"")+(U189&lt;&gt;""),WEEKDAY(T$1,2)=6),1,0),IF(AND((V189&lt;&gt;"")+(W189&lt;&gt;""),WEEKDAY(V$1,2)=6),1,0),IF(AND((X189&lt;&gt;"")+(Y189&lt;&gt;""),WEEKDAY(X$1,2)=6),1,0),IF(AND((Z189&lt;&gt;"")+(AA189&lt;&gt;""),WEEKDAY(Z$1,2)=6),1,0),IF(AND((AB189&lt;&gt;"")+(AC189&lt;&gt;""),WEEKDAY(AB$1,2)=6),1,0),IF(AND((AD189&lt;&gt;"")+(AE189&lt;&gt;""),WEEKDAY(AD$1,2)=6),1,0),IF(AND((AF189&lt;&gt;"")+(AG189&lt;&gt;""),WEEKDAY(AF$1,2)=6),1,0),IF(AND((AH189&lt;&gt;"")+(AI189&lt;&gt;""),WEEKDAY(AH$1,2)=6),1,0),IF(AND((AJ189&lt;&gt;"")+(AK189&lt;&gt;""),WEEKDAY(AJ$1,2)=6),1,0),IF(AND((AL189&lt;&gt;"")+(AM189&lt;&gt;""),WEEKDAY(AL$1,2)=6),1,0),IF(AND((AN189&lt;&gt;"")+(AO189&lt;&gt;""),WEEKDAY(AN$1,2)=6),1,0),IF(AND((AP189&lt;&gt;"")+(AQ189&lt;&gt;""),WEEKDAY(AP$1,2)=6),1,0),IF(AND((AR189&lt;&gt;"")+(AS189&lt;&gt;""),WEEKDAY(AR$1,2)=6),1,0),IF(AND((AT189&lt;&gt;"")+(AU189&lt;&gt;""),WEEKDAY(AT$1,2)=6),1,0),IF(AND((AV189&lt;&gt;"")+(AW189&lt;&gt;""),WEEKDAY(AV$1,2)=6),1,0),IF(AND((AX189&lt;&gt;"")+(AY189&lt;&gt;""),WEEKDAY(AX$1,2)=6),1,0),IF(AND((AZ189&lt;&gt;"")+(BA189&lt;&gt;""),WEEKDAY(AZ$1,2)=6),1,0),IF(AND((BB189&lt;&gt;"")+(BC189&lt;&gt;""),WEEKDAY(BB$1,2)=6),1,0),IF(AND((BD189&lt;&gt;"")+(BE189&lt;&gt;""),WEEKDAY(BD$1,2)=6),1,0),IF(AND((BF189&lt;&gt;"")+(BG189&lt;&gt;""),WEEKDAY(BF$1,2)=6),1,0),IF(AND((BH189&lt;&gt;"")+(BI189&lt;&gt;""),WEEKDAY(BH$1,2)=6),1,0),IF(AND((BJ189&lt;&gt;"")+(BK189&lt;&gt;""),WEEKDAY(BJ$1,2)=6),1,0),IF(AND((BL189&lt;&gt;"")+(BM189&lt;&gt;""),WEEKDAY(BL$1,2)=6),1,0))</f>
        <v>0</v>
      </c>
    </row>
    <row r="190" spans="1:68" ht="16.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>
        <f>SUM(IF(AND(D190&lt;&gt;"",WEEKDAY(D$1,2)&lt;6),1,0),IF(AND(F190&lt;&gt;"",WEEKDAY(F$1,2)&lt;6),1,0),IF(AND(H190&lt;&gt;"",WEEKDAY(H$1,2)&lt;6),1,0),IF(AND(J190&lt;&gt;"",WEEKDAY(J$1,2)&lt;6),1,0),IF(AND(L190&lt;&gt;"",WEEKDAY(L$1,2)&lt;6),1,0),IF(AND(N190&lt;&gt;"",WEEKDAY(N$1,2)&lt;6),1,0),IF(AND(P190&lt;&gt;"",WEEKDAY(P$1,2)&lt;6),1,0),IF(AND(R190&lt;&gt;"",WEEKDAY(R$1,2)&lt;6),1,0),IF(AND(T190&lt;&gt;"",WEEKDAY(T$1,2)&lt;6),1,0),IF(AND(V190&lt;&gt;"",WEEKDAY(V$1,2)&lt;6),1,0),IF(AND(X190&lt;&gt;"",WEEKDAY(X$1,2)&lt;6),1,0),IF(AND(Z190&lt;&gt;"",WEEKDAY(Z$1,2)&lt;6),1,0),IF(AND(AB190&lt;&gt;"",WEEKDAY(AB$1,2)&lt;6),1,0),IF(AND(AD190&lt;&gt;"",WEEKDAY(AD$1,2)&lt;6),1,0),IF(AND(AF190&lt;&gt;"",WEEKDAY(AF$1,2)&lt;6),1,0),IF(AND(AH190&lt;&gt;"",WEEKDAY(AH$1,2)&lt;6),1,0),IF(AND(AJ190&lt;&gt;"",WEEKDAY(AJ$1,2)&lt;6),1,0),IF(AND(AL190&lt;&gt;"",WEEKDAY(AL$1,2)&lt;6),1,0),IF(AND(AN190&lt;&gt;"",WEEKDAY(AN$1,2)&lt;6),1,0),IF(AND(AP190&lt;&gt;"",WEEKDAY(AP$1,2)&lt;6),1,0),IF(AND(AR190&lt;&gt;"",WEEKDAY(AR$1,2)&lt;6),1,0),IF(AND(AT190&lt;&gt;"",WEEKDAY(AT$1,2)&lt;6),1,0),IF(AND(AV190&lt;&gt;"",WEEKDAY(AV$1,2)&lt;6),1,0),IF(AND(AX190&lt;&gt;"",WEEKDAY(AX$1,2)&lt;6),1,0),IF(AND(AZ190&lt;&gt;"",WEEKDAY(AZ$1,2)&lt;6),1,0),IF(AND(BB190&lt;&gt;"",WEEKDAY(BB$1,2)&lt;6),1,0),IF(AND(BD190&lt;&gt;"",WEEKDAY(BD$1,2)&lt;6),1,0),IF(AND(BF190&lt;&gt;"",WEEKDAY(BF$1,2)&lt;6),1,0),IF(AND(BH190&lt;&gt;"",WEEKDAY(BH$1,2)&lt;6),1,0),IF(AND(BJ190&lt;&gt;"",WEEKDAY(BJ$1,2)&lt;6),1,0),IF(AND(BL190&lt;&gt;"",WEEKDAY(BL$1,2)&lt;6),1,0))</f>
        <v>0</v>
      </c>
      <c r="BO190" s="85">
        <f>SUM(IF(AND(E190&lt;&gt;"",WEEKDAY(D$1,2)&lt;6),1,0),IF(AND(G190&lt;&gt;"",WEEKDAY(F$1,2)&lt;6),1,0),IF(AND(I190&lt;&gt;"",WEEKDAY(H$1,2)&lt;6),1,0),IF(AND(K190&lt;&gt;"",WEEKDAY(J$1,2)&lt;6),1,0),IF(AND(M190&lt;&gt;"",WEEKDAY(L$1,2)&lt;6),1,0),IF(AND(O190&lt;&gt;"",WEEKDAY(N$1,2)&lt;6),1,0),IF(AND(Q190&lt;&gt;"",WEEKDAY(P$1,2)&lt;6),1,0),IF(AND(S190&lt;&gt;"",WEEKDAY(R$1,2)&lt;6),1,0),IF(AND(U190&lt;&gt;"",WEEKDAY(T$1,2)&lt;6),1,0),IF(AND(W190&lt;&gt;"",WEEKDAY(V$1,2)&lt;6),1,0),IF(AND(Y190&lt;&gt;"",WEEKDAY(X$1,2)&lt;6),1,0),IF(AND(AA190&lt;&gt;"",WEEKDAY(Z$1,2)&lt;6),1,0),IF(AND(AC190&lt;&gt;"",WEEKDAY(AB$1,2)&lt;6),1,0),IF(AND(AE190&lt;&gt;"",WEEKDAY(AD$1,2)&lt;6),1,0),IF(AND(AG190&lt;&gt;"",WEEKDAY(AF$1,2)&lt;6),1,0),IF(AND(AI190&lt;&gt;"",WEEKDAY(AH$1,2)&lt;6),1,0),IF(AND(AK190&lt;&gt;"",WEEKDAY(AJ$1,2)&lt;6),1,0),IF(AND(AM190&lt;&gt;"",WEEKDAY(AL$1,2)&lt;6),1,0),IF(AND(AO190&lt;&gt;"",WEEKDAY(AN$1,2)&lt;6),1,0),IF(AND(AQ190&lt;&gt;"",WEEKDAY(AP$1,2)&lt;6),1,0),IF(AND(AS190&lt;&gt;"",WEEKDAY(AR$1,2)&lt;6),1,0),IF(AND(AU190&lt;&gt;"",WEEKDAY(AT$1,2)&lt;6),1,0),IF(AND(AW190&lt;&gt;"",WEEKDAY(AV$1,2)&lt;6),1,0),IF(AND(AY190&lt;&gt;"",WEEKDAY(AX$1,2)&lt;6),1,0),IF(AND(BA190&lt;&gt;"",WEEKDAY(AZ$1,2)&lt;6),1,0),IF(AND(BC190&lt;&gt;"",WEEKDAY(BB$1,2)&lt;6),1,0),IF(AND(BE190&lt;&gt;"",WEEKDAY(BD$1,2)&lt;6),1,0),IF(AND(BG190&lt;&gt;"",WEEKDAY(BF$1,2)&lt;6),1,0),IF(AND(BI190&lt;&gt;"",WEEKDAY(BH$1,2)&lt;6),1,0),IF(AND(BK190&lt;&gt;"",WEEKDAY(BJ$1,2)&lt;6),1,0),IF(AND(BM190&lt;&gt;"",WEEKDAY(BL$1,2)&lt;6),1,0))</f>
        <v>0</v>
      </c>
      <c r="BP190" s="85">
        <f>SUM(IF(AND((D190&lt;&gt;"")+(E190&lt;&gt;""),WEEKDAY(D$1,2)=6),1,0),IF(AND((F190&lt;&gt;"")+(G190&lt;&gt;""),WEEKDAY(F$1,2)=6),1,0),IF(AND((H190&lt;&gt;"")+(I190&lt;&gt;""),WEEKDAY(H$1,2)=6),1,0),IF(AND((J190&lt;&gt;"")+(K190&lt;&gt;""),WEEKDAY(J$1,2)=6),1,0),IF(AND((L190&lt;&gt;"")+(M190&lt;&gt;""),WEEKDAY(L$1,2)=6),1,0),IF(AND((N190&lt;&gt;"")+(O190&lt;&gt;""),WEEKDAY(N$1,2)=6),1,0),IF(AND((P190&lt;&gt;"")+(Q190&lt;&gt;""),WEEKDAY(P$1,2)=6),1,0),IF(AND((R190&lt;&gt;"")+(S190&lt;&gt;""),WEEKDAY(R$1,2)=6),1,0),IF(AND((T190&lt;&gt;"")+(U190&lt;&gt;""),WEEKDAY(T$1,2)=6),1,0),IF(AND((V190&lt;&gt;"")+(W190&lt;&gt;""),WEEKDAY(V$1,2)=6),1,0),IF(AND((X190&lt;&gt;"")+(Y190&lt;&gt;""),WEEKDAY(X$1,2)=6),1,0),IF(AND((Z190&lt;&gt;"")+(AA190&lt;&gt;""),WEEKDAY(Z$1,2)=6),1,0),IF(AND((AB190&lt;&gt;"")+(AC190&lt;&gt;""),WEEKDAY(AB$1,2)=6),1,0),IF(AND((AD190&lt;&gt;"")+(AE190&lt;&gt;""),WEEKDAY(AD$1,2)=6),1,0),IF(AND((AF190&lt;&gt;"")+(AG190&lt;&gt;""),WEEKDAY(AF$1,2)=6),1,0),IF(AND((AH190&lt;&gt;"")+(AI190&lt;&gt;""),WEEKDAY(AH$1,2)=6),1,0),IF(AND((AJ190&lt;&gt;"")+(AK190&lt;&gt;""),WEEKDAY(AJ$1,2)=6),1,0),IF(AND((AL190&lt;&gt;"")+(AM190&lt;&gt;""),WEEKDAY(AL$1,2)=6),1,0),IF(AND((AN190&lt;&gt;"")+(AO190&lt;&gt;""),WEEKDAY(AN$1,2)=6),1,0),IF(AND((AP190&lt;&gt;"")+(AQ190&lt;&gt;""),WEEKDAY(AP$1,2)=6),1,0),IF(AND((AR190&lt;&gt;"")+(AS190&lt;&gt;""),WEEKDAY(AR$1,2)=6),1,0),IF(AND((AT190&lt;&gt;"")+(AU190&lt;&gt;""),WEEKDAY(AT$1,2)=6),1,0),IF(AND((AV190&lt;&gt;"")+(AW190&lt;&gt;""),WEEKDAY(AV$1,2)=6),1,0),IF(AND((AX190&lt;&gt;"")+(AY190&lt;&gt;""),WEEKDAY(AX$1,2)=6),1,0),IF(AND((AZ190&lt;&gt;"")+(BA190&lt;&gt;""),WEEKDAY(AZ$1,2)=6),1,0),IF(AND((BB190&lt;&gt;"")+(BC190&lt;&gt;""),WEEKDAY(BB$1,2)=6),1,0),IF(AND((BD190&lt;&gt;"")+(BE190&lt;&gt;""),WEEKDAY(BD$1,2)=6),1,0),IF(AND((BF190&lt;&gt;"")+(BG190&lt;&gt;""),WEEKDAY(BF$1,2)=6),1,0),IF(AND((BH190&lt;&gt;"")+(BI190&lt;&gt;""),WEEKDAY(BH$1,2)=6),1,0),IF(AND((BJ190&lt;&gt;"")+(BK190&lt;&gt;""),WEEKDAY(BJ$1,2)=6),1,0),IF(AND((BL190&lt;&gt;"")+(BM190&lt;&gt;""),WEEKDAY(BL$1,2)=6),1,0))</f>
        <v>0</v>
      </c>
    </row>
    <row r="191" spans="1:68" ht="16.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>
        <f>SUM(IF(AND(D191&lt;&gt;"",WEEKDAY(D$1,2)&lt;6),1,0),IF(AND(F191&lt;&gt;"",WEEKDAY(F$1,2)&lt;6),1,0),IF(AND(H191&lt;&gt;"",WEEKDAY(H$1,2)&lt;6),1,0),IF(AND(J191&lt;&gt;"",WEEKDAY(J$1,2)&lt;6),1,0),IF(AND(L191&lt;&gt;"",WEEKDAY(L$1,2)&lt;6),1,0),IF(AND(N191&lt;&gt;"",WEEKDAY(N$1,2)&lt;6),1,0),IF(AND(P191&lt;&gt;"",WEEKDAY(P$1,2)&lt;6),1,0),IF(AND(R191&lt;&gt;"",WEEKDAY(R$1,2)&lt;6),1,0),IF(AND(T191&lt;&gt;"",WEEKDAY(T$1,2)&lt;6),1,0),IF(AND(V191&lt;&gt;"",WEEKDAY(V$1,2)&lt;6),1,0),IF(AND(X191&lt;&gt;"",WEEKDAY(X$1,2)&lt;6),1,0),IF(AND(Z191&lt;&gt;"",WEEKDAY(Z$1,2)&lt;6),1,0),IF(AND(AB191&lt;&gt;"",WEEKDAY(AB$1,2)&lt;6),1,0),IF(AND(AD191&lt;&gt;"",WEEKDAY(AD$1,2)&lt;6),1,0),IF(AND(AF191&lt;&gt;"",WEEKDAY(AF$1,2)&lt;6),1,0),IF(AND(AH191&lt;&gt;"",WEEKDAY(AH$1,2)&lt;6),1,0),IF(AND(AJ191&lt;&gt;"",WEEKDAY(AJ$1,2)&lt;6),1,0),IF(AND(AL191&lt;&gt;"",WEEKDAY(AL$1,2)&lt;6),1,0),IF(AND(AN191&lt;&gt;"",WEEKDAY(AN$1,2)&lt;6),1,0),IF(AND(AP191&lt;&gt;"",WEEKDAY(AP$1,2)&lt;6),1,0),IF(AND(AR191&lt;&gt;"",WEEKDAY(AR$1,2)&lt;6),1,0),IF(AND(AT191&lt;&gt;"",WEEKDAY(AT$1,2)&lt;6),1,0),IF(AND(AV191&lt;&gt;"",WEEKDAY(AV$1,2)&lt;6),1,0),IF(AND(AX191&lt;&gt;"",WEEKDAY(AX$1,2)&lt;6),1,0),IF(AND(AZ191&lt;&gt;"",WEEKDAY(AZ$1,2)&lt;6),1,0),IF(AND(BB191&lt;&gt;"",WEEKDAY(BB$1,2)&lt;6),1,0),IF(AND(BD191&lt;&gt;"",WEEKDAY(BD$1,2)&lt;6),1,0),IF(AND(BF191&lt;&gt;"",WEEKDAY(BF$1,2)&lt;6),1,0),IF(AND(BH191&lt;&gt;"",WEEKDAY(BH$1,2)&lt;6),1,0),IF(AND(BJ191&lt;&gt;"",WEEKDAY(BJ$1,2)&lt;6),1,0),IF(AND(BL191&lt;&gt;"",WEEKDAY(BL$1,2)&lt;6),1,0))</f>
        <v>0</v>
      </c>
      <c r="BO191" s="85">
        <f>SUM(IF(AND(E191&lt;&gt;"",WEEKDAY(D$1,2)&lt;6),1,0),IF(AND(G191&lt;&gt;"",WEEKDAY(F$1,2)&lt;6),1,0),IF(AND(I191&lt;&gt;"",WEEKDAY(H$1,2)&lt;6),1,0),IF(AND(K191&lt;&gt;"",WEEKDAY(J$1,2)&lt;6),1,0),IF(AND(M191&lt;&gt;"",WEEKDAY(L$1,2)&lt;6),1,0),IF(AND(O191&lt;&gt;"",WEEKDAY(N$1,2)&lt;6),1,0),IF(AND(Q191&lt;&gt;"",WEEKDAY(P$1,2)&lt;6),1,0),IF(AND(S191&lt;&gt;"",WEEKDAY(R$1,2)&lt;6),1,0),IF(AND(U191&lt;&gt;"",WEEKDAY(T$1,2)&lt;6),1,0),IF(AND(W191&lt;&gt;"",WEEKDAY(V$1,2)&lt;6),1,0),IF(AND(Y191&lt;&gt;"",WEEKDAY(X$1,2)&lt;6),1,0),IF(AND(AA191&lt;&gt;"",WEEKDAY(Z$1,2)&lt;6),1,0),IF(AND(AC191&lt;&gt;"",WEEKDAY(AB$1,2)&lt;6),1,0),IF(AND(AE191&lt;&gt;"",WEEKDAY(AD$1,2)&lt;6),1,0),IF(AND(AG191&lt;&gt;"",WEEKDAY(AF$1,2)&lt;6),1,0),IF(AND(AI191&lt;&gt;"",WEEKDAY(AH$1,2)&lt;6),1,0),IF(AND(AK191&lt;&gt;"",WEEKDAY(AJ$1,2)&lt;6),1,0),IF(AND(AM191&lt;&gt;"",WEEKDAY(AL$1,2)&lt;6),1,0),IF(AND(AO191&lt;&gt;"",WEEKDAY(AN$1,2)&lt;6),1,0),IF(AND(AQ191&lt;&gt;"",WEEKDAY(AP$1,2)&lt;6),1,0),IF(AND(AS191&lt;&gt;"",WEEKDAY(AR$1,2)&lt;6),1,0),IF(AND(AU191&lt;&gt;"",WEEKDAY(AT$1,2)&lt;6),1,0),IF(AND(AW191&lt;&gt;"",WEEKDAY(AV$1,2)&lt;6),1,0),IF(AND(AY191&lt;&gt;"",WEEKDAY(AX$1,2)&lt;6),1,0),IF(AND(BA191&lt;&gt;"",WEEKDAY(AZ$1,2)&lt;6),1,0),IF(AND(BC191&lt;&gt;"",WEEKDAY(BB$1,2)&lt;6),1,0),IF(AND(BE191&lt;&gt;"",WEEKDAY(BD$1,2)&lt;6),1,0),IF(AND(BG191&lt;&gt;"",WEEKDAY(BF$1,2)&lt;6),1,0),IF(AND(BI191&lt;&gt;"",WEEKDAY(BH$1,2)&lt;6),1,0),IF(AND(BK191&lt;&gt;"",WEEKDAY(BJ$1,2)&lt;6),1,0),IF(AND(BM191&lt;&gt;"",WEEKDAY(BL$1,2)&lt;6),1,0))</f>
        <v>0</v>
      </c>
      <c r="BP191" s="85">
        <f>SUM(IF(AND((D191&lt;&gt;"")+(E191&lt;&gt;""),WEEKDAY(D$1,2)=6),1,0),IF(AND((F191&lt;&gt;"")+(G191&lt;&gt;""),WEEKDAY(F$1,2)=6),1,0),IF(AND((H191&lt;&gt;"")+(I191&lt;&gt;""),WEEKDAY(H$1,2)=6),1,0),IF(AND((J191&lt;&gt;"")+(K191&lt;&gt;""),WEEKDAY(J$1,2)=6),1,0),IF(AND((L191&lt;&gt;"")+(M191&lt;&gt;""),WEEKDAY(L$1,2)=6),1,0),IF(AND((N191&lt;&gt;"")+(O191&lt;&gt;""),WEEKDAY(N$1,2)=6),1,0),IF(AND((P191&lt;&gt;"")+(Q191&lt;&gt;""),WEEKDAY(P$1,2)=6),1,0),IF(AND((R191&lt;&gt;"")+(S191&lt;&gt;""),WEEKDAY(R$1,2)=6),1,0),IF(AND((T191&lt;&gt;"")+(U191&lt;&gt;""),WEEKDAY(T$1,2)=6),1,0),IF(AND((V191&lt;&gt;"")+(W191&lt;&gt;""),WEEKDAY(V$1,2)=6),1,0),IF(AND((X191&lt;&gt;"")+(Y191&lt;&gt;""),WEEKDAY(X$1,2)=6),1,0),IF(AND((Z191&lt;&gt;"")+(AA191&lt;&gt;""),WEEKDAY(Z$1,2)=6),1,0),IF(AND((AB191&lt;&gt;"")+(AC191&lt;&gt;""),WEEKDAY(AB$1,2)=6),1,0),IF(AND((AD191&lt;&gt;"")+(AE191&lt;&gt;""),WEEKDAY(AD$1,2)=6),1,0),IF(AND((AF191&lt;&gt;"")+(AG191&lt;&gt;""),WEEKDAY(AF$1,2)=6),1,0),IF(AND((AH191&lt;&gt;"")+(AI191&lt;&gt;""),WEEKDAY(AH$1,2)=6),1,0),IF(AND((AJ191&lt;&gt;"")+(AK191&lt;&gt;""),WEEKDAY(AJ$1,2)=6),1,0),IF(AND((AL191&lt;&gt;"")+(AM191&lt;&gt;""),WEEKDAY(AL$1,2)=6),1,0),IF(AND((AN191&lt;&gt;"")+(AO191&lt;&gt;""),WEEKDAY(AN$1,2)=6),1,0),IF(AND((AP191&lt;&gt;"")+(AQ191&lt;&gt;""),WEEKDAY(AP$1,2)=6),1,0),IF(AND((AR191&lt;&gt;"")+(AS191&lt;&gt;""),WEEKDAY(AR$1,2)=6),1,0),IF(AND((AT191&lt;&gt;"")+(AU191&lt;&gt;""),WEEKDAY(AT$1,2)=6),1,0),IF(AND((AV191&lt;&gt;"")+(AW191&lt;&gt;""),WEEKDAY(AV$1,2)=6),1,0),IF(AND((AX191&lt;&gt;"")+(AY191&lt;&gt;""),WEEKDAY(AX$1,2)=6),1,0),IF(AND((AZ191&lt;&gt;"")+(BA191&lt;&gt;""),WEEKDAY(AZ$1,2)=6),1,0),IF(AND((BB191&lt;&gt;"")+(BC191&lt;&gt;""),WEEKDAY(BB$1,2)=6),1,0),IF(AND((BD191&lt;&gt;"")+(BE191&lt;&gt;""),WEEKDAY(BD$1,2)=6),1,0),IF(AND((BF191&lt;&gt;"")+(BG191&lt;&gt;""),WEEKDAY(BF$1,2)=6),1,0),IF(AND((BH191&lt;&gt;"")+(BI191&lt;&gt;""),WEEKDAY(BH$1,2)=6),1,0),IF(AND((BJ191&lt;&gt;"")+(BK191&lt;&gt;""),WEEKDAY(BJ$1,2)=6),1,0),IF(AND((BL191&lt;&gt;"")+(BM191&lt;&gt;""),WEEKDAY(BL$1,2)=6),1,0))</f>
        <v>0</v>
      </c>
    </row>
    <row r="192" spans="1:68" ht="16.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>
        <f>SUM(IF(AND(D192&lt;&gt;"",WEEKDAY(D$1,2)&lt;6),1,0),IF(AND(F192&lt;&gt;"",WEEKDAY(F$1,2)&lt;6),1,0),IF(AND(H192&lt;&gt;"",WEEKDAY(H$1,2)&lt;6),1,0),IF(AND(J192&lt;&gt;"",WEEKDAY(J$1,2)&lt;6),1,0),IF(AND(L192&lt;&gt;"",WEEKDAY(L$1,2)&lt;6),1,0),IF(AND(N192&lt;&gt;"",WEEKDAY(N$1,2)&lt;6),1,0),IF(AND(P192&lt;&gt;"",WEEKDAY(P$1,2)&lt;6),1,0),IF(AND(R192&lt;&gt;"",WEEKDAY(R$1,2)&lt;6),1,0),IF(AND(T192&lt;&gt;"",WEEKDAY(T$1,2)&lt;6),1,0),IF(AND(V192&lt;&gt;"",WEEKDAY(V$1,2)&lt;6),1,0),IF(AND(X192&lt;&gt;"",WEEKDAY(X$1,2)&lt;6),1,0),IF(AND(Z192&lt;&gt;"",WEEKDAY(Z$1,2)&lt;6),1,0),IF(AND(AB192&lt;&gt;"",WEEKDAY(AB$1,2)&lt;6),1,0),IF(AND(AD192&lt;&gt;"",WEEKDAY(AD$1,2)&lt;6),1,0),IF(AND(AF192&lt;&gt;"",WEEKDAY(AF$1,2)&lt;6),1,0),IF(AND(AH192&lt;&gt;"",WEEKDAY(AH$1,2)&lt;6),1,0),IF(AND(AJ192&lt;&gt;"",WEEKDAY(AJ$1,2)&lt;6),1,0),IF(AND(AL192&lt;&gt;"",WEEKDAY(AL$1,2)&lt;6),1,0),IF(AND(AN192&lt;&gt;"",WEEKDAY(AN$1,2)&lt;6),1,0),IF(AND(AP192&lt;&gt;"",WEEKDAY(AP$1,2)&lt;6),1,0),IF(AND(AR192&lt;&gt;"",WEEKDAY(AR$1,2)&lt;6),1,0),IF(AND(AT192&lt;&gt;"",WEEKDAY(AT$1,2)&lt;6),1,0),IF(AND(AV192&lt;&gt;"",WEEKDAY(AV$1,2)&lt;6),1,0),IF(AND(AX192&lt;&gt;"",WEEKDAY(AX$1,2)&lt;6),1,0),IF(AND(AZ192&lt;&gt;"",WEEKDAY(AZ$1,2)&lt;6),1,0),IF(AND(BB192&lt;&gt;"",WEEKDAY(BB$1,2)&lt;6),1,0),IF(AND(BD192&lt;&gt;"",WEEKDAY(BD$1,2)&lt;6),1,0),IF(AND(BF192&lt;&gt;"",WEEKDAY(BF$1,2)&lt;6),1,0),IF(AND(BH192&lt;&gt;"",WEEKDAY(BH$1,2)&lt;6),1,0),IF(AND(BJ192&lt;&gt;"",WEEKDAY(BJ$1,2)&lt;6),1,0),IF(AND(BL192&lt;&gt;"",WEEKDAY(BL$1,2)&lt;6),1,0))</f>
        <v>0</v>
      </c>
      <c r="BO192" s="85">
        <f>SUM(IF(AND(E192&lt;&gt;"",WEEKDAY(D$1,2)&lt;6),1,0),IF(AND(G192&lt;&gt;"",WEEKDAY(F$1,2)&lt;6),1,0),IF(AND(I192&lt;&gt;"",WEEKDAY(H$1,2)&lt;6),1,0),IF(AND(K192&lt;&gt;"",WEEKDAY(J$1,2)&lt;6),1,0),IF(AND(M192&lt;&gt;"",WEEKDAY(L$1,2)&lt;6),1,0),IF(AND(O192&lt;&gt;"",WEEKDAY(N$1,2)&lt;6),1,0),IF(AND(Q192&lt;&gt;"",WEEKDAY(P$1,2)&lt;6),1,0),IF(AND(S192&lt;&gt;"",WEEKDAY(R$1,2)&lt;6),1,0),IF(AND(U192&lt;&gt;"",WEEKDAY(T$1,2)&lt;6),1,0),IF(AND(W192&lt;&gt;"",WEEKDAY(V$1,2)&lt;6),1,0),IF(AND(Y192&lt;&gt;"",WEEKDAY(X$1,2)&lt;6),1,0),IF(AND(AA192&lt;&gt;"",WEEKDAY(Z$1,2)&lt;6),1,0),IF(AND(AC192&lt;&gt;"",WEEKDAY(AB$1,2)&lt;6),1,0),IF(AND(AE192&lt;&gt;"",WEEKDAY(AD$1,2)&lt;6),1,0),IF(AND(AG192&lt;&gt;"",WEEKDAY(AF$1,2)&lt;6),1,0),IF(AND(AI192&lt;&gt;"",WEEKDAY(AH$1,2)&lt;6),1,0),IF(AND(AK192&lt;&gt;"",WEEKDAY(AJ$1,2)&lt;6),1,0),IF(AND(AM192&lt;&gt;"",WEEKDAY(AL$1,2)&lt;6),1,0),IF(AND(AO192&lt;&gt;"",WEEKDAY(AN$1,2)&lt;6),1,0),IF(AND(AQ192&lt;&gt;"",WEEKDAY(AP$1,2)&lt;6),1,0),IF(AND(AS192&lt;&gt;"",WEEKDAY(AR$1,2)&lt;6),1,0),IF(AND(AU192&lt;&gt;"",WEEKDAY(AT$1,2)&lt;6),1,0),IF(AND(AW192&lt;&gt;"",WEEKDAY(AV$1,2)&lt;6),1,0),IF(AND(AY192&lt;&gt;"",WEEKDAY(AX$1,2)&lt;6),1,0),IF(AND(BA192&lt;&gt;"",WEEKDAY(AZ$1,2)&lt;6),1,0),IF(AND(BC192&lt;&gt;"",WEEKDAY(BB$1,2)&lt;6),1,0),IF(AND(BE192&lt;&gt;"",WEEKDAY(BD$1,2)&lt;6),1,0),IF(AND(BG192&lt;&gt;"",WEEKDAY(BF$1,2)&lt;6),1,0),IF(AND(BI192&lt;&gt;"",WEEKDAY(BH$1,2)&lt;6),1,0),IF(AND(BK192&lt;&gt;"",WEEKDAY(BJ$1,2)&lt;6),1,0),IF(AND(BM192&lt;&gt;"",WEEKDAY(BL$1,2)&lt;6),1,0))</f>
        <v>0</v>
      </c>
      <c r="BP192" s="85">
        <f>SUM(IF(AND((D192&lt;&gt;"")+(E192&lt;&gt;""),WEEKDAY(D$1,2)=6),1,0),IF(AND((F192&lt;&gt;"")+(G192&lt;&gt;""),WEEKDAY(F$1,2)=6),1,0),IF(AND((H192&lt;&gt;"")+(I192&lt;&gt;""),WEEKDAY(H$1,2)=6),1,0),IF(AND((J192&lt;&gt;"")+(K192&lt;&gt;""),WEEKDAY(J$1,2)=6),1,0),IF(AND((L192&lt;&gt;"")+(M192&lt;&gt;""),WEEKDAY(L$1,2)=6),1,0),IF(AND((N192&lt;&gt;"")+(O192&lt;&gt;""),WEEKDAY(N$1,2)=6),1,0),IF(AND((P192&lt;&gt;"")+(Q192&lt;&gt;""),WEEKDAY(P$1,2)=6),1,0),IF(AND((R192&lt;&gt;"")+(S192&lt;&gt;""),WEEKDAY(R$1,2)=6),1,0),IF(AND((T192&lt;&gt;"")+(U192&lt;&gt;""),WEEKDAY(T$1,2)=6),1,0),IF(AND((V192&lt;&gt;"")+(W192&lt;&gt;""),WEEKDAY(V$1,2)=6),1,0),IF(AND((X192&lt;&gt;"")+(Y192&lt;&gt;""),WEEKDAY(X$1,2)=6),1,0),IF(AND((Z192&lt;&gt;"")+(AA192&lt;&gt;""),WEEKDAY(Z$1,2)=6),1,0),IF(AND((AB192&lt;&gt;"")+(AC192&lt;&gt;""),WEEKDAY(AB$1,2)=6),1,0),IF(AND((AD192&lt;&gt;"")+(AE192&lt;&gt;""),WEEKDAY(AD$1,2)=6),1,0),IF(AND((AF192&lt;&gt;"")+(AG192&lt;&gt;""),WEEKDAY(AF$1,2)=6),1,0),IF(AND((AH192&lt;&gt;"")+(AI192&lt;&gt;""),WEEKDAY(AH$1,2)=6),1,0),IF(AND((AJ192&lt;&gt;"")+(AK192&lt;&gt;""),WEEKDAY(AJ$1,2)=6),1,0),IF(AND((AL192&lt;&gt;"")+(AM192&lt;&gt;""),WEEKDAY(AL$1,2)=6),1,0),IF(AND((AN192&lt;&gt;"")+(AO192&lt;&gt;""),WEEKDAY(AN$1,2)=6),1,0),IF(AND((AP192&lt;&gt;"")+(AQ192&lt;&gt;""),WEEKDAY(AP$1,2)=6),1,0),IF(AND((AR192&lt;&gt;"")+(AS192&lt;&gt;""),WEEKDAY(AR$1,2)=6),1,0),IF(AND((AT192&lt;&gt;"")+(AU192&lt;&gt;""),WEEKDAY(AT$1,2)=6),1,0),IF(AND((AV192&lt;&gt;"")+(AW192&lt;&gt;""),WEEKDAY(AV$1,2)=6),1,0),IF(AND((AX192&lt;&gt;"")+(AY192&lt;&gt;""),WEEKDAY(AX$1,2)=6),1,0),IF(AND((AZ192&lt;&gt;"")+(BA192&lt;&gt;""),WEEKDAY(AZ$1,2)=6),1,0),IF(AND((BB192&lt;&gt;"")+(BC192&lt;&gt;""),WEEKDAY(BB$1,2)=6),1,0),IF(AND((BD192&lt;&gt;"")+(BE192&lt;&gt;""),WEEKDAY(BD$1,2)=6),1,0),IF(AND((BF192&lt;&gt;"")+(BG192&lt;&gt;""),WEEKDAY(BF$1,2)=6),1,0),IF(AND((BH192&lt;&gt;"")+(BI192&lt;&gt;""),WEEKDAY(BH$1,2)=6),1,0),IF(AND((BJ192&lt;&gt;"")+(BK192&lt;&gt;""),WEEKDAY(BJ$1,2)=6),1,0),IF(AND((BL192&lt;&gt;"")+(BM192&lt;&gt;""),WEEKDAY(BL$1,2)=6),1,0))</f>
        <v>0</v>
      </c>
    </row>
    <row r="193" spans="1:68" ht="16.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>
        <f>SUM(IF(AND(D193&lt;&gt;"",WEEKDAY(D$1,2)&lt;6),1,0),IF(AND(F193&lt;&gt;"",WEEKDAY(F$1,2)&lt;6),1,0),IF(AND(H193&lt;&gt;"",WEEKDAY(H$1,2)&lt;6),1,0),IF(AND(J193&lt;&gt;"",WEEKDAY(J$1,2)&lt;6),1,0),IF(AND(L193&lt;&gt;"",WEEKDAY(L$1,2)&lt;6),1,0),IF(AND(N193&lt;&gt;"",WEEKDAY(N$1,2)&lt;6),1,0),IF(AND(P193&lt;&gt;"",WEEKDAY(P$1,2)&lt;6),1,0),IF(AND(R193&lt;&gt;"",WEEKDAY(R$1,2)&lt;6),1,0),IF(AND(T193&lt;&gt;"",WEEKDAY(T$1,2)&lt;6),1,0),IF(AND(V193&lt;&gt;"",WEEKDAY(V$1,2)&lt;6),1,0),IF(AND(X193&lt;&gt;"",WEEKDAY(X$1,2)&lt;6),1,0),IF(AND(Z193&lt;&gt;"",WEEKDAY(Z$1,2)&lt;6),1,0),IF(AND(AB193&lt;&gt;"",WEEKDAY(AB$1,2)&lt;6),1,0),IF(AND(AD193&lt;&gt;"",WEEKDAY(AD$1,2)&lt;6),1,0),IF(AND(AF193&lt;&gt;"",WEEKDAY(AF$1,2)&lt;6),1,0),IF(AND(AH193&lt;&gt;"",WEEKDAY(AH$1,2)&lt;6),1,0),IF(AND(AJ193&lt;&gt;"",WEEKDAY(AJ$1,2)&lt;6),1,0),IF(AND(AL193&lt;&gt;"",WEEKDAY(AL$1,2)&lt;6),1,0),IF(AND(AN193&lt;&gt;"",WEEKDAY(AN$1,2)&lt;6),1,0),IF(AND(AP193&lt;&gt;"",WEEKDAY(AP$1,2)&lt;6),1,0),IF(AND(AR193&lt;&gt;"",WEEKDAY(AR$1,2)&lt;6),1,0),IF(AND(AT193&lt;&gt;"",WEEKDAY(AT$1,2)&lt;6),1,0),IF(AND(AV193&lt;&gt;"",WEEKDAY(AV$1,2)&lt;6),1,0),IF(AND(AX193&lt;&gt;"",WEEKDAY(AX$1,2)&lt;6),1,0),IF(AND(AZ193&lt;&gt;"",WEEKDAY(AZ$1,2)&lt;6),1,0),IF(AND(BB193&lt;&gt;"",WEEKDAY(BB$1,2)&lt;6),1,0),IF(AND(BD193&lt;&gt;"",WEEKDAY(BD$1,2)&lt;6),1,0),IF(AND(BF193&lt;&gt;"",WEEKDAY(BF$1,2)&lt;6),1,0),IF(AND(BH193&lt;&gt;"",WEEKDAY(BH$1,2)&lt;6),1,0),IF(AND(BJ193&lt;&gt;"",WEEKDAY(BJ$1,2)&lt;6),1,0),IF(AND(BL193&lt;&gt;"",WEEKDAY(BL$1,2)&lt;6),1,0))</f>
        <v>0</v>
      </c>
      <c r="BO193" s="85">
        <f>SUM(IF(AND(E193&lt;&gt;"",WEEKDAY(D$1,2)&lt;6),1,0),IF(AND(G193&lt;&gt;"",WEEKDAY(F$1,2)&lt;6),1,0),IF(AND(I193&lt;&gt;"",WEEKDAY(H$1,2)&lt;6),1,0),IF(AND(K193&lt;&gt;"",WEEKDAY(J$1,2)&lt;6),1,0),IF(AND(M193&lt;&gt;"",WEEKDAY(L$1,2)&lt;6),1,0),IF(AND(O193&lt;&gt;"",WEEKDAY(N$1,2)&lt;6),1,0),IF(AND(Q193&lt;&gt;"",WEEKDAY(P$1,2)&lt;6),1,0),IF(AND(S193&lt;&gt;"",WEEKDAY(R$1,2)&lt;6),1,0),IF(AND(U193&lt;&gt;"",WEEKDAY(T$1,2)&lt;6),1,0),IF(AND(W193&lt;&gt;"",WEEKDAY(V$1,2)&lt;6),1,0),IF(AND(Y193&lt;&gt;"",WEEKDAY(X$1,2)&lt;6),1,0),IF(AND(AA193&lt;&gt;"",WEEKDAY(Z$1,2)&lt;6),1,0),IF(AND(AC193&lt;&gt;"",WEEKDAY(AB$1,2)&lt;6),1,0),IF(AND(AE193&lt;&gt;"",WEEKDAY(AD$1,2)&lt;6),1,0),IF(AND(AG193&lt;&gt;"",WEEKDAY(AF$1,2)&lt;6),1,0),IF(AND(AI193&lt;&gt;"",WEEKDAY(AH$1,2)&lt;6),1,0),IF(AND(AK193&lt;&gt;"",WEEKDAY(AJ$1,2)&lt;6),1,0),IF(AND(AM193&lt;&gt;"",WEEKDAY(AL$1,2)&lt;6),1,0),IF(AND(AO193&lt;&gt;"",WEEKDAY(AN$1,2)&lt;6),1,0),IF(AND(AQ193&lt;&gt;"",WEEKDAY(AP$1,2)&lt;6),1,0),IF(AND(AS193&lt;&gt;"",WEEKDAY(AR$1,2)&lt;6),1,0),IF(AND(AU193&lt;&gt;"",WEEKDAY(AT$1,2)&lt;6),1,0),IF(AND(AW193&lt;&gt;"",WEEKDAY(AV$1,2)&lt;6),1,0),IF(AND(AY193&lt;&gt;"",WEEKDAY(AX$1,2)&lt;6),1,0),IF(AND(BA193&lt;&gt;"",WEEKDAY(AZ$1,2)&lt;6),1,0),IF(AND(BC193&lt;&gt;"",WEEKDAY(BB$1,2)&lt;6),1,0),IF(AND(BE193&lt;&gt;"",WEEKDAY(BD$1,2)&lt;6),1,0),IF(AND(BG193&lt;&gt;"",WEEKDAY(BF$1,2)&lt;6),1,0),IF(AND(BI193&lt;&gt;"",WEEKDAY(BH$1,2)&lt;6),1,0),IF(AND(BK193&lt;&gt;"",WEEKDAY(BJ$1,2)&lt;6),1,0),IF(AND(BM193&lt;&gt;"",WEEKDAY(BL$1,2)&lt;6),1,0))</f>
        <v>0</v>
      </c>
      <c r="BP193" s="85">
        <f>SUM(IF(AND((D193&lt;&gt;"")+(E193&lt;&gt;""),WEEKDAY(D$1,2)=6),1,0),IF(AND((F193&lt;&gt;"")+(G193&lt;&gt;""),WEEKDAY(F$1,2)=6),1,0),IF(AND((H193&lt;&gt;"")+(I193&lt;&gt;""),WEEKDAY(H$1,2)=6),1,0),IF(AND((J193&lt;&gt;"")+(K193&lt;&gt;""),WEEKDAY(J$1,2)=6),1,0),IF(AND((L193&lt;&gt;"")+(M193&lt;&gt;""),WEEKDAY(L$1,2)=6),1,0),IF(AND((N193&lt;&gt;"")+(O193&lt;&gt;""),WEEKDAY(N$1,2)=6),1,0),IF(AND((P193&lt;&gt;"")+(Q193&lt;&gt;""),WEEKDAY(P$1,2)=6),1,0),IF(AND((R193&lt;&gt;"")+(S193&lt;&gt;""),WEEKDAY(R$1,2)=6),1,0),IF(AND((T193&lt;&gt;"")+(U193&lt;&gt;""),WEEKDAY(T$1,2)=6),1,0),IF(AND((V193&lt;&gt;"")+(W193&lt;&gt;""),WEEKDAY(V$1,2)=6),1,0),IF(AND((X193&lt;&gt;"")+(Y193&lt;&gt;""),WEEKDAY(X$1,2)=6),1,0),IF(AND((Z193&lt;&gt;"")+(AA193&lt;&gt;""),WEEKDAY(Z$1,2)=6),1,0),IF(AND((AB193&lt;&gt;"")+(AC193&lt;&gt;""),WEEKDAY(AB$1,2)=6),1,0),IF(AND((AD193&lt;&gt;"")+(AE193&lt;&gt;""),WEEKDAY(AD$1,2)=6),1,0),IF(AND((AF193&lt;&gt;"")+(AG193&lt;&gt;""),WEEKDAY(AF$1,2)=6),1,0),IF(AND((AH193&lt;&gt;"")+(AI193&lt;&gt;""),WEEKDAY(AH$1,2)=6),1,0),IF(AND((AJ193&lt;&gt;"")+(AK193&lt;&gt;""),WEEKDAY(AJ$1,2)=6),1,0),IF(AND((AL193&lt;&gt;"")+(AM193&lt;&gt;""),WEEKDAY(AL$1,2)=6),1,0),IF(AND((AN193&lt;&gt;"")+(AO193&lt;&gt;""),WEEKDAY(AN$1,2)=6),1,0),IF(AND((AP193&lt;&gt;"")+(AQ193&lt;&gt;""),WEEKDAY(AP$1,2)=6),1,0),IF(AND((AR193&lt;&gt;"")+(AS193&lt;&gt;""),WEEKDAY(AR$1,2)=6),1,0),IF(AND((AT193&lt;&gt;"")+(AU193&lt;&gt;""),WEEKDAY(AT$1,2)=6),1,0),IF(AND((AV193&lt;&gt;"")+(AW193&lt;&gt;""),WEEKDAY(AV$1,2)=6),1,0),IF(AND((AX193&lt;&gt;"")+(AY193&lt;&gt;""),WEEKDAY(AX$1,2)=6),1,0),IF(AND((AZ193&lt;&gt;"")+(BA193&lt;&gt;""),WEEKDAY(AZ$1,2)=6),1,0),IF(AND((BB193&lt;&gt;"")+(BC193&lt;&gt;""),WEEKDAY(BB$1,2)=6),1,0),IF(AND((BD193&lt;&gt;"")+(BE193&lt;&gt;""),WEEKDAY(BD$1,2)=6),1,0),IF(AND((BF193&lt;&gt;"")+(BG193&lt;&gt;""),WEEKDAY(BF$1,2)=6),1,0),IF(AND((BH193&lt;&gt;"")+(BI193&lt;&gt;""),WEEKDAY(BH$1,2)=6),1,0),IF(AND((BJ193&lt;&gt;"")+(BK193&lt;&gt;""),WEEKDAY(BJ$1,2)=6),1,0),IF(AND((BL193&lt;&gt;"")+(BM193&lt;&gt;""),WEEKDAY(BL$1,2)=6),1,0))</f>
        <v>0</v>
      </c>
    </row>
    <row r="194" spans="1:68" ht="16.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>
        <f>SUM(IF(AND(D194&lt;&gt;"",WEEKDAY(D$1,2)&lt;6),1,0),IF(AND(F194&lt;&gt;"",WEEKDAY(F$1,2)&lt;6),1,0),IF(AND(H194&lt;&gt;"",WEEKDAY(H$1,2)&lt;6),1,0),IF(AND(J194&lt;&gt;"",WEEKDAY(J$1,2)&lt;6),1,0),IF(AND(L194&lt;&gt;"",WEEKDAY(L$1,2)&lt;6),1,0),IF(AND(N194&lt;&gt;"",WEEKDAY(N$1,2)&lt;6),1,0),IF(AND(P194&lt;&gt;"",WEEKDAY(P$1,2)&lt;6),1,0),IF(AND(R194&lt;&gt;"",WEEKDAY(R$1,2)&lt;6),1,0),IF(AND(T194&lt;&gt;"",WEEKDAY(T$1,2)&lt;6),1,0),IF(AND(V194&lt;&gt;"",WEEKDAY(V$1,2)&lt;6),1,0),IF(AND(X194&lt;&gt;"",WEEKDAY(X$1,2)&lt;6),1,0),IF(AND(Z194&lt;&gt;"",WEEKDAY(Z$1,2)&lt;6),1,0),IF(AND(AB194&lt;&gt;"",WEEKDAY(AB$1,2)&lt;6),1,0),IF(AND(AD194&lt;&gt;"",WEEKDAY(AD$1,2)&lt;6),1,0),IF(AND(AF194&lt;&gt;"",WEEKDAY(AF$1,2)&lt;6),1,0),IF(AND(AH194&lt;&gt;"",WEEKDAY(AH$1,2)&lt;6),1,0),IF(AND(AJ194&lt;&gt;"",WEEKDAY(AJ$1,2)&lt;6),1,0),IF(AND(AL194&lt;&gt;"",WEEKDAY(AL$1,2)&lt;6),1,0),IF(AND(AN194&lt;&gt;"",WEEKDAY(AN$1,2)&lt;6),1,0),IF(AND(AP194&lt;&gt;"",WEEKDAY(AP$1,2)&lt;6),1,0),IF(AND(AR194&lt;&gt;"",WEEKDAY(AR$1,2)&lt;6),1,0),IF(AND(AT194&lt;&gt;"",WEEKDAY(AT$1,2)&lt;6),1,0),IF(AND(AV194&lt;&gt;"",WEEKDAY(AV$1,2)&lt;6),1,0),IF(AND(AX194&lt;&gt;"",WEEKDAY(AX$1,2)&lt;6),1,0),IF(AND(AZ194&lt;&gt;"",WEEKDAY(AZ$1,2)&lt;6),1,0),IF(AND(BB194&lt;&gt;"",WEEKDAY(BB$1,2)&lt;6),1,0),IF(AND(BD194&lt;&gt;"",WEEKDAY(BD$1,2)&lt;6),1,0),IF(AND(BF194&lt;&gt;"",WEEKDAY(BF$1,2)&lt;6),1,0),IF(AND(BH194&lt;&gt;"",WEEKDAY(BH$1,2)&lt;6),1,0),IF(AND(BJ194&lt;&gt;"",WEEKDAY(BJ$1,2)&lt;6),1,0),IF(AND(BL194&lt;&gt;"",WEEKDAY(BL$1,2)&lt;6),1,0))</f>
        <v>0</v>
      </c>
      <c r="BO194" s="85">
        <f>SUM(IF(AND(E194&lt;&gt;"",WEEKDAY(D$1,2)&lt;6),1,0),IF(AND(G194&lt;&gt;"",WEEKDAY(F$1,2)&lt;6),1,0),IF(AND(I194&lt;&gt;"",WEEKDAY(H$1,2)&lt;6),1,0),IF(AND(K194&lt;&gt;"",WEEKDAY(J$1,2)&lt;6),1,0),IF(AND(M194&lt;&gt;"",WEEKDAY(L$1,2)&lt;6),1,0),IF(AND(O194&lt;&gt;"",WEEKDAY(N$1,2)&lt;6),1,0),IF(AND(Q194&lt;&gt;"",WEEKDAY(P$1,2)&lt;6),1,0),IF(AND(S194&lt;&gt;"",WEEKDAY(R$1,2)&lt;6),1,0),IF(AND(U194&lt;&gt;"",WEEKDAY(T$1,2)&lt;6),1,0),IF(AND(W194&lt;&gt;"",WEEKDAY(V$1,2)&lt;6),1,0),IF(AND(Y194&lt;&gt;"",WEEKDAY(X$1,2)&lt;6),1,0),IF(AND(AA194&lt;&gt;"",WEEKDAY(Z$1,2)&lt;6),1,0),IF(AND(AC194&lt;&gt;"",WEEKDAY(AB$1,2)&lt;6),1,0),IF(AND(AE194&lt;&gt;"",WEEKDAY(AD$1,2)&lt;6),1,0),IF(AND(AG194&lt;&gt;"",WEEKDAY(AF$1,2)&lt;6),1,0),IF(AND(AI194&lt;&gt;"",WEEKDAY(AH$1,2)&lt;6),1,0),IF(AND(AK194&lt;&gt;"",WEEKDAY(AJ$1,2)&lt;6),1,0),IF(AND(AM194&lt;&gt;"",WEEKDAY(AL$1,2)&lt;6),1,0),IF(AND(AO194&lt;&gt;"",WEEKDAY(AN$1,2)&lt;6),1,0),IF(AND(AQ194&lt;&gt;"",WEEKDAY(AP$1,2)&lt;6),1,0),IF(AND(AS194&lt;&gt;"",WEEKDAY(AR$1,2)&lt;6),1,0),IF(AND(AU194&lt;&gt;"",WEEKDAY(AT$1,2)&lt;6),1,0),IF(AND(AW194&lt;&gt;"",WEEKDAY(AV$1,2)&lt;6),1,0),IF(AND(AY194&lt;&gt;"",WEEKDAY(AX$1,2)&lt;6),1,0),IF(AND(BA194&lt;&gt;"",WEEKDAY(AZ$1,2)&lt;6),1,0),IF(AND(BC194&lt;&gt;"",WEEKDAY(BB$1,2)&lt;6),1,0),IF(AND(BE194&lt;&gt;"",WEEKDAY(BD$1,2)&lt;6),1,0),IF(AND(BG194&lt;&gt;"",WEEKDAY(BF$1,2)&lt;6),1,0),IF(AND(BI194&lt;&gt;"",WEEKDAY(BH$1,2)&lt;6),1,0),IF(AND(BK194&lt;&gt;"",WEEKDAY(BJ$1,2)&lt;6),1,0),IF(AND(BM194&lt;&gt;"",WEEKDAY(BL$1,2)&lt;6),1,0))</f>
        <v>0</v>
      </c>
      <c r="BP194" s="85">
        <f>SUM(IF(AND((D194&lt;&gt;"")+(E194&lt;&gt;""),WEEKDAY(D$1,2)=6),1,0),IF(AND((F194&lt;&gt;"")+(G194&lt;&gt;""),WEEKDAY(F$1,2)=6),1,0),IF(AND((H194&lt;&gt;"")+(I194&lt;&gt;""),WEEKDAY(H$1,2)=6),1,0),IF(AND((J194&lt;&gt;"")+(K194&lt;&gt;""),WEEKDAY(J$1,2)=6),1,0),IF(AND((L194&lt;&gt;"")+(M194&lt;&gt;""),WEEKDAY(L$1,2)=6),1,0),IF(AND((N194&lt;&gt;"")+(O194&lt;&gt;""),WEEKDAY(N$1,2)=6),1,0),IF(AND((P194&lt;&gt;"")+(Q194&lt;&gt;""),WEEKDAY(P$1,2)=6),1,0),IF(AND((R194&lt;&gt;"")+(S194&lt;&gt;""),WEEKDAY(R$1,2)=6),1,0),IF(AND((T194&lt;&gt;"")+(U194&lt;&gt;""),WEEKDAY(T$1,2)=6),1,0),IF(AND((V194&lt;&gt;"")+(W194&lt;&gt;""),WEEKDAY(V$1,2)=6),1,0),IF(AND((X194&lt;&gt;"")+(Y194&lt;&gt;""),WEEKDAY(X$1,2)=6),1,0),IF(AND((Z194&lt;&gt;"")+(AA194&lt;&gt;""),WEEKDAY(Z$1,2)=6),1,0),IF(AND((AB194&lt;&gt;"")+(AC194&lt;&gt;""),WEEKDAY(AB$1,2)=6),1,0),IF(AND((AD194&lt;&gt;"")+(AE194&lt;&gt;""),WEEKDAY(AD$1,2)=6),1,0),IF(AND((AF194&lt;&gt;"")+(AG194&lt;&gt;""),WEEKDAY(AF$1,2)=6),1,0),IF(AND((AH194&lt;&gt;"")+(AI194&lt;&gt;""),WEEKDAY(AH$1,2)=6),1,0),IF(AND((AJ194&lt;&gt;"")+(AK194&lt;&gt;""),WEEKDAY(AJ$1,2)=6),1,0),IF(AND((AL194&lt;&gt;"")+(AM194&lt;&gt;""),WEEKDAY(AL$1,2)=6),1,0),IF(AND((AN194&lt;&gt;"")+(AO194&lt;&gt;""),WEEKDAY(AN$1,2)=6),1,0),IF(AND((AP194&lt;&gt;"")+(AQ194&lt;&gt;""),WEEKDAY(AP$1,2)=6),1,0),IF(AND((AR194&lt;&gt;"")+(AS194&lt;&gt;""),WEEKDAY(AR$1,2)=6),1,0),IF(AND((AT194&lt;&gt;"")+(AU194&lt;&gt;""),WEEKDAY(AT$1,2)=6),1,0),IF(AND((AV194&lt;&gt;"")+(AW194&lt;&gt;""),WEEKDAY(AV$1,2)=6),1,0),IF(AND((AX194&lt;&gt;"")+(AY194&lt;&gt;""),WEEKDAY(AX$1,2)=6),1,0),IF(AND((AZ194&lt;&gt;"")+(BA194&lt;&gt;""),WEEKDAY(AZ$1,2)=6),1,0),IF(AND((BB194&lt;&gt;"")+(BC194&lt;&gt;""),WEEKDAY(BB$1,2)=6),1,0),IF(AND((BD194&lt;&gt;"")+(BE194&lt;&gt;""),WEEKDAY(BD$1,2)=6),1,0),IF(AND((BF194&lt;&gt;"")+(BG194&lt;&gt;""),WEEKDAY(BF$1,2)=6),1,0),IF(AND((BH194&lt;&gt;"")+(BI194&lt;&gt;""),WEEKDAY(BH$1,2)=6),1,0),IF(AND((BJ194&lt;&gt;"")+(BK194&lt;&gt;""),WEEKDAY(BJ$1,2)=6),1,0),IF(AND((BL194&lt;&gt;"")+(BM194&lt;&gt;""),WEEKDAY(BL$1,2)=6),1,0))</f>
        <v>0</v>
      </c>
    </row>
    <row r="195" spans="1:68" ht="16.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>
        <f>SUM(IF(AND(D195&lt;&gt;"",WEEKDAY(D$1,2)&lt;6),1,0),IF(AND(F195&lt;&gt;"",WEEKDAY(F$1,2)&lt;6),1,0),IF(AND(H195&lt;&gt;"",WEEKDAY(H$1,2)&lt;6),1,0),IF(AND(J195&lt;&gt;"",WEEKDAY(J$1,2)&lt;6),1,0),IF(AND(L195&lt;&gt;"",WEEKDAY(L$1,2)&lt;6),1,0),IF(AND(N195&lt;&gt;"",WEEKDAY(N$1,2)&lt;6),1,0),IF(AND(P195&lt;&gt;"",WEEKDAY(P$1,2)&lt;6),1,0),IF(AND(R195&lt;&gt;"",WEEKDAY(R$1,2)&lt;6),1,0),IF(AND(T195&lt;&gt;"",WEEKDAY(T$1,2)&lt;6),1,0),IF(AND(V195&lt;&gt;"",WEEKDAY(V$1,2)&lt;6),1,0),IF(AND(X195&lt;&gt;"",WEEKDAY(X$1,2)&lt;6),1,0),IF(AND(Z195&lt;&gt;"",WEEKDAY(Z$1,2)&lt;6),1,0),IF(AND(AB195&lt;&gt;"",WEEKDAY(AB$1,2)&lt;6),1,0),IF(AND(AD195&lt;&gt;"",WEEKDAY(AD$1,2)&lt;6),1,0),IF(AND(AF195&lt;&gt;"",WEEKDAY(AF$1,2)&lt;6),1,0),IF(AND(AH195&lt;&gt;"",WEEKDAY(AH$1,2)&lt;6),1,0),IF(AND(AJ195&lt;&gt;"",WEEKDAY(AJ$1,2)&lt;6),1,0),IF(AND(AL195&lt;&gt;"",WEEKDAY(AL$1,2)&lt;6),1,0),IF(AND(AN195&lt;&gt;"",WEEKDAY(AN$1,2)&lt;6),1,0),IF(AND(AP195&lt;&gt;"",WEEKDAY(AP$1,2)&lt;6),1,0),IF(AND(AR195&lt;&gt;"",WEEKDAY(AR$1,2)&lt;6),1,0),IF(AND(AT195&lt;&gt;"",WEEKDAY(AT$1,2)&lt;6),1,0),IF(AND(AV195&lt;&gt;"",WEEKDAY(AV$1,2)&lt;6),1,0),IF(AND(AX195&lt;&gt;"",WEEKDAY(AX$1,2)&lt;6),1,0),IF(AND(AZ195&lt;&gt;"",WEEKDAY(AZ$1,2)&lt;6),1,0),IF(AND(BB195&lt;&gt;"",WEEKDAY(BB$1,2)&lt;6),1,0),IF(AND(BD195&lt;&gt;"",WEEKDAY(BD$1,2)&lt;6),1,0),IF(AND(BF195&lt;&gt;"",WEEKDAY(BF$1,2)&lt;6),1,0),IF(AND(BH195&lt;&gt;"",WEEKDAY(BH$1,2)&lt;6),1,0),IF(AND(BJ195&lt;&gt;"",WEEKDAY(BJ$1,2)&lt;6),1,0),IF(AND(BL195&lt;&gt;"",WEEKDAY(BL$1,2)&lt;6),1,0))</f>
        <v>0</v>
      </c>
      <c r="BO195" s="85">
        <f>SUM(IF(AND(E195&lt;&gt;"",WEEKDAY(D$1,2)&lt;6),1,0),IF(AND(G195&lt;&gt;"",WEEKDAY(F$1,2)&lt;6),1,0),IF(AND(I195&lt;&gt;"",WEEKDAY(H$1,2)&lt;6),1,0),IF(AND(K195&lt;&gt;"",WEEKDAY(J$1,2)&lt;6),1,0),IF(AND(M195&lt;&gt;"",WEEKDAY(L$1,2)&lt;6),1,0),IF(AND(O195&lt;&gt;"",WEEKDAY(N$1,2)&lt;6),1,0),IF(AND(Q195&lt;&gt;"",WEEKDAY(P$1,2)&lt;6),1,0),IF(AND(S195&lt;&gt;"",WEEKDAY(R$1,2)&lt;6),1,0),IF(AND(U195&lt;&gt;"",WEEKDAY(T$1,2)&lt;6),1,0),IF(AND(W195&lt;&gt;"",WEEKDAY(V$1,2)&lt;6),1,0),IF(AND(Y195&lt;&gt;"",WEEKDAY(X$1,2)&lt;6),1,0),IF(AND(AA195&lt;&gt;"",WEEKDAY(Z$1,2)&lt;6),1,0),IF(AND(AC195&lt;&gt;"",WEEKDAY(AB$1,2)&lt;6),1,0),IF(AND(AE195&lt;&gt;"",WEEKDAY(AD$1,2)&lt;6),1,0),IF(AND(AG195&lt;&gt;"",WEEKDAY(AF$1,2)&lt;6),1,0),IF(AND(AI195&lt;&gt;"",WEEKDAY(AH$1,2)&lt;6),1,0),IF(AND(AK195&lt;&gt;"",WEEKDAY(AJ$1,2)&lt;6),1,0),IF(AND(AM195&lt;&gt;"",WEEKDAY(AL$1,2)&lt;6),1,0),IF(AND(AO195&lt;&gt;"",WEEKDAY(AN$1,2)&lt;6),1,0),IF(AND(AQ195&lt;&gt;"",WEEKDAY(AP$1,2)&lt;6),1,0),IF(AND(AS195&lt;&gt;"",WEEKDAY(AR$1,2)&lt;6),1,0),IF(AND(AU195&lt;&gt;"",WEEKDAY(AT$1,2)&lt;6),1,0),IF(AND(AW195&lt;&gt;"",WEEKDAY(AV$1,2)&lt;6),1,0),IF(AND(AY195&lt;&gt;"",WEEKDAY(AX$1,2)&lt;6),1,0),IF(AND(BA195&lt;&gt;"",WEEKDAY(AZ$1,2)&lt;6),1,0),IF(AND(BC195&lt;&gt;"",WEEKDAY(BB$1,2)&lt;6),1,0),IF(AND(BE195&lt;&gt;"",WEEKDAY(BD$1,2)&lt;6),1,0),IF(AND(BG195&lt;&gt;"",WEEKDAY(BF$1,2)&lt;6),1,0),IF(AND(BI195&lt;&gt;"",WEEKDAY(BH$1,2)&lt;6),1,0),IF(AND(BK195&lt;&gt;"",WEEKDAY(BJ$1,2)&lt;6),1,0),IF(AND(BM195&lt;&gt;"",WEEKDAY(BL$1,2)&lt;6),1,0))</f>
        <v>0</v>
      </c>
      <c r="BP195" s="85">
        <f>SUM(IF(AND((D195&lt;&gt;"")+(E195&lt;&gt;""),WEEKDAY(D$1,2)=6),1,0),IF(AND((F195&lt;&gt;"")+(G195&lt;&gt;""),WEEKDAY(F$1,2)=6),1,0),IF(AND((H195&lt;&gt;"")+(I195&lt;&gt;""),WEEKDAY(H$1,2)=6),1,0),IF(AND((J195&lt;&gt;"")+(K195&lt;&gt;""),WEEKDAY(J$1,2)=6),1,0),IF(AND((L195&lt;&gt;"")+(M195&lt;&gt;""),WEEKDAY(L$1,2)=6),1,0),IF(AND((N195&lt;&gt;"")+(O195&lt;&gt;""),WEEKDAY(N$1,2)=6),1,0),IF(AND((P195&lt;&gt;"")+(Q195&lt;&gt;""),WEEKDAY(P$1,2)=6),1,0),IF(AND((R195&lt;&gt;"")+(S195&lt;&gt;""),WEEKDAY(R$1,2)=6),1,0),IF(AND((T195&lt;&gt;"")+(U195&lt;&gt;""),WEEKDAY(T$1,2)=6),1,0),IF(AND((V195&lt;&gt;"")+(W195&lt;&gt;""),WEEKDAY(V$1,2)=6),1,0),IF(AND((X195&lt;&gt;"")+(Y195&lt;&gt;""),WEEKDAY(X$1,2)=6),1,0),IF(AND((Z195&lt;&gt;"")+(AA195&lt;&gt;""),WEEKDAY(Z$1,2)=6),1,0),IF(AND((AB195&lt;&gt;"")+(AC195&lt;&gt;""),WEEKDAY(AB$1,2)=6),1,0),IF(AND((AD195&lt;&gt;"")+(AE195&lt;&gt;""),WEEKDAY(AD$1,2)=6),1,0),IF(AND((AF195&lt;&gt;"")+(AG195&lt;&gt;""),WEEKDAY(AF$1,2)=6),1,0),IF(AND((AH195&lt;&gt;"")+(AI195&lt;&gt;""),WEEKDAY(AH$1,2)=6),1,0),IF(AND((AJ195&lt;&gt;"")+(AK195&lt;&gt;""),WEEKDAY(AJ$1,2)=6),1,0),IF(AND((AL195&lt;&gt;"")+(AM195&lt;&gt;""),WEEKDAY(AL$1,2)=6),1,0),IF(AND((AN195&lt;&gt;"")+(AO195&lt;&gt;""),WEEKDAY(AN$1,2)=6),1,0),IF(AND((AP195&lt;&gt;"")+(AQ195&lt;&gt;""),WEEKDAY(AP$1,2)=6),1,0),IF(AND((AR195&lt;&gt;"")+(AS195&lt;&gt;""),WEEKDAY(AR$1,2)=6),1,0),IF(AND((AT195&lt;&gt;"")+(AU195&lt;&gt;""),WEEKDAY(AT$1,2)=6),1,0),IF(AND((AV195&lt;&gt;"")+(AW195&lt;&gt;""),WEEKDAY(AV$1,2)=6),1,0),IF(AND((AX195&lt;&gt;"")+(AY195&lt;&gt;""),WEEKDAY(AX$1,2)=6),1,0),IF(AND((AZ195&lt;&gt;"")+(BA195&lt;&gt;""),WEEKDAY(AZ$1,2)=6),1,0),IF(AND((BB195&lt;&gt;"")+(BC195&lt;&gt;""),WEEKDAY(BB$1,2)=6),1,0),IF(AND((BD195&lt;&gt;"")+(BE195&lt;&gt;""),WEEKDAY(BD$1,2)=6),1,0),IF(AND((BF195&lt;&gt;"")+(BG195&lt;&gt;""),WEEKDAY(BF$1,2)=6),1,0),IF(AND((BH195&lt;&gt;"")+(BI195&lt;&gt;""),WEEKDAY(BH$1,2)=6),1,0),IF(AND((BJ195&lt;&gt;"")+(BK195&lt;&gt;""),WEEKDAY(BJ$1,2)=6),1,0),IF(AND((BL195&lt;&gt;"")+(BM195&lt;&gt;""),WEEKDAY(BL$1,2)=6),1,0))</f>
        <v>0</v>
      </c>
    </row>
    <row r="196" spans="1:68" ht="16.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>
        <f>SUM(IF(AND(D196&lt;&gt;"",WEEKDAY(D$1,2)&lt;6),1,0),IF(AND(F196&lt;&gt;"",WEEKDAY(F$1,2)&lt;6),1,0),IF(AND(H196&lt;&gt;"",WEEKDAY(H$1,2)&lt;6),1,0),IF(AND(J196&lt;&gt;"",WEEKDAY(J$1,2)&lt;6),1,0),IF(AND(L196&lt;&gt;"",WEEKDAY(L$1,2)&lt;6),1,0),IF(AND(N196&lt;&gt;"",WEEKDAY(N$1,2)&lt;6),1,0),IF(AND(P196&lt;&gt;"",WEEKDAY(P$1,2)&lt;6),1,0),IF(AND(R196&lt;&gt;"",WEEKDAY(R$1,2)&lt;6),1,0),IF(AND(T196&lt;&gt;"",WEEKDAY(T$1,2)&lt;6),1,0),IF(AND(V196&lt;&gt;"",WEEKDAY(V$1,2)&lt;6),1,0),IF(AND(X196&lt;&gt;"",WEEKDAY(X$1,2)&lt;6),1,0),IF(AND(Z196&lt;&gt;"",WEEKDAY(Z$1,2)&lt;6),1,0),IF(AND(AB196&lt;&gt;"",WEEKDAY(AB$1,2)&lt;6),1,0),IF(AND(AD196&lt;&gt;"",WEEKDAY(AD$1,2)&lt;6),1,0),IF(AND(AF196&lt;&gt;"",WEEKDAY(AF$1,2)&lt;6),1,0),IF(AND(AH196&lt;&gt;"",WEEKDAY(AH$1,2)&lt;6),1,0),IF(AND(AJ196&lt;&gt;"",WEEKDAY(AJ$1,2)&lt;6),1,0),IF(AND(AL196&lt;&gt;"",WEEKDAY(AL$1,2)&lt;6),1,0),IF(AND(AN196&lt;&gt;"",WEEKDAY(AN$1,2)&lt;6),1,0),IF(AND(AP196&lt;&gt;"",WEEKDAY(AP$1,2)&lt;6),1,0),IF(AND(AR196&lt;&gt;"",WEEKDAY(AR$1,2)&lt;6),1,0),IF(AND(AT196&lt;&gt;"",WEEKDAY(AT$1,2)&lt;6),1,0),IF(AND(AV196&lt;&gt;"",WEEKDAY(AV$1,2)&lt;6),1,0),IF(AND(AX196&lt;&gt;"",WEEKDAY(AX$1,2)&lt;6),1,0),IF(AND(AZ196&lt;&gt;"",WEEKDAY(AZ$1,2)&lt;6),1,0),IF(AND(BB196&lt;&gt;"",WEEKDAY(BB$1,2)&lt;6),1,0),IF(AND(BD196&lt;&gt;"",WEEKDAY(BD$1,2)&lt;6),1,0),IF(AND(BF196&lt;&gt;"",WEEKDAY(BF$1,2)&lt;6),1,0),IF(AND(BH196&lt;&gt;"",WEEKDAY(BH$1,2)&lt;6),1,0),IF(AND(BJ196&lt;&gt;"",WEEKDAY(BJ$1,2)&lt;6),1,0),IF(AND(BL196&lt;&gt;"",WEEKDAY(BL$1,2)&lt;6),1,0))</f>
        <v>0</v>
      </c>
      <c r="BO196" s="85">
        <f>SUM(IF(AND(E196&lt;&gt;"",WEEKDAY(D$1,2)&lt;6),1,0),IF(AND(G196&lt;&gt;"",WEEKDAY(F$1,2)&lt;6),1,0),IF(AND(I196&lt;&gt;"",WEEKDAY(H$1,2)&lt;6),1,0),IF(AND(K196&lt;&gt;"",WEEKDAY(J$1,2)&lt;6),1,0),IF(AND(M196&lt;&gt;"",WEEKDAY(L$1,2)&lt;6),1,0),IF(AND(O196&lt;&gt;"",WEEKDAY(N$1,2)&lt;6),1,0),IF(AND(Q196&lt;&gt;"",WEEKDAY(P$1,2)&lt;6),1,0),IF(AND(S196&lt;&gt;"",WEEKDAY(R$1,2)&lt;6),1,0),IF(AND(U196&lt;&gt;"",WEEKDAY(T$1,2)&lt;6),1,0),IF(AND(W196&lt;&gt;"",WEEKDAY(V$1,2)&lt;6),1,0),IF(AND(Y196&lt;&gt;"",WEEKDAY(X$1,2)&lt;6),1,0),IF(AND(AA196&lt;&gt;"",WEEKDAY(Z$1,2)&lt;6),1,0),IF(AND(AC196&lt;&gt;"",WEEKDAY(AB$1,2)&lt;6),1,0),IF(AND(AE196&lt;&gt;"",WEEKDAY(AD$1,2)&lt;6),1,0),IF(AND(AG196&lt;&gt;"",WEEKDAY(AF$1,2)&lt;6),1,0),IF(AND(AI196&lt;&gt;"",WEEKDAY(AH$1,2)&lt;6),1,0),IF(AND(AK196&lt;&gt;"",WEEKDAY(AJ$1,2)&lt;6),1,0),IF(AND(AM196&lt;&gt;"",WEEKDAY(AL$1,2)&lt;6),1,0),IF(AND(AO196&lt;&gt;"",WEEKDAY(AN$1,2)&lt;6),1,0),IF(AND(AQ196&lt;&gt;"",WEEKDAY(AP$1,2)&lt;6),1,0),IF(AND(AS196&lt;&gt;"",WEEKDAY(AR$1,2)&lt;6),1,0),IF(AND(AU196&lt;&gt;"",WEEKDAY(AT$1,2)&lt;6),1,0),IF(AND(AW196&lt;&gt;"",WEEKDAY(AV$1,2)&lt;6),1,0),IF(AND(AY196&lt;&gt;"",WEEKDAY(AX$1,2)&lt;6),1,0),IF(AND(BA196&lt;&gt;"",WEEKDAY(AZ$1,2)&lt;6),1,0),IF(AND(BC196&lt;&gt;"",WEEKDAY(BB$1,2)&lt;6),1,0),IF(AND(BE196&lt;&gt;"",WEEKDAY(BD$1,2)&lt;6),1,0),IF(AND(BG196&lt;&gt;"",WEEKDAY(BF$1,2)&lt;6),1,0),IF(AND(BI196&lt;&gt;"",WEEKDAY(BH$1,2)&lt;6),1,0),IF(AND(BK196&lt;&gt;"",WEEKDAY(BJ$1,2)&lt;6),1,0),IF(AND(BM196&lt;&gt;"",WEEKDAY(BL$1,2)&lt;6),1,0))</f>
        <v>0</v>
      </c>
      <c r="BP196" s="85">
        <f>SUM(IF(AND((D196&lt;&gt;"")+(E196&lt;&gt;""),WEEKDAY(D$1,2)=6),1,0),IF(AND((F196&lt;&gt;"")+(G196&lt;&gt;""),WEEKDAY(F$1,2)=6),1,0),IF(AND((H196&lt;&gt;"")+(I196&lt;&gt;""),WEEKDAY(H$1,2)=6),1,0),IF(AND((J196&lt;&gt;"")+(K196&lt;&gt;""),WEEKDAY(J$1,2)=6),1,0),IF(AND((L196&lt;&gt;"")+(M196&lt;&gt;""),WEEKDAY(L$1,2)=6),1,0),IF(AND((N196&lt;&gt;"")+(O196&lt;&gt;""),WEEKDAY(N$1,2)=6),1,0),IF(AND((P196&lt;&gt;"")+(Q196&lt;&gt;""),WEEKDAY(P$1,2)=6),1,0),IF(AND((R196&lt;&gt;"")+(S196&lt;&gt;""),WEEKDAY(R$1,2)=6),1,0),IF(AND((T196&lt;&gt;"")+(U196&lt;&gt;""),WEEKDAY(T$1,2)=6),1,0),IF(AND((V196&lt;&gt;"")+(W196&lt;&gt;""),WEEKDAY(V$1,2)=6),1,0),IF(AND((X196&lt;&gt;"")+(Y196&lt;&gt;""),WEEKDAY(X$1,2)=6),1,0),IF(AND((Z196&lt;&gt;"")+(AA196&lt;&gt;""),WEEKDAY(Z$1,2)=6),1,0),IF(AND((AB196&lt;&gt;"")+(AC196&lt;&gt;""),WEEKDAY(AB$1,2)=6),1,0),IF(AND((AD196&lt;&gt;"")+(AE196&lt;&gt;""),WEEKDAY(AD$1,2)=6),1,0),IF(AND((AF196&lt;&gt;"")+(AG196&lt;&gt;""),WEEKDAY(AF$1,2)=6),1,0),IF(AND((AH196&lt;&gt;"")+(AI196&lt;&gt;""),WEEKDAY(AH$1,2)=6),1,0),IF(AND((AJ196&lt;&gt;"")+(AK196&lt;&gt;""),WEEKDAY(AJ$1,2)=6),1,0),IF(AND((AL196&lt;&gt;"")+(AM196&lt;&gt;""),WEEKDAY(AL$1,2)=6),1,0),IF(AND((AN196&lt;&gt;"")+(AO196&lt;&gt;""),WEEKDAY(AN$1,2)=6),1,0),IF(AND((AP196&lt;&gt;"")+(AQ196&lt;&gt;""),WEEKDAY(AP$1,2)=6),1,0),IF(AND((AR196&lt;&gt;"")+(AS196&lt;&gt;""),WEEKDAY(AR$1,2)=6),1,0),IF(AND((AT196&lt;&gt;"")+(AU196&lt;&gt;""),WEEKDAY(AT$1,2)=6),1,0),IF(AND((AV196&lt;&gt;"")+(AW196&lt;&gt;""),WEEKDAY(AV$1,2)=6),1,0),IF(AND((AX196&lt;&gt;"")+(AY196&lt;&gt;""),WEEKDAY(AX$1,2)=6),1,0),IF(AND((AZ196&lt;&gt;"")+(BA196&lt;&gt;""),WEEKDAY(AZ$1,2)=6),1,0),IF(AND((BB196&lt;&gt;"")+(BC196&lt;&gt;""),WEEKDAY(BB$1,2)=6),1,0),IF(AND((BD196&lt;&gt;"")+(BE196&lt;&gt;""),WEEKDAY(BD$1,2)=6),1,0),IF(AND((BF196&lt;&gt;"")+(BG196&lt;&gt;""),WEEKDAY(BF$1,2)=6),1,0),IF(AND((BH196&lt;&gt;"")+(BI196&lt;&gt;""),WEEKDAY(BH$1,2)=6),1,0),IF(AND((BJ196&lt;&gt;"")+(BK196&lt;&gt;""),WEEKDAY(BJ$1,2)=6),1,0),IF(AND((BL196&lt;&gt;"")+(BM196&lt;&gt;""),WEEKDAY(BL$1,2)=6),1,0))</f>
        <v>0</v>
      </c>
    </row>
    <row r="197" spans="1:68" ht="16.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>
        <f>SUM(IF(AND(D197&lt;&gt;"",WEEKDAY(D$1,2)&lt;6),1,0),IF(AND(F197&lt;&gt;"",WEEKDAY(F$1,2)&lt;6),1,0),IF(AND(H197&lt;&gt;"",WEEKDAY(H$1,2)&lt;6),1,0),IF(AND(J197&lt;&gt;"",WEEKDAY(J$1,2)&lt;6),1,0),IF(AND(L197&lt;&gt;"",WEEKDAY(L$1,2)&lt;6),1,0),IF(AND(N197&lt;&gt;"",WEEKDAY(N$1,2)&lt;6),1,0),IF(AND(P197&lt;&gt;"",WEEKDAY(P$1,2)&lt;6),1,0),IF(AND(R197&lt;&gt;"",WEEKDAY(R$1,2)&lt;6),1,0),IF(AND(T197&lt;&gt;"",WEEKDAY(T$1,2)&lt;6),1,0),IF(AND(V197&lt;&gt;"",WEEKDAY(V$1,2)&lt;6),1,0),IF(AND(X197&lt;&gt;"",WEEKDAY(X$1,2)&lt;6),1,0),IF(AND(Z197&lt;&gt;"",WEEKDAY(Z$1,2)&lt;6),1,0),IF(AND(AB197&lt;&gt;"",WEEKDAY(AB$1,2)&lt;6),1,0),IF(AND(AD197&lt;&gt;"",WEEKDAY(AD$1,2)&lt;6),1,0),IF(AND(AF197&lt;&gt;"",WEEKDAY(AF$1,2)&lt;6),1,0),IF(AND(AH197&lt;&gt;"",WEEKDAY(AH$1,2)&lt;6),1,0),IF(AND(AJ197&lt;&gt;"",WEEKDAY(AJ$1,2)&lt;6),1,0),IF(AND(AL197&lt;&gt;"",WEEKDAY(AL$1,2)&lt;6),1,0),IF(AND(AN197&lt;&gt;"",WEEKDAY(AN$1,2)&lt;6),1,0),IF(AND(AP197&lt;&gt;"",WEEKDAY(AP$1,2)&lt;6),1,0),IF(AND(AR197&lt;&gt;"",WEEKDAY(AR$1,2)&lt;6),1,0),IF(AND(AT197&lt;&gt;"",WEEKDAY(AT$1,2)&lt;6),1,0),IF(AND(AV197&lt;&gt;"",WEEKDAY(AV$1,2)&lt;6),1,0),IF(AND(AX197&lt;&gt;"",WEEKDAY(AX$1,2)&lt;6),1,0),IF(AND(AZ197&lt;&gt;"",WEEKDAY(AZ$1,2)&lt;6),1,0),IF(AND(BB197&lt;&gt;"",WEEKDAY(BB$1,2)&lt;6),1,0),IF(AND(BD197&lt;&gt;"",WEEKDAY(BD$1,2)&lt;6),1,0),IF(AND(BF197&lt;&gt;"",WEEKDAY(BF$1,2)&lt;6),1,0),IF(AND(BH197&lt;&gt;"",WEEKDAY(BH$1,2)&lt;6),1,0),IF(AND(BJ197&lt;&gt;"",WEEKDAY(BJ$1,2)&lt;6),1,0),IF(AND(BL197&lt;&gt;"",WEEKDAY(BL$1,2)&lt;6),1,0))</f>
        <v>0</v>
      </c>
      <c r="BO197" s="85">
        <f>SUM(IF(AND(E197&lt;&gt;"",WEEKDAY(D$1,2)&lt;6),1,0),IF(AND(G197&lt;&gt;"",WEEKDAY(F$1,2)&lt;6),1,0),IF(AND(I197&lt;&gt;"",WEEKDAY(H$1,2)&lt;6),1,0),IF(AND(K197&lt;&gt;"",WEEKDAY(J$1,2)&lt;6),1,0),IF(AND(M197&lt;&gt;"",WEEKDAY(L$1,2)&lt;6),1,0),IF(AND(O197&lt;&gt;"",WEEKDAY(N$1,2)&lt;6),1,0),IF(AND(Q197&lt;&gt;"",WEEKDAY(P$1,2)&lt;6),1,0),IF(AND(S197&lt;&gt;"",WEEKDAY(R$1,2)&lt;6),1,0),IF(AND(U197&lt;&gt;"",WEEKDAY(T$1,2)&lt;6),1,0),IF(AND(W197&lt;&gt;"",WEEKDAY(V$1,2)&lt;6),1,0),IF(AND(Y197&lt;&gt;"",WEEKDAY(X$1,2)&lt;6),1,0),IF(AND(AA197&lt;&gt;"",WEEKDAY(Z$1,2)&lt;6),1,0),IF(AND(AC197&lt;&gt;"",WEEKDAY(AB$1,2)&lt;6),1,0),IF(AND(AE197&lt;&gt;"",WEEKDAY(AD$1,2)&lt;6),1,0),IF(AND(AG197&lt;&gt;"",WEEKDAY(AF$1,2)&lt;6),1,0),IF(AND(AI197&lt;&gt;"",WEEKDAY(AH$1,2)&lt;6),1,0),IF(AND(AK197&lt;&gt;"",WEEKDAY(AJ$1,2)&lt;6),1,0),IF(AND(AM197&lt;&gt;"",WEEKDAY(AL$1,2)&lt;6),1,0),IF(AND(AO197&lt;&gt;"",WEEKDAY(AN$1,2)&lt;6),1,0),IF(AND(AQ197&lt;&gt;"",WEEKDAY(AP$1,2)&lt;6),1,0),IF(AND(AS197&lt;&gt;"",WEEKDAY(AR$1,2)&lt;6),1,0),IF(AND(AU197&lt;&gt;"",WEEKDAY(AT$1,2)&lt;6),1,0),IF(AND(AW197&lt;&gt;"",WEEKDAY(AV$1,2)&lt;6),1,0),IF(AND(AY197&lt;&gt;"",WEEKDAY(AX$1,2)&lt;6),1,0),IF(AND(BA197&lt;&gt;"",WEEKDAY(AZ$1,2)&lt;6),1,0),IF(AND(BC197&lt;&gt;"",WEEKDAY(BB$1,2)&lt;6),1,0),IF(AND(BE197&lt;&gt;"",WEEKDAY(BD$1,2)&lt;6),1,0),IF(AND(BG197&lt;&gt;"",WEEKDAY(BF$1,2)&lt;6),1,0),IF(AND(BI197&lt;&gt;"",WEEKDAY(BH$1,2)&lt;6),1,0),IF(AND(BK197&lt;&gt;"",WEEKDAY(BJ$1,2)&lt;6),1,0),IF(AND(BM197&lt;&gt;"",WEEKDAY(BL$1,2)&lt;6),1,0))</f>
        <v>0</v>
      </c>
      <c r="BP197" s="85">
        <f>SUM(IF(AND((D197&lt;&gt;"")+(E197&lt;&gt;""),WEEKDAY(D$1,2)=6),1,0),IF(AND((F197&lt;&gt;"")+(G197&lt;&gt;""),WEEKDAY(F$1,2)=6),1,0),IF(AND((H197&lt;&gt;"")+(I197&lt;&gt;""),WEEKDAY(H$1,2)=6),1,0),IF(AND((J197&lt;&gt;"")+(K197&lt;&gt;""),WEEKDAY(J$1,2)=6),1,0),IF(AND((L197&lt;&gt;"")+(M197&lt;&gt;""),WEEKDAY(L$1,2)=6),1,0),IF(AND((N197&lt;&gt;"")+(O197&lt;&gt;""),WEEKDAY(N$1,2)=6),1,0),IF(AND((P197&lt;&gt;"")+(Q197&lt;&gt;""),WEEKDAY(P$1,2)=6),1,0),IF(AND((R197&lt;&gt;"")+(S197&lt;&gt;""),WEEKDAY(R$1,2)=6),1,0),IF(AND((T197&lt;&gt;"")+(U197&lt;&gt;""),WEEKDAY(T$1,2)=6),1,0),IF(AND((V197&lt;&gt;"")+(W197&lt;&gt;""),WEEKDAY(V$1,2)=6),1,0),IF(AND((X197&lt;&gt;"")+(Y197&lt;&gt;""),WEEKDAY(X$1,2)=6),1,0),IF(AND((Z197&lt;&gt;"")+(AA197&lt;&gt;""),WEEKDAY(Z$1,2)=6),1,0),IF(AND((AB197&lt;&gt;"")+(AC197&lt;&gt;""),WEEKDAY(AB$1,2)=6),1,0),IF(AND((AD197&lt;&gt;"")+(AE197&lt;&gt;""),WEEKDAY(AD$1,2)=6),1,0),IF(AND((AF197&lt;&gt;"")+(AG197&lt;&gt;""),WEEKDAY(AF$1,2)=6),1,0),IF(AND((AH197&lt;&gt;"")+(AI197&lt;&gt;""),WEEKDAY(AH$1,2)=6),1,0),IF(AND((AJ197&lt;&gt;"")+(AK197&lt;&gt;""),WEEKDAY(AJ$1,2)=6),1,0),IF(AND((AL197&lt;&gt;"")+(AM197&lt;&gt;""),WEEKDAY(AL$1,2)=6),1,0),IF(AND((AN197&lt;&gt;"")+(AO197&lt;&gt;""),WEEKDAY(AN$1,2)=6),1,0),IF(AND((AP197&lt;&gt;"")+(AQ197&lt;&gt;""),WEEKDAY(AP$1,2)=6),1,0),IF(AND((AR197&lt;&gt;"")+(AS197&lt;&gt;""),WEEKDAY(AR$1,2)=6),1,0),IF(AND((AT197&lt;&gt;"")+(AU197&lt;&gt;""),WEEKDAY(AT$1,2)=6),1,0),IF(AND((AV197&lt;&gt;"")+(AW197&lt;&gt;""),WEEKDAY(AV$1,2)=6),1,0),IF(AND((AX197&lt;&gt;"")+(AY197&lt;&gt;""),WEEKDAY(AX$1,2)=6),1,0),IF(AND((AZ197&lt;&gt;"")+(BA197&lt;&gt;""),WEEKDAY(AZ$1,2)=6),1,0),IF(AND((BB197&lt;&gt;"")+(BC197&lt;&gt;""),WEEKDAY(BB$1,2)=6),1,0),IF(AND((BD197&lt;&gt;"")+(BE197&lt;&gt;""),WEEKDAY(BD$1,2)=6),1,0),IF(AND((BF197&lt;&gt;"")+(BG197&lt;&gt;""),WEEKDAY(BF$1,2)=6),1,0),IF(AND((BH197&lt;&gt;"")+(BI197&lt;&gt;""),WEEKDAY(BH$1,2)=6),1,0),IF(AND((BJ197&lt;&gt;"")+(BK197&lt;&gt;""),WEEKDAY(BJ$1,2)=6),1,0),IF(AND((BL197&lt;&gt;"")+(BM197&lt;&gt;""),WEEKDAY(BL$1,2)=6),1,0))</f>
        <v>0</v>
      </c>
    </row>
    <row r="198" spans="1:68" ht="16.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>
        <f>SUM(IF(AND(D198&lt;&gt;"",WEEKDAY(D$1,2)&lt;6),1,0),IF(AND(F198&lt;&gt;"",WEEKDAY(F$1,2)&lt;6),1,0),IF(AND(H198&lt;&gt;"",WEEKDAY(H$1,2)&lt;6),1,0),IF(AND(J198&lt;&gt;"",WEEKDAY(J$1,2)&lt;6),1,0),IF(AND(L198&lt;&gt;"",WEEKDAY(L$1,2)&lt;6),1,0),IF(AND(N198&lt;&gt;"",WEEKDAY(N$1,2)&lt;6),1,0),IF(AND(P198&lt;&gt;"",WEEKDAY(P$1,2)&lt;6),1,0),IF(AND(R198&lt;&gt;"",WEEKDAY(R$1,2)&lt;6),1,0),IF(AND(T198&lt;&gt;"",WEEKDAY(T$1,2)&lt;6),1,0),IF(AND(V198&lt;&gt;"",WEEKDAY(V$1,2)&lt;6),1,0),IF(AND(X198&lt;&gt;"",WEEKDAY(X$1,2)&lt;6),1,0),IF(AND(Z198&lt;&gt;"",WEEKDAY(Z$1,2)&lt;6),1,0),IF(AND(AB198&lt;&gt;"",WEEKDAY(AB$1,2)&lt;6),1,0),IF(AND(AD198&lt;&gt;"",WEEKDAY(AD$1,2)&lt;6),1,0),IF(AND(AF198&lt;&gt;"",WEEKDAY(AF$1,2)&lt;6),1,0),IF(AND(AH198&lt;&gt;"",WEEKDAY(AH$1,2)&lt;6),1,0),IF(AND(AJ198&lt;&gt;"",WEEKDAY(AJ$1,2)&lt;6),1,0),IF(AND(AL198&lt;&gt;"",WEEKDAY(AL$1,2)&lt;6),1,0),IF(AND(AN198&lt;&gt;"",WEEKDAY(AN$1,2)&lt;6),1,0),IF(AND(AP198&lt;&gt;"",WEEKDAY(AP$1,2)&lt;6),1,0),IF(AND(AR198&lt;&gt;"",WEEKDAY(AR$1,2)&lt;6),1,0),IF(AND(AT198&lt;&gt;"",WEEKDAY(AT$1,2)&lt;6),1,0),IF(AND(AV198&lt;&gt;"",WEEKDAY(AV$1,2)&lt;6),1,0),IF(AND(AX198&lt;&gt;"",WEEKDAY(AX$1,2)&lt;6),1,0),IF(AND(AZ198&lt;&gt;"",WEEKDAY(AZ$1,2)&lt;6),1,0),IF(AND(BB198&lt;&gt;"",WEEKDAY(BB$1,2)&lt;6),1,0),IF(AND(BD198&lt;&gt;"",WEEKDAY(BD$1,2)&lt;6),1,0),IF(AND(BF198&lt;&gt;"",WEEKDAY(BF$1,2)&lt;6),1,0),IF(AND(BH198&lt;&gt;"",WEEKDAY(BH$1,2)&lt;6),1,0),IF(AND(BJ198&lt;&gt;"",WEEKDAY(BJ$1,2)&lt;6),1,0),IF(AND(BL198&lt;&gt;"",WEEKDAY(BL$1,2)&lt;6),1,0))</f>
        <v>0</v>
      </c>
      <c r="BO198" s="85">
        <f>SUM(IF(AND(E198&lt;&gt;"",WEEKDAY(D$1,2)&lt;6),1,0),IF(AND(G198&lt;&gt;"",WEEKDAY(F$1,2)&lt;6),1,0),IF(AND(I198&lt;&gt;"",WEEKDAY(H$1,2)&lt;6),1,0),IF(AND(K198&lt;&gt;"",WEEKDAY(J$1,2)&lt;6),1,0),IF(AND(M198&lt;&gt;"",WEEKDAY(L$1,2)&lt;6),1,0),IF(AND(O198&lt;&gt;"",WEEKDAY(N$1,2)&lt;6),1,0),IF(AND(Q198&lt;&gt;"",WEEKDAY(P$1,2)&lt;6),1,0),IF(AND(S198&lt;&gt;"",WEEKDAY(R$1,2)&lt;6),1,0),IF(AND(U198&lt;&gt;"",WEEKDAY(T$1,2)&lt;6),1,0),IF(AND(W198&lt;&gt;"",WEEKDAY(V$1,2)&lt;6),1,0),IF(AND(Y198&lt;&gt;"",WEEKDAY(X$1,2)&lt;6),1,0),IF(AND(AA198&lt;&gt;"",WEEKDAY(Z$1,2)&lt;6),1,0),IF(AND(AC198&lt;&gt;"",WEEKDAY(AB$1,2)&lt;6),1,0),IF(AND(AE198&lt;&gt;"",WEEKDAY(AD$1,2)&lt;6),1,0),IF(AND(AG198&lt;&gt;"",WEEKDAY(AF$1,2)&lt;6),1,0),IF(AND(AI198&lt;&gt;"",WEEKDAY(AH$1,2)&lt;6),1,0),IF(AND(AK198&lt;&gt;"",WEEKDAY(AJ$1,2)&lt;6),1,0),IF(AND(AM198&lt;&gt;"",WEEKDAY(AL$1,2)&lt;6),1,0),IF(AND(AO198&lt;&gt;"",WEEKDAY(AN$1,2)&lt;6),1,0),IF(AND(AQ198&lt;&gt;"",WEEKDAY(AP$1,2)&lt;6),1,0),IF(AND(AS198&lt;&gt;"",WEEKDAY(AR$1,2)&lt;6),1,0),IF(AND(AU198&lt;&gt;"",WEEKDAY(AT$1,2)&lt;6),1,0),IF(AND(AW198&lt;&gt;"",WEEKDAY(AV$1,2)&lt;6),1,0),IF(AND(AY198&lt;&gt;"",WEEKDAY(AX$1,2)&lt;6),1,0),IF(AND(BA198&lt;&gt;"",WEEKDAY(AZ$1,2)&lt;6),1,0),IF(AND(BC198&lt;&gt;"",WEEKDAY(BB$1,2)&lt;6),1,0),IF(AND(BE198&lt;&gt;"",WEEKDAY(BD$1,2)&lt;6),1,0),IF(AND(BG198&lt;&gt;"",WEEKDAY(BF$1,2)&lt;6),1,0),IF(AND(BI198&lt;&gt;"",WEEKDAY(BH$1,2)&lt;6),1,0),IF(AND(BK198&lt;&gt;"",WEEKDAY(BJ$1,2)&lt;6),1,0),IF(AND(BM198&lt;&gt;"",WEEKDAY(BL$1,2)&lt;6),1,0))</f>
        <v>0</v>
      </c>
      <c r="BP198" s="85">
        <f>SUM(IF(AND((D198&lt;&gt;"")+(E198&lt;&gt;""),WEEKDAY(D$1,2)=6),1,0),IF(AND((F198&lt;&gt;"")+(G198&lt;&gt;""),WEEKDAY(F$1,2)=6),1,0),IF(AND((H198&lt;&gt;"")+(I198&lt;&gt;""),WEEKDAY(H$1,2)=6),1,0),IF(AND((J198&lt;&gt;"")+(K198&lt;&gt;""),WEEKDAY(J$1,2)=6),1,0),IF(AND((L198&lt;&gt;"")+(M198&lt;&gt;""),WEEKDAY(L$1,2)=6),1,0),IF(AND((N198&lt;&gt;"")+(O198&lt;&gt;""),WEEKDAY(N$1,2)=6),1,0),IF(AND((P198&lt;&gt;"")+(Q198&lt;&gt;""),WEEKDAY(P$1,2)=6),1,0),IF(AND((R198&lt;&gt;"")+(S198&lt;&gt;""),WEEKDAY(R$1,2)=6),1,0),IF(AND((T198&lt;&gt;"")+(U198&lt;&gt;""),WEEKDAY(T$1,2)=6),1,0),IF(AND((V198&lt;&gt;"")+(W198&lt;&gt;""),WEEKDAY(V$1,2)=6),1,0),IF(AND((X198&lt;&gt;"")+(Y198&lt;&gt;""),WEEKDAY(X$1,2)=6),1,0),IF(AND((Z198&lt;&gt;"")+(AA198&lt;&gt;""),WEEKDAY(Z$1,2)=6),1,0),IF(AND((AB198&lt;&gt;"")+(AC198&lt;&gt;""),WEEKDAY(AB$1,2)=6),1,0),IF(AND((AD198&lt;&gt;"")+(AE198&lt;&gt;""),WEEKDAY(AD$1,2)=6),1,0),IF(AND((AF198&lt;&gt;"")+(AG198&lt;&gt;""),WEEKDAY(AF$1,2)=6),1,0),IF(AND((AH198&lt;&gt;"")+(AI198&lt;&gt;""),WEEKDAY(AH$1,2)=6),1,0),IF(AND((AJ198&lt;&gt;"")+(AK198&lt;&gt;""),WEEKDAY(AJ$1,2)=6),1,0),IF(AND((AL198&lt;&gt;"")+(AM198&lt;&gt;""),WEEKDAY(AL$1,2)=6),1,0),IF(AND((AN198&lt;&gt;"")+(AO198&lt;&gt;""),WEEKDAY(AN$1,2)=6),1,0),IF(AND((AP198&lt;&gt;"")+(AQ198&lt;&gt;""),WEEKDAY(AP$1,2)=6),1,0),IF(AND((AR198&lt;&gt;"")+(AS198&lt;&gt;""),WEEKDAY(AR$1,2)=6),1,0),IF(AND((AT198&lt;&gt;"")+(AU198&lt;&gt;""),WEEKDAY(AT$1,2)=6),1,0),IF(AND((AV198&lt;&gt;"")+(AW198&lt;&gt;""),WEEKDAY(AV$1,2)=6),1,0),IF(AND((AX198&lt;&gt;"")+(AY198&lt;&gt;""),WEEKDAY(AX$1,2)=6),1,0),IF(AND((AZ198&lt;&gt;"")+(BA198&lt;&gt;""),WEEKDAY(AZ$1,2)=6),1,0),IF(AND((BB198&lt;&gt;"")+(BC198&lt;&gt;""),WEEKDAY(BB$1,2)=6),1,0),IF(AND((BD198&lt;&gt;"")+(BE198&lt;&gt;""),WEEKDAY(BD$1,2)=6),1,0),IF(AND((BF198&lt;&gt;"")+(BG198&lt;&gt;""),WEEKDAY(BF$1,2)=6),1,0),IF(AND((BH198&lt;&gt;"")+(BI198&lt;&gt;""),WEEKDAY(BH$1,2)=6),1,0),IF(AND((BJ198&lt;&gt;"")+(BK198&lt;&gt;""),WEEKDAY(BJ$1,2)=6),1,0),IF(AND((BL198&lt;&gt;"")+(BM198&lt;&gt;""),WEEKDAY(BL$1,2)=6),1,0))</f>
        <v>0</v>
      </c>
    </row>
    <row r="199" spans="1:68" ht="16.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>
        <f>SUM(IF(AND(D199&lt;&gt;"",WEEKDAY(D$1,2)&lt;6),1,0),IF(AND(F199&lt;&gt;"",WEEKDAY(F$1,2)&lt;6),1,0),IF(AND(H199&lt;&gt;"",WEEKDAY(H$1,2)&lt;6),1,0),IF(AND(J199&lt;&gt;"",WEEKDAY(J$1,2)&lt;6),1,0),IF(AND(L199&lt;&gt;"",WEEKDAY(L$1,2)&lt;6),1,0),IF(AND(N199&lt;&gt;"",WEEKDAY(N$1,2)&lt;6),1,0),IF(AND(P199&lt;&gt;"",WEEKDAY(P$1,2)&lt;6),1,0),IF(AND(R199&lt;&gt;"",WEEKDAY(R$1,2)&lt;6),1,0),IF(AND(T199&lt;&gt;"",WEEKDAY(T$1,2)&lt;6),1,0),IF(AND(V199&lt;&gt;"",WEEKDAY(V$1,2)&lt;6),1,0),IF(AND(X199&lt;&gt;"",WEEKDAY(X$1,2)&lt;6),1,0),IF(AND(Z199&lt;&gt;"",WEEKDAY(Z$1,2)&lt;6),1,0),IF(AND(AB199&lt;&gt;"",WEEKDAY(AB$1,2)&lt;6),1,0),IF(AND(AD199&lt;&gt;"",WEEKDAY(AD$1,2)&lt;6),1,0),IF(AND(AF199&lt;&gt;"",WEEKDAY(AF$1,2)&lt;6),1,0),IF(AND(AH199&lt;&gt;"",WEEKDAY(AH$1,2)&lt;6),1,0),IF(AND(AJ199&lt;&gt;"",WEEKDAY(AJ$1,2)&lt;6),1,0),IF(AND(AL199&lt;&gt;"",WEEKDAY(AL$1,2)&lt;6),1,0),IF(AND(AN199&lt;&gt;"",WEEKDAY(AN$1,2)&lt;6),1,0),IF(AND(AP199&lt;&gt;"",WEEKDAY(AP$1,2)&lt;6),1,0),IF(AND(AR199&lt;&gt;"",WEEKDAY(AR$1,2)&lt;6),1,0),IF(AND(AT199&lt;&gt;"",WEEKDAY(AT$1,2)&lt;6),1,0),IF(AND(AV199&lt;&gt;"",WEEKDAY(AV$1,2)&lt;6),1,0),IF(AND(AX199&lt;&gt;"",WEEKDAY(AX$1,2)&lt;6),1,0),IF(AND(AZ199&lt;&gt;"",WEEKDAY(AZ$1,2)&lt;6),1,0),IF(AND(BB199&lt;&gt;"",WEEKDAY(BB$1,2)&lt;6),1,0),IF(AND(BD199&lt;&gt;"",WEEKDAY(BD$1,2)&lt;6),1,0),IF(AND(BF199&lt;&gt;"",WEEKDAY(BF$1,2)&lt;6),1,0),IF(AND(BH199&lt;&gt;"",WEEKDAY(BH$1,2)&lt;6),1,0),IF(AND(BJ199&lt;&gt;"",WEEKDAY(BJ$1,2)&lt;6),1,0),IF(AND(BL199&lt;&gt;"",WEEKDAY(BL$1,2)&lt;6),1,0))</f>
        <v>0</v>
      </c>
      <c r="BO199" s="85">
        <f>SUM(IF(AND(E199&lt;&gt;"",WEEKDAY(D$1,2)&lt;6),1,0),IF(AND(G199&lt;&gt;"",WEEKDAY(F$1,2)&lt;6),1,0),IF(AND(I199&lt;&gt;"",WEEKDAY(H$1,2)&lt;6),1,0),IF(AND(K199&lt;&gt;"",WEEKDAY(J$1,2)&lt;6),1,0),IF(AND(M199&lt;&gt;"",WEEKDAY(L$1,2)&lt;6),1,0),IF(AND(O199&lt;&gt;"",WEEKDAY(N$1,2)&lt;6),1,0),IF(AND(Q199&lt;&gt;"",WEEKDAY(P$1,2)&lt;6),1,0),IF(AND(S199&lt;&gt;"",WEEKDAY(R$1,2)&lt;6),1,0),IF(AND(U199&lt;&gt;"",WEEKDAY(T$1,2)&lt;6),1,0),IF(AND(W199&lt;&gt;"",WEEKDAY(V$1,2)&lt;6),1,0),IF(AND(Y199&lt;&gt;"",WEEKDAY(X$1,2)&lt;6),1,0),IF(AND(AA199&lt;&gt;"",WEEKDAY(Z$1,2)&lt;6),1,0),IF(AND(AC199&lt;&gt;"",WEEKDAY(AB$1,2)&lt;6),1,0),IF(AND(AE199&lt;&gt;"",WEEKDAY(AD$1,2)&lt;6),1,0),IF(AND(AG199&lt;&gt;"",WEEKDAY(AF$1,2)&lt;6),1,0),IF(AND(AI199&lt;&gt;"",WEEKDAY(AH$1,2)&lt;6),1,0),IF(AND(AK199&lt;&gt;"",WEEKDAY(AJ$1,2)&lt;6),1,0),IF(AND(AM199&lt;&gt;"",WEEKDAY(AL$1,2)&lt;6),1,0),IF(AND(AO199&lt;&gt;"",WEEKDAY(AN$1,2)&lt;6),1,0),IF(AND(AQ199&lt;&gt;"",WEEKDAY(AP$1,2)&lt;6),1,0),IF(AND(AS199&lt;&gt;"",WEEKDAY(AR$1,2)&lt;6),1,0),IF(AND(AU199&lt;&gt;"",WEEKDAY(AT$1,2)&lt;6),1,0),IF(AND(AW199&lt;&gt;"",WEEKDAY(AV$1,2)&lt;6),1,0),IF(AND(AY199&lt;&gt;"",WEEKDAY(AX$1,2)&lt;6),1,0),IF(AND(BA199&lt;&gt;"",WEEKDAY(AZ$1,2)&lt;6),1,0),IF(AND(BC199&lt;&gt;"",WEEKDAY(BB$1,2)&lt;6),1,0),IF(AND(BE199&lt;&gt;"",WEEKDAY(BD$1,2)&lt;6),1,0),IF(AND(BG199&lt;&gt;"",WEEKDAY(BF$1,2)&lt;6),1,0),IF(AND(BI199&lt;&gt;"",WEEKDAY(BH$1,2)&lt;6),1,0),IF(AND(BK199&lt;&gt;"",WEEKDAY(BJ$1,2)&lt;6),1,0),IF(AND(BM199&lt;&gt;"",WEEKDAY(BL$1,2)&lt;6),1,0))</f>
        <v>0</v>
      </c>
      <c r="BP199" s="85">
        <f>SUM(IF(AND((D199&lt;&gt;"")+(E199&lt;&gt;""),WEEKDAY(D$1,2)=6),1,0),IF(AND((F199&lt;&gt;"")+(G199&lt;&gt;""),WEEKDAY(F$1,2)=6),1,0),IF(AND((H199&lt;&gt;"")+(I199&lt;&gt;""),WEEKDAY(H$1,2)=6),1,0),IF(AND((J199&lt;&gt;"")+(K199&lt;&gt;""),WEEKDAY(J$1,2)=6),1,0),IF(AND((L199&lt;&gt;"")+(M199&lt;&gt;""),WEEKDAY(L$1,2)=6),1,0),IF(AND((N199&lt;&gt;"")+(O199&lt;&gt;""),WEEKDAY(N$1,2)=6),1,0),IF(AND((P199&lt;&gt;"")+(Q199&lt;&gt;""),WEEKDAY(P$1,2)=6),1,0),IF(AND((R199&lt;&gt;"")+(S199&lt;&gt;""),WEEKDAY(R$1,2)=6),1,0),IF(AND((T199&lt;&gt;"")+(U199&lt;&gt;""),WEEKDAY(T$1,2)=6),1,0),IF(AND((V199&lt;&gt;"")+(W199&lt;&gt;""),WEEKDAY(V$1,2)=6),1,0),IF(AND((X199&lt;&gt;"")+(Y199&lt;&gt;""),WEEKDAY(X$1,2)=6),1,0),IF(AND((Z199&lt;&gt;"")+(AA199&lt;&gt;""),WEEKDAY(Z$1,2)=6),1,0),IF(AND((AB199&lt;&gt;"")+(AC199&lt;&gt;""),WEEKDAY(AB$1,2)=6),1,0),IF(AND((AD199&lt;&gt;"")+(AE199&lt;&gt;""),WEEKDAY(AD$1,2)=6),1,0),IF(AND((AF199&lt;&gt;"")+(AG199&lt;&gt;""),WEEKDAY(AF$1,2)=6),1,0),IF(AND((AH199&lt;&gt;"")+(AI199&lt;&gt;""),WEEKDAY(AH$1,2)=6),1,0),IF(AND((AJ199&lt;&gt;"")+(AK199&lt;&gt;""),WEEKDAY(AJ$1,2)=6),1,0),IF(AND((AL199&lt;&gt;"")+(AM199&lt;&gt;""),WEEKDAY(AL$1,2)=6),1,0),IF(AND((AN199&lt;&gt;"")+(AO199&lt;&gt;""),WEEKDAY(AN$1,2)=6),1,0),IF(AND((AP199&lt;&gt;"")+(AQ199&lt;&gt;""),WEEKDAY(AP$1,2)=6),1,0),IF(AND((AR199&lt;&gt;"")+(AS199&lt;&gt;""),WEEKDAY(AR$1,2)=6),1,0),IF(AND((AT199&lt;&gt;"")+(AU199&lt;&gt;""),WEEKDAY(AT$1,2)=6),1,0),IF(AND((AV199&lt;&gt;"")+(AW199&lt;&gt;""),WEEKDAY(AV$1,2)=6),1,0),IF(AND((AX199&lt;&gt;"")+(AY199&lt;&gt;""),WEEKDAY(AX$1,2)=6),1,0),IF(AND((AZ199&lt;&gt;"")+(BA199&lt;&gt;""),WEEKDAY(AZ$1,2)=6),1,0),IF(AND((BB199&lt;&gt;"")+(BC199&lt;&gt;""),WEEKDAY(BB$1,2)=6),1,0),IF(AND((BD199&lt;&gt;"")+(BE199&lt;&gt;""),WEEKDAY(BD$1,2)=6),1,0),IF(AND((BF199&lt;&gt;"")+(BG199&lt;&gt;""),WEEKDAY(BF$1,2)=6),1,0),IF(AND((BH199&lt;&gt;"")+(BI199&lt;&gt;""),WEEKDAY(BH$1,2)=6),1,0),IF(AND((BJ199&lt;&gt;"")+(BK199&lt;&gt;""),WEEKDAY(BJ$1,2)=6),1,0),IF(AND((BL199&lt;&gt;"")+(BM199&lt;&gt;""),WEEKDAY(BL$1,2)=6),1,0))</f>
        <v>0</v>
      </c>
    </row>
    <row r="200" spans="1:68" ht="16.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>
        <f>SUM(IF(AND(D200&lt;&gt;"",WEEKDAY(D$1,2)&lt;6),1,0),IF(AND(F200&lt;&gt;"",WEEKDAY(F$1,2)&lt;6),1,0),IF(AND(H200&lt;&gt;"",WEEKDAY(H$1,2)&lt;6),1,0),IF(AND(J200&lt;&gt;"",WEEKDAY(J$1,2)&lt;6),1,0),IF(AND(L200&lt;&gt;"",WEEKDAY(L$1,2)&lt;6),1,0),IF(AND(N200&lt;&gt;"",WEEKDAY(N$1,2)&lt;6),1,0),IF(AND(P200&lt;&gt;"",WEEKDAY(P$1,2)&lt;6),1,0),IF(AND(R200&lt;&gt;"",WEEKDAY(R$1,2)&lt;6),1,0),IF(AND(T200&lt;&gt;"",WEEKDAY(T$1,2)&lt;6),1,0),IF(AND(V200&lt;&gt;"",WEEKDAY(V$1,2)&lt;6),1,0),IF(AND(X200&lt;&gt;"",WEEKDAY(X$1,2)&lt;6),1,0),IF(AND(Z200&lt;&gt;"",WEEKDAY(Z$1,2)&lt;6),1,0),IF(AND(AB200&lt;&gt;"",WEEKDAY(AB$1,2)&lt;6),1,0),IF(AND(AD200&lt;&gt;"",WEEKDAY(AD$1,2)&lt;6),1,0),IF(AND(AF200&lt;&gt;"",WEEKDAY(AF$1,2)&lt;6),1,0),IF(AND(AH200&lt;&gt;"",WEEKDAY(AH$1,2)&lt;6),1,0),IF(AND(AJ200&lt;&gt;"",WEEKDAY(AJ$1,2)&lt;6),1,0),IF(AND(AL200&lt;&gt;"",WEEKDAY(AL$1,2)&lt;6),1,0),IF(AND(AN200&lt;&gt;"",WEEKDAY(AN$1,2)&lt;6),1,0),IF(AND(AP200&lt;&gt;"",WEEKDAY(AP$1,2)&lt;6),1,0),IF(AND(AR200&lt;&gt;"",WEEKDAY(AR$1,2)&lt;6),1,0),IF(AND(AT200&lt;&gt;"",WEEKDAY(AT$1,2)&lt;6),1,0),IF(AND(AV200&lt;&gt;"",WEEKDAY(AV$1,2)&lt;6),1,0),IF(AND(AX200&lt;&gt;"",WEEKDAY(AX$1,2)&lt;6),1,0),IF(AND(AZ200&lt;&gt;"",WEEKDAY(AZ$1,2)&lt;6),1,0),IF(AND(BB200&lt;&gt;"",WEEKDAY(BB$1,2)&lt;6),1,0),IF(AND(BD200&lt;&gt;"",WEEKDAY(BD$1,2)&lt;6),1,0),IF(AND(BF200&lt;&gt;"",WEEKDAY(BF$1,2)&lt;6),1,0),IF(AND(BH200&lt;&gt;"",WEEKDAY(BH$1,2)&lt;6),1,0),IF(AND(BJ200&lt;&gt;"",WEEKDAY(BJ$1,2)&lt;6),1,0),IF(AND(BL200&lt;&gt;"",WEEKDAY(BL$1,2)&lt;6),1,0))</f>
        <v>0</v>
      </c>
      <c r="BO200" s="85">
        <f>SUM(IF(AND(E200&lt;&gt;"",WEEKDAY(D$1,2)&lt;6),1,0),IF(AND(G200&lt;&gt;"",WEEKDAY(F$1,2)&lt;6),1,0),IF(AND(I200&lt;&gt;"",WEEKDAY(H$1,2)&lt;6),1,0),IF(AND(K200&lt;&gt;"",WEEKDAY(J$1,2)&lt;6),1,0),IF(AND(M200&lt;&gt;"",WEEKDAY(L$1,2)&lt;6),1,0),IF(AND(O200&lt;&gt;"",WEEKDAY(N$1,2)&lt;6),1,0),IF(AND(Q200&lt;&gt;"",WEEKDAY(P$1,2)&lt;6),1,0),IF(AND(S200&lt;&gt;"",WEEKDAY(R$1,2)&lt;6),1,0),IF(AND(U200&lt;&gt;"",WEEKDAY(T$1,2)&lt;6),1,0),IF(AND(W200&lt;&gt;"",WEEKDAY(V$1,2)&lt;6),1,0),IF(AND(Y200&lt;&gt;"",WEEKDAY(X$1,2)&lt;6),1,0),IF(AND(AA200&lt;&gt;"",WEEKDAY(Z$1,2)&lt;6),1,0),IF(AND(AC200&lt;&gt;"",WEEKDAY(AB$1,2)&lt;6),1,0),IF(AND(AE200&lt;&gt;"",WEEKDAY(AD$1,2)&lt;6),1,0),IF(AND(AG200&lt;&gt;"",WEEKDAY(AF$1,2)&lt;6),1,0),IF(AND(AI200&lt;&gt;"",WEEKDAY(AH$1,2)&lt;6),1,0),IF(AND(AK200&lt;&gt;"",WEEKDAY(AJ$1,2)&lt;6),1,0),IF(AND(AM200&lt;&gt;"",WEEKDAY(AL$1,2)&lt;6),1,0),IF(AND(AO200&lt;&gt;"",WEEKDAY(AN$1,2)&lt;6),1,0),IF(AND(AQ200&lt;&gt;"",WEEKDAY(AP$1,2)&lt;6),1,0),IF(AND(AS200&lt;&gt;"",WEEKDAY(AR$1,2)&lt;6),1,0),IF(AND(AU200&lt;&gt;"",WEEKDAY(AT$1,2)&lt;6),1,0),IF(AND(AW200&lt;&gt;"",WEEKDAY(AV$1,2)&lt;6),1,0),IF(AND(AY200&lt;&gt;"",WEEKDAY(AX$1,2)&lt;6),1,0),IF(AND(BA200&lt;&gt;"",WEEKDAY(AZ$1,2)&lt;6),1,0),IF(AND(BC200&lt;&gt;"",WEEKDAY(BB$1,2)&lt;6),1,0),IF(AND(BE200&lt;&gt;"",WEEKDAY(BD$1,2)&lt;6),1,0),IF(AND(BG200&lt;&gt;"",WEEKDAY(BF$1,2)&lt;6),1,0),IF(AND(BI200&lt;&gt;"",WEEKDAY(BH$1,2)&lt;6),1,0),IF(AND(BK200&lt;&gt;"",WEEKDAY(BJ$1,2)&lt;6),1,0),IF(AND(BM200&lt;&gt;"",WEEKDAY(BL$1,2)&lt;6),1,0))</f>
        <v>0</v>
      </c>
      <c r="BP200" s="85">
        <f>SUM(IF(AND((D200&lt;&gt;"")+(E200&lt;&gt;""),WEEKDAY(D$1,2)=6),1,0),IF(AND((F200&lt;&gt;"")+(G200&lt;&gt;""),WEEKDAY(F$1,2)=6),1,0),IF(AND((H200&lt;&gt;"")+(I200&lt;&gt;""),WEEKDAY(H$1,2)=6),1,0),IF(AND((J200&lt;&gt;"")+(K200&lt;&gt;""),WEEKDAY(J$1,2)=6),1,0),IF(AND((L200&lt;&gt;"")+(M200&lt;&gt;""),WEEKDAY(L$1,2)=6),1,0),IF(AND((N200&lt;&gt;"")+(O200&lt;&gt;""),WEEKDAY(N$1,2)=6),1,0),IF(AND((P200&lt;&gt;"")+(Q200&lt;&gt;""),WEEKDAY(P$1,2)=6),1,0),IF(AND((R200&lt;&gt;"")+(S200&lt;&gt;""),WEEKDAY(R$1,2)=6),1,0),IF(AND((T200&lt;&gt;"")+(U200&lt;&gt;""),WEEKDAY(T$1,2)=6),1,0),IF(AND((V200&lt;&gt;"")+(W200&lt;&gt;""),WEEKDAY(V$1,2)=6),1,0),IF(AND((X200&lt;&gt;"")+(Y200&lt;&gt;""),WEEKDAY(X$1,2)=6),1,0),IF(AND((Z200&lt;&gt;"")+(AA200&lt;&gt;""),WEEKDAY(Z$1,2)=6),1,0),IF(AND((AB200&lt;&gt;"")+(AC200&lt;&gt;""),WEEKDAY(AB$1,2)=6),1,0),IF(AND((AD200&lt;&gt;"")+(AE200&lt;&gt;""),WEEKDAY(AD$1,2)=6),1,0),IF(AND((AF200&lt;&gt;"")+(AG200&lt;&gt;""),WEEKDAY(AF$1,2)=6),1,0),IF(AND((AH200&lt;&gt;"")+(AI200&lt;&gt;""),WEEKDAY(AH$1,2)=6),1,0),IF(AND((AJ200&lt;&gt;"")+(AK200&lt;&gt;""),WEEKDAY(AJ$1,2)=6),1,0),IF(AND((AL200&lt;&gt;"")+(AM200&lt;&gt;""),WEEKDAY(AL$1,2)=6),1,0),IF(AND((AN200&lt;&gt;"")+(AO200&lt;&gt;""),WEEKDAY(AN$1,2)=6),1,0),IF(AND((AP200&lt;&gt;"")+(AQ200&lt;&gt;""),WEEKDAY(AP$1,2)=6),1,0),IF(AND((AR200&lt;&gt;"")+(AS200&lt;&gt;""),WEEKDAY(AR$1,2)=6),1,0),IF(AND((AT200&lt;&gt;"")+(AU200&lt;&gt;""),WEEKDAY(AT$1,2)=6),1,0),IF(AND((AV200&lt;&gt;"")+(AW200&lt;&gt;""),WEEKDAY(AV$1,2)=6),1,0),IF(AND((AX200&lt;&gt;"")+(AY200&lt;&gt;""),WEEKDAY(AX$1,2)=6),1,0),IF(AND((AZ200&lt;&gt;"")+(BA200&lt;&gt;""),WEEKDAY(AZ$1,2)=6),1,0),IF(AND((BB200&lt;&gt;"")+(BC200&lt;&gt;""),WEEKDAY(BB$1,2)=6),1,0),IF(AND((BD200&lt;&gt;"")+(BE200&lt;&gt;""),WEEKDAY(BD$1,2)=6),1,0),IF(AND((BF200&lt;&gt;"")+(BG200&lt;&gt;""),WEEKDAY(BF$1,2)=6),1,0),IF(AND((BH200&lt;&gt;"")+(BI200&lt;&gt;""),WEEKDAY(BH$1,2)=6),1,0),IF(AND((BJ200&lt;&gt;"")+(BK200&lt;&gt;""),WEEKDAY(BJ$1,2)=6),1,0),IF(AND((BL200&lt;&gt;"")+(BM200&lt;&gt;""),WEEKDAY(BL$1,2)=6),1,0))</f>
        <v>0</v>
      </c>
    </row>
    <row r="201" spans="1:68" ht="16.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>
        <f>SUM(IF(AND(D201&lt;&gt;"",WEEKDAY(D$1,2)&lt;6),1,0),IF(AND(F201&lt;&gt;"",WEEKDAY(F$1,2)&lt;6),1,0),IF(AND(H201&lt;&gt;"",WEEKDAY(H$1,2)&lt;6),1,0),IF(AND(J201&lt;&gt;"",WEEKDAY(J$1,2)&lt;6),1,0),IF(AND(L201&lt;&gt;"",WEEKDAY(L$1,2)&lt;6),1,0),IF(AND(N201&lt;&gt;"",WEEKDAY(N$1,2)&lt;6),1,0),IF(AND(P201&lt;&gt;"",WEEKDAY(P$1,2)&lt;6),1,0),IF(AND(R201&lt;&gt;"",WEEKDAY(R$1,2)&lt;6),1,0),IF(AND(T201&lt;&gt;"",WEEKDAY(T$1,2)&lt;6),1,0),IF(AND(V201&lt;&gt;"",WEEKDAY(V$1,2)&lt;6),1,0),IF(AND(X201&lt;&gt;"",WEEKDAY(X$1,2)&lt;6),1,0),IF(AND(Z201&lt;&gt;"",WEEKDAY(Z$1,2)&lt;6),1,0),IF(AND(AB201&lt;&gt;"",WEEKDAY(AB$1,2)&lt;6),1,0),IF(AND(AD201&lt;&gt;"",WEEKDAY(AD$1,2)&lt;6),1,0),IF(AND(AF201&lt;&gt;"",WEEKDAY(AF$1,2)&lt;6),1,0),IF(AND(AH201&lt;&gt;"",WEEKDAY(AH$1,2)&lt;6),1,0),IF(AND(AJ201&lt;&gt;"",WEEKDAY(AJ$1,2)&lt;6),1,0),IF(AND(AL201&lt;&gt;"",WEEKDAY(AL$1,2)&lt;6),1,0),IF(AND(AN201&lt;&gt;"",WEEKDAY(AN$1,2)&lt;6),1,0),IF(AND(AP201&lt;&gt;"",WEEKDAY(AP$1,2)&lt;6),1,0),IF(AND(AR201&lt;&gt;"",WEEKDAY(AR$1,2)&lt;6),1,0),IF(AND(AT201&lt;&gt;"",WEEKDAY(AT$1,2)&lt;6),1,0),IF(AND(AV201&lt;&gt;"",WEEKDAY(AV$1,2)&lt;6),1,0),IF(AND(AX201&lt;&gt;"",WEEKDAY(AX$1,2)&lt;6),1,0),IF(AND(AZ201&lt;&gt;"",WEEKDAY(AZ$1,2)&lt;6),1,0),IF(AND(BB201&lt;&gt;"",WEEKDAY(BB$1,2)&lt;6),1,0),IF(AND(BD201&lt;&gt;"",WEEKDAY(BD$1,2)&lt;6),1,0),IF(AND(BF201&lt;&gt;"",WEEKDAY(BF$1,2)&lt;6),1,0),IF(AND(BH201&lt;&gt;"",WEEKDAY(BH$1,2)&lt;6),1,0),IF(AND(BJ201&lt;&gt;"",WEEKDAY(BJ$1,2)&lt;6),1,0),IF(AND(BL201&lt;&gt;"",WEEKDAY(BL$1,2)&lt;6),1,0))</f>
        <v>0</v>
      </c>
      <c r="BO201" s="85">
        <f>SUM(IF(AND(E201&lt;&gt;"",WEEKDAY(D$1,2)&lt;6),1,0),IF(AND(G201&lt;&gt;"",WEEKDAY(F$1,2)&lt;6),1,0),IF(AND(I201&lt;&gt;"",WEEKDAY(H$1,2)&lt;6),1,0),IF(AND(K201&lt;&gt;"",WEEKDAY(J$1,2)&lt;6),1,0),IF(AND(M201&lt;&gt;"",WEEKDAY(L$1,2)&lt;6),1,0),IF(AND(O201&lt;&gt;"",WEEKDAY(N$1,2)&lt;6),1,0),IF(AND(Q201&lt;&gt;"",WEEKDAY(P$1,2)&lt;6),1,0),IF(AND(S201&lt;&gt;"",WEEKDAY(R$1,2)&lt;6),1,0),IF(AND(U201&lt;&gt;"",WEEKDAY(T$1,2)&lt;6),1,0),IF(AND(W201&lt;&gt;"",WEEKDAY(V$1,2)&lt;6),1,0),IF(AND(Y201&lt;&gt;"",WEEKDAY(X$1,2)&lt;6),1,0),IF(AND(AA201&lt;&gt;"",WEEKDAY(Z$1,2)&lt;6),1,0),IF(AND(AC201&lt;&gt;"",WEEKDAY(AB$1,2)&lt;6),1,0),IF(AND(AE201&lt;&gt;"",WEEKDAY(AD$1,2)&lt;6),1,0),IF(AND(AG201&lt;&gt;"",WEEKDAY(AF$1,2)&lt;6),1,0),IF(AND(AI201&lt;&gt;"",WEEKDAY(AH$1,2)&lt;6),1,0),IF(AND(AK201&lt;&gt;"",WEEKDAY(AJ$1,2)&lt;6),1,0),IF(AND(AM201&lt;&gt;"",WEEKDAY(AL$1,2)&lt;6),1,0),IF(AND(AO201&lt;&gt;"",WEEKDAY(AN$1,2)&lt;6),1,0),IF(AND(AQ201&lt;&gt;"",WEEKDAY(AP$1,2)&lt;6),1,0),IF(AND(AS201&lt;&gt;"",WEEKDAY(AR$1,2)&lt;6),1,0),IF(AND(AU201&lt;&gt;"",WEEKDAY(AT$1,2)&lt;6),1,0),IF(AND(AW201&lt;&gt;"",WEEKDAY(AV$1,2)&lt;6),1,0),IF(AND(AY201&lt;&gt;"",WEEKDAY(AX$1,2)&lt;6),1,0),IF(AND(BA201&lt;&gt;"",WEEKDAY(AZ$1,2)&lt;6),1,0),IF(AND(BC201&lt;&gt;"",WEEKDAY(BB$1,2)&lt;6),1,0),IF(AND(BE201&lt;&gt;"",WEEKDAY(BD$1,2)&lt;6),1,0),IF(AND(BG201&lt;&gt;"",WEEKDAY(BF$1,2)&lt;6),1,0),IF(AND(BI201&lt;&gt;"",WEEKDAY(BH$1,2)&lt;6),1,0),IF(AND(BK201&lt;&gt;"",WEEKDAY(BJ$1,2)&lt;6),1,0),IF(AND(BM201&lt;&gt;"",WEEKDAY(BL$1,2)&lt;6),1,0))</f>
        <v>0</v>
      </c>
      <c r="BP201" s="85">
        <f>SUM(IF(AND((D201&lt;&gt;"")+(E201&lt;&gt;""),WEEKDAY(D$1,2)=6),1,0),IF(AND((F201&lt;&gt;"")+(G201&lt;&gt;""),WEEKDAY(F$1,2)=6),1,0),IF(AND((H201&lt;&gt;"")+(I201&lt;&gt;""),WEEKDAY(H$1,2)=6),1,0),IF(AND((J201&lt;&gt;"")+(K201&lt;&gt;""),WEEKDAY(J$1,2)=6),1,0),IF(AND((L201&lt;&gt;"")+(M201&lt;&gt;""),WEEKDAY(L$1,2)=6),1,0),IF(AND((N201&lt;&gt;"")+(O201&lt;&gt;""),WEEKDAY(N$1,2)=6),1,0),IF(AND((P201&lt;&gt;"")+(Q201&lt;&gt;""),WEEKDAY(P$1,2)=6),1,0),IF(AND((R201&lt;&gt;"")+(S201&lt;&gt;""),WEEKDAY(R$1,2)=6),1,0),IF(AND((T201&lt;&gt;"")+(U201&lt;&gt;""),WEEKDAY(T$1,2)=6),1,0),IF(AND((V201&lt;&gt;"")+(W201&lt;&gt;""),WEEKDAY(V$1,2)=6),1,0),IF(AND((X201&lt;&gt;"")+(Y201&lt;&gt;""),WEEKDAY(X$1,2)=6),1,0),IF(AND((Z201&lt;&gt;"")+(AA201&lt;&gt;""),WEEKDAY(Z$1,2)=6),1,0),IF(AND((AB201&lt;&gt;"")+(AC201&lt;&gt;""),WEEKDAY(AB$1,2)=6),1,0),IF(AND((AD201&lt;&gt;"")+(AE201&lt;&gt;""),WEEKDAY(AD$1,2)=6),1,0),IF(AND((AF201&lt;&gt;"")+(AG201&lt;&gt;""),WEEKDAY(AF$1,2)=6),1,0),IF(AND((AH201&lt;&gt;"")+(AI201&lt;&gt;""),WEEKDAY(AH$1,2)=6),1,0),IF(AND((AJ201&lt;&gt;"")+(AK201&lt;&gt;""),WEEKDAY(AJ$1,2)=6),1,0),IF(AND((AL201&lt;&gt;"")+(AM201&lt;&gt;""),WEEKDAY(AL$1,2)=6),1,0),IF(AND((AN201&lt;&gt;"")+(AO201&lt;&gt;""),WEEKDAY(AN$1,2)=6),1,0),IF(AND((AP201&lt;&gt;"")+(AQ201&lt;&gt;""),WEEKDAY(AP$1,2)=6),1,0),IF(AND((AR201&lt;&gt;"")+(AS201&lt;&gt;""),WEEKDAY(AR$1,2)=6),1,0),IF(AND((AT201&lt;&gt;"")+(AU201&lt;&gt;""),WEEKDAY(AT$1,2)=6),1,0),IF(AND((AV201&lt;&gt;"")+(AW201&lt;&gt;""),WEEKDAY(AV$1,2)=6),1,0),IF(AND((AX201&lt;&gt;"")+(AY201&lt;&gt;""),WEEKDAY(AX$1,2)=6),1,0),IF(AND((AZ201&lt;&gt;"")+(BA201&lt;&gt;""),WEEKDAY(AZ$1,2)=6),1,0),IF(AND((BB201&lt;&gt;"")+(BC201&lt;&gt;""),WEEKDAY(BB$1,2)=6),1,0),IF(AND((BD201&lt;&gt;"")+(BE201&lt;&gt;""),WEEKDAY(BD$1,2)=6),1,0),IF(AND((BF201&lt;&gt;"")+(BG201&lt;&gt;""),WEEKDAY(BF$1,2)=6),1,0),IF(AND((BH201&lt;&gt;"")+(BI201&lt;&gt;""),WEEKDAY(BH$1,2)=6),1,0),IF(AND((BJ201&lt;&gt;"")+(BK201&lt;&gt;""),WEEKDAY(BJ$1,2)=6),1,0),IF(AND((BL201&lt;&gt;"")+(BM201&lt;&gt;""),WEEKDAY(BL$1,2)=6),1,0))</f>
        <v>0</v>
      </c>
    </row>
    <row r="202" spans="1:68" ht="16.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>
        <f>SUM(IF(AND(D202&lt;&gt;"",WEEKDAY(D$1,2)&lt;6),1,0),IF(AND(F202&lt;&gt;"",WEEKDAY(F$1,2)&lt;6),1,0),IF(AND(H202&lt;&gt;"",WEEKDAY(H$1,2)&lt;6),1,0),IF(AND(J202&lt;&gt;"",WEEKDAY(J$1,2)&lt;6),1,0),IF(AND(L202&lt;&gt;"",WEEKDAY(L$1,2)&lt;6),1,0),IF(AND(N202&lt;&gt;"",WEEKDAY(N$1,2)&lt;6),1,0),IF(AND(P202&lt;&gt;"",WEEKDAY(P$1,2)&lt;6),1,0),IF(AND(R202&lt;&gt;"",WEEKDAY(R$1,2)&lt;6),1,0),IF(AND(T202&lt;&gt;"",WEEKDAY(T$1,2)&lt;6),1,0),IF(AND(V202&lt;&gt;"",WEEKDAY(V$1,2)&lt;6),1,0),IF(AND(X202&lt;&gt;"",WEEKDAY(X$1,2)&lt;6),1,0),IF(AND(Z202&lt;&gt;"",WEEKDAY(Z$1,2)&lt;6),1,0),IF(AND(AB202&lt;&gt;"",WEEKDAY(AB$1,2)&lt;6),1,0),IF(AND(AD202&lt;&gt;"",WEEKDAY(AD$1,2)&lt;6),1,0),IF(AND(AF202&lt;&gt;"",WEEKDAY(AF$1,2)&lt;6),1,0),IF(AND(AH202&lt;&gt;"",WEEKDAY(AH$1,2)&lt;6),1,0),IF(AND(AJ202&lt;&gt;"",WEEKDAY(AJ$1,2)&lt;6),1,0),IF(AND(AL202&lt;&gt;"",WEEKDAY(AL$1,2)&lt;6),1,0),IF(AND(AN202&lt;&gt;"",WEEKDAY(AN$1,2)&lt;6),1,0),IF(AND(AP202&lt;&gt;"",WEEKDAY(AP$1,2)&lt;6),1,0),IF(AND(AR202&lt;&gt;"",WEEKDAY(AR$1,2)&lt;6),1,0),IF(AND(AT202&lt;&gt;"",WEEKDAY(AT$1,2)&lt;6),1,0),IF(AND(AV202&lt;&gt;"",WEEKDAY(AV$1,2)&lt;6),1,0),IF(AND(AX202&lt;&gt;"",WEEKDAY(AX$1,2)&lt;6),1,0),IF(AND(AZ202&lt;&gt;"",WEEKDAY(AZ$1,2)&lt;6),1,0),IF(AND(BB202&lt;&gt;"",WEEKDAY(BB$1,2)&lt;6),1,0),IF(AND(BD202&lt;&gt;"",WEEKDAY(BD$1,2)&lt;6),1,0),IF(AND(BF202&lt;&gt;"",WEEKDAY(BF$1,2)&lt;6),1,0),IF(AND(BH202&lt;&gt;"",WEEKDAY(BH$1,2)&lt;6),1,0),IF(AND(BJ202&lt;&gt;"",WEEKDAY(BJ$1,2)&lt;6),1,0),IF(AND(BL202&lt;&gt;"",WEEKDAY(BL$1,2)&lt;6),1,0))</f>
        <v>0</v>
      </c>
      <c r="BO202" s="85">
        <f>SUM(IF(AND(E202&lt;&gt;"",WEEKDAY(D$1,2)&lt;6),1,0),IF(AND(G202&lt;&gt;"",WEEKDAY(F$1,2)&lt;6),1,0),IF(AND(I202&lt;&gt;"",WEEKDAY(H$1,2)&lt;6),1,0),IF(AND(K202&lt;&gt;"",WEEKDAY(J$1,2)&lt;6),1,0),IF(AND(M202&lt;&gt;"",WEEKDAY(L$1,2)&lt;6),1,0),IF(AND(O202&lt;&gt;"",WEEKDAY(N$1,2)&lt;6),1,0),IF(AND(Q202&lt;&gt;"",WEEKDAY(P$1,2)&lt;6),1,0),IF(AND(S202&lt;&gt;"",WEEKDAY(R$1,2)&lt;6),1,0),IF(AND(U202&lt;&gt;"",WEEKDAY(T$1,2)&lt;6),1,0),IF(AND(W202&lt;&gt;"",WEEKDAY(V$1,2)&lt;6),1,0),IF(AND(Y202&lt;&gt;"",WEEKDAY(X$1,2)&lt;6),1,0),IF(AND(AA202&lt;&gt;"",WEEKDAY(Z$1,2)&lt;6),1,0),IF(AND(AC202&lt;&gt;"",WEEKDAY(AB$1,2)&lt;6),1,0),IF(AND(AE202&lt;&gt;"",WEEKDAY(AD$1,2)&lt;6),1,0),IF(AND(AG202&lt;&gt;"",WEEKDAY(AF$1,2)&lt;6),1,0),IF(AND(AI202&lt;&gt;"",WEEKDAY(AH$1,2)&lt;6),1,0),IF(AND(AK202&lt;&gt;"",WEEKDAY(AJ$1,2)&lt;6),1,0),IF(AND(AM202&lt;&gt;"",WEEKDAY(AL$1,2)&lt;6),1,0),IF(AND(AO202&lt;&gt;"",WEEKDAY(AN$1,2)&lt;6),1,0),IF(AND(AQ202&lt;&gt;"",WEEKDAY(AP$1,2)&lt;6),1,0),IF(AND(AS202&lt;&gt;"",WEEKDAY(AR$1,2)&lt;6),1,0),IF(AND(AU202&lt;&gt;"",WEEKDAY(AT$1,2)&lt;6),1,0),IF(AND(AW202&lt;&gt;"",WEEKDAY(AV$1,2)&lt;6),1,0),IF(AND(AY202&lt;&gt;"",WEEKDAY(AX$1,2)&lt;6),1,0),IF(AND(BA202&lt;&gt;"",WEEKDAY(AZ$1,2)&lt;6),1,0),IF(AND(BC202&lt;&gt;"",WEEKDAY(BB$1,2)&lt;6),1,0),IF(AND(BE202&lt;&gt;"",WEEKDAY(BD$1,2)&lt;6),1,0),IF(AND(BG202&lt;&gt;"",WEEKDAY(BF$1,2)&lt;6),1,0),IF(AND(BI202&lt;&gt;"",WEEKDAY(BH$1,2)&lt;6),1,0),IF(AND(BK202&lt;&gt;"",WEEKDAY(BJ$1,2)&lt;6),1,0),IF(AND(BM202&lt;&gt;"",WEEKDAY(BL$1,2)&lt;6),1,0))</f>
        <v>0</v>
      </c>
      <c r="BP202" s="85">
        <f>SUM(IF(AND((D202&lt;&gt;"")+(E202&lt;&gt;""),WEEKDAY(D$1,2)=6),1,0),IF(AND((F202&lt;&gt;"")+(G202&lt;&gt;""),WEEKDAY(F$1,2)=6),1,0),IF(AND((H202&lt;&gt;"")+(I202&lt;&gt;""),WEEKDAY(H$1,2)=6),1,0),IF(AND((J202&lt;&gt;"")+(K202&lt;&gt;""),WEEKDAY(J$1,2)=6),1,0),IF(AND((L202&lt;&gt;"")+(M202&lt;&gt;""),WEEKDAY(L$1,2)=6),1,0),IF(AND((N202&lt;&gt;"")+(O202&lt;&gt;""),WEEKDAY(N$1,2)=6),1,0),IF(AND((P202&lt;&gt;"")+(Q202&lt;&gt;""),WEEKDAY(P$1,2)=6),1,0),IF(AND((R202&lt;&gt;"")+(S202&lt;&gt;""),WEEKDAY(R$1,2)=6),1,0),IF(AND((T202&lt;&gt;"")+(U202&lt;&gt;""),WEEKDAY(T$1,2)=6),1,0),IF(AND((V202&lt;&gt;"")+(W202&lt;&gt;""),WEEKDAY(V$1,2)=6),1,0),IF(AND((X202&lt;&gt;"")+(Y202&lt;&gt;""),WEEKDAY(X$1,2)=6),1,0),IF(AND((Z202&lt;&gt;"")+(AA202&lt;&gt;""),WEEKDAY(Z$1,2)=6),1,0),IF(AND((AB202&lt;&gt;"")+(AC202&lt;&gt;""),WEEKDAY(AB$1,2)=6),1,0),IF(AND((AD202&lt;&gt;"")+(AE202&lt;&gt;""),WEEKDAY(AD$1,2)=6),1,0),IF(AND((AF202&lt;&gt;"")+(AG202&lt;&gt;""),WEEKDAY(AF$1,2)=6),1,0),IF(AND((AH202&lt;&gt;"")+(AI202&lt;&gt;""),WEEKDAY(AH$1,2)=6),1,0),IF(AND((AJ202&lt;&gt;"")+(AK202&lt;&gt;""),WEEKDAY(AJ$1,2)=6),1,0),IF(AND((AL202&lt;&gt;"")+(AM202&lt;&gt;""),WEEKDAY(AL$1,2)=6),1,0),IF(AND((AN202&lt;&gt;"")+(AO202&lt;&gt;""),WEEKDAY(AN$1,2)=6),1,0),IF(AND((AP202&lt;&gt;"")+(AQ202&lt;&gt;""),WEEKDAY(AP$1,2)=6),1,0),IF(AND((AR202&lt;&gt;"")+(AS202&lt;&gt;""),WEEKDAY(AR$1,2)=6),1,0),IF(AND((AT202&lt;&gt;"")+(AU202&lt;&gt;""),WEEKDAY(AT$1,2)=6),1,0),IF(AND((AV202&lt;&gt;"")+(AW202&lt;&gt;""),WEEKDAY(AV$1,2)=6),1,0),IF(AND((AX202&lt;&gt;"")+(AY202&lt;&gt;""),WEEKDAY(AX$1,2)=6),1,0),IF(AND((AZ202&lt;&gt;"")+(BA202&lt;&gt;""),WEEKDAY(AZ$1,2)=6),1,0),IF(AND((BB202&lt;&gt;"")+(BC202&lt;&gt;""),WEEKDAY(BB$1,2)=6),1,0),IF(AND((BD202&lt;&gt;"")+(BE202&lt;&gt;""),WEEKDAY(BD$1,2)=6),1,0),IF(AND((BF202&lt;&gt;"")+(BG202&lt;&gt;""),WEEKDAY(BF$1,2)=6),1,0),IF(AND((BH202&lt;&gt;"")+(BI202&lt;&gt;""),WEEKDAY(BH$1,2)=6),1,0),IF(AND((BJ202&lt;&gt;"")+(BK202&lt;&gt;""),WEEKDAY(BJ$1,2)=6),1,0),IF(AND((BL202&lt;&gt;"")+(BM202&lt;&gt;""),WEEKDAY(BL$1,2)=6),1,0))</f>
        <v>0</v>
      </c>
    </row>
  </sheetData>
  <autoFilter ref="A1:BP202" xr:uid="{602CD5DF-FD49-4D29-A426-FB6465A96CAD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7">
    <mergeCell ref="BP1:BP2"/>
    <mergeCell ref="BL1:BM1"/>
    <mergeCell ref="A1:A2"/>
    <mergeCell ref="B1:B2"/>
    <mergeCell ref="C1:C2"/>
    <mergeCell ref="BN1:BN2"/>
    <mergeCell ref="BO1:BO2"/>
    <mergeCell ref="AZ1:BA1"/>
    <mergeCell ref="BB1:BC1"/>
    <mergeCell ref="BD1:BE1"/>
    <mergeCell ref="BF1:BG1"/>
    <mergeCell ref="BH1:BI1"/>
    <mergeCell ref="BJ1:BK1"/>
    <mergeCell ref="AN1:AO1"/>
    <mergeCell ref="AP1:AQ1"/>
    <mergeCell ref="AR1:AS1"/>
    <mergeCell ref="AT1:AU1"/>
    <mergeCell ref="AV1:AW1"/>
    <mergeCell ref="AX1:AY1"/>
    <mergeCell ref="AB1:AC1"/>
    <mergeCell ref="AD1:AE1"/>
    <mergeCell ref="AF1:AG1"/>
    <mergeCell ref="AH1:AI1"/>
    <mergeCell ref="AJ1:AK1"/>
    <mergeCell ref="AL1:AM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CE18-B4A9-41BB-BCB4-6AA9A678E838}">
  <dimension ref="A1:BQ102"/>
  <sheetViews>
    <sheetView workbookViewId="0">
      <pane xSplit="3" ySplit="1" topLeftCell="D2" activePane="bottomRight" state="frozen"/>
      <selection pane="bottomRight" activeCell="X108" sqref="X108"/>
      <selection pane="bottomLeft" activeCell="A2" sqref="A2"/>
      <selection pane="topRight" activeCell="D1" sqref="D1"/>
    </sheetView>
  </sheetViews>
  <sheetFormatPr defaultColWidth="8.7109375" defaultRowHeight="15"/>
  <cols>
    <col min="1" max="1" width="17.85546875" customWidth="1"/>
    <col min="2" max="2" width="37.5703125" customWidth="1"/>
    <col min="3" max="3" width="46.140625" customWidth="1"/>
    <col min="4" max="8" width="9.140625"/>
    <col min="9" max="9" width="20" customWidth="1"/>
  </cols>
  <sheetData>
    <row r="1" spans="1:69" ht="14.45" customHeight="1">
      <c r="A1" s="408" t="s">
        <v>589</v>
      </c>
      <c r="B1" s="408" t="s">
        <v>590</v>
      </c>
      <c r="C1" s="408" t="s">
        <v>591</v>
      </c>
      <c r="D1" s="410" t="s">
        <v>647</v>
      </c>
      <c r="E1" s="411"/>
      <c r="F1" s="407" t="s">
        <v>648</v>
      </c>
      <c r="G1" s="407"/>
      <c r="H1" s="412">
        <v>46145</v>
      </c>
      <c r="I1" s="412"/>
      <c r="J1" s="413" t="s">
        <v>649</v>
      </c>
      <c r="K1" s="413"/>
      <c r="L1" s="413" t="s">
        <v>650</v>
      </c>
      <c r="M1" s="413"/>
      <c r="N1" s="413" t="s">
        <v>651</v>
      </c>
      <c r="O1" s="413"/>
      <c r="P1" s="413" t="s">
        <v>652</v>
      </c>
      <c r="Q1" s="413"/>
      <c r="R1" s="413" t="s">
        <v>653</v>
      </c>
      <c r="S1" s="413"/>
      <c r="T1" s="407" t="s">
        <v>654</v>
      </c>
      <c r="U1" s="407"/>
      <c r="V1" s="414" t="s">
        <v>655</v>
      </c>
      <c r="W1" s="414"/>
      <c r="X1" s="413" t="s">
        <v>656</v>
      </c>
      <c r="Y1" s="413"/>
      <c r="Z1" s="413" t="s">
        <v>657</v>
      </c>
      <c r="AA1" s="413"/>
      <c r="AB1" s="413" t="s">
        <v>658</v>
      </c>
      <c r="AC1" s="413"/>
      <c r="AD1" s="413" t="s">
        <v>659</v>
      </c>
      <c r="AE1" s="413"/>
      <c r="AF1" s="413" t="s">
        <v>660</v>
      </c>
      <c r="AG1" s="413"/>
      <c r="AH1" s="407" t="s">
        <v>661</v>
      </c>
      <c r="AI1" s="407"/>
      <c r="AJ1" s="149" t="s">
        <v>662</v>
      </c>
      <c r="AK1" s="149"/>
      <c r="AL1" s="149" t="s">
        <v>663</v>
      </c>
      <c r="AM1" s="149"/>
      <c r="AN1" s="149" t="s">
        <v>664</v>
      </c>
      <c r="AO1" s="149"/>
      <c r="AP1" s="149" t="s">
        <v>665</v>
      </c>
      <c r="AQ1" s="149"/>
      <c r="AR1" s="149" t="s">
        <v>666</v>
      </c>
      <c r="AS1" s="149"/>
      <c r="AT1" s="149" t="s">
        <v>667</v>
      </c>
      <c r="AU1" s="149"/>
      <c r="AV1" s="149" t="s">
        <v>668</v>
      </c>
      <c r="AW1" s="149"/>
      <c r="AX1" s="149" t="s">
        <v>669</v>
      </c>
      <c r="AY1" s="149"/>
      <c r="AZ1" s="149" t="s">
        <v>670</v>
      </c>
      <c r="BA1" s="149"/>
      <c r="BB1" s="149" t="s">
        <v>671</v>
      </c>
      <c r="BC1" s="149"/>
      <c r="BD1" s="149" t="s">
        <v>672</v>
      </c>
      <c r="BE1" s="149"/>
      <c r="BF1" s="149" t="s">
        <v>673</v>
      </c>
      <c r="BG1" s="149"/>
      <c r="BH1" s="149" t="s">
        <v>674</v>
      </c>
      <c r="BI1" s="149"/>
      <c r="BJ1" s="149" t="s">
        <v>675</v>
      </c>
      <c r="BK1" s="149"/>
      <c r="BL1" s="149" t="s">
        <v>676</v>
      </c>
      <c r="BM1" s="149"/>
      <c r="BN1" s="149" t="s">
        <v>637</v>
      </c>
      <c r="BO1" s="149" t="s">
        <v>638</v>
      </c>
      <c r="BP1" s="149" t="s">
        <v>639</v>
      </c>
      <c r="BQ1" s="149"/>
    </row>
    <row r="2" spans="1:69" ht="14.45" customHeight="1">
      <c r="A2" s="409"/>
      <c r="B2" s="409"/>
      <c r="C2" s="409"/>
      <c r="D2" s="145" t="s">
        <v>3</v>
      </c>
      <c r="E2" s="145" t="s">
        <v>4</v>
      </c>
      <c r="F2" s="146" t="s">
        <v>3</v>
      </c>
      <c r="G2" s="146" t="s">
        <v>4</v>
      </c>
      <c r="H2" s="148" t="s">
        <v>3</v>
      </c>
      <c r="I2" s="148" t="s">
        <v>4</v>
      </c>
      <c r="J2" s="147" t="s">
        <v>3</v>
      </c>
      <c r="K2" s="147" t="s">
        <v>4</v>
      </c>
      <c r="L2" s="147" t="s">
        <v>3</v>
      </c>
      <c r="M2" s="147" t="s">
        <v>4</v>
      </c>
      <c r="N2" s="147" t="s">
        <v>3</v>
      </c>
      <c r="O2" s="147" t="s">
        <v>4</v>
      </c>
      <c r="P2" s="147" t="s">
        <v>3</v>
      </c>
      <c r="Q2" s="147" t="s">
        <v>4</v>
      </c>
      <c r="R2" s="147" t="s">
        <v>3</v>
      </c>
      <c r="S2" s="147" t="s">
        <v>4</v>
      </c>
      <c r="T2" s="146" t="s">
        <v>3</v>
      </c>
      <c r="U2" s="146" t="s">
        <v>4</v>
      </c>
      <c r="V2" s="148" t="s">
        <v>3</v>
      </c>
      <c r="W2" s="148" t="s">
        <v>4</v>
      </c>
      <c r="X2" s="147" t="s">
        <v>3</v>
      </c>
      <c r="Y2" s="147" t="s">
        <v>4</v>
      </c>
      <c r="Z2" s="147" t="s">
        <v>3</v>
      </c>
      <c r="AA2" s="147" t="s">
        <v>4</v>
      </c>
      <c r="AB2" s="147" t="s">
        <v>3</v>
      </c>
      <c r="AC2" s="147" t="s">
        <v>4</v>
      </c>
      <c r="AD2" s="147" t="s">
        <v>3</v>
      </c>
      <c r="AE2" s="147" t="s">
        <v>4</v>
      </c>
      <c r="AF2" s="147" t="s">
        <v>3</v>
      </c>
      <c r="AG2" s="147" t="s">
        <v>4</v>
      </c>
      <c r="AH2" s="146" t="s">
        <v>3</v>
      </c>
      <c r="AI2" s="146" t="s">
        <v>4</v>
      </c>
      <c r="AJ2" s="149" t="s">
        <v>3</v>
      </c>
      <c r="AK2" s="149" t="s">
        <v>4</v>
      </c>
      <c r="AL2" s="149" t="s">
        <v>3</v>
      </c>
      <c r="AM2" s="149" t="s">
        <v>4</v>
      </c>
      <c r="AN2" s="149" t="s">
        <v>3</v>
      </c>
      <c r="AO2" s="149" t="s">
        <v>4</v>
      </c>
      <c r="AP2" s="149" t="s">
        <v>3</v>
      </c>
      <c r="AQ2" s="149" t="s">
        <v>4</v>
      </c>
      <c r="AR2" s="149" t="s">
        <v>3</v>
      </c>
      <c r="AS2" s="149" t="s">
        <v>4</v>
      </c>
      <c r="AT2" s="149" t="s">
        <v>3</v>
      </c>
      <c r="AU2" s="149" t="s">
        <v>4</v>
      </c>
      <c r="AV2" s="149" t="s">
        <v>3</v>
      </c>
      <c r="AW2" s="149" t="s">
        <v>4</v>
      </c>
      <c r="AX2" s="149" t="s">
        <v>3</v>
      </c>
      <c r="AY2" s="149" t="s">
        <v>4</v>
      </c>
      <c r="AZ2" s="149" t="s">
        <v>3</v>
      </c>
      <c r="BA2" s="149" t="s">
        <v>4</v>
      </c>
      <c r="BB2" s="149" t="s">
        <v>3</v>
      </c>
      <c r="BC2" s="149" t="s">
        <v>4</v>
      </c>
      <c r="BD2" s="149" t="s">
        <v>3</v>
      </c>
      <c r="BE2" s="149" t="s">
        <v>4</v>
      </c>
      <c r="BF2" s="149" t="s">
        <v>3</v>
      </c>
      <c r="BG2" s="149" t="s">
        <v>4</v>
      </c>
      <c r="BH2" s="149" t="s">
        <v>3</v>
      </c>
      <c r="BI2" s="149" t="s">
        <v>4</v>
      </c>
      <c r="BJ2" s="149" t="s">
        <v>3</v>
      </c>
      <c r="BK2" s="149" t="s">
        <v>4</v>
      </c>
      <c r="BL2" s="149" t="s">
        <v>3</v>
      </c>
      <c r="BM2" s="149" t="s">
        <v>4</v>
      </c>
      <c r="BN2" s="149"/>
      <c r="BO2" s="149"/>
      <c r="BP2" s="149"/>
      <c r="BQ2" s="149"/>
    </row>
    <row r="3" spans="1:69" ht="16.5">
      <c r="A3" s="150" t="s">
        <v>5</v>
      </c>
      <c r="B3" s="150" t="s">
        <v>6</v>
      </c>
      <c r="C3" s="151" t="s">
        <v>7</v>
      </c>
      <c r="D3" s="152"/>
      <c r="E3" s="153"/>
      <c r="F3" s="154"/>
      <c r="G3" s="155"/>
      <c r="H3" s="156"/>
      <c r="I3" s="156"/>
      <c r="J3" s="157">
        <v>0.35694444444444445</v>
      </c>
      <c r="K3" s="157">
        <v>0.18263888888888888</v>
      </c>
      <c r="L3" s="149"/>
      <c r="M3" s="157">
        <v>0.1673611111111111</v>
      </c>
      <c r="N3" s="157">
        <v>0.35555555555555557</v>
      </c>
      <c r="O3" s="157">
        <v>0.18124999999999999</v>
      </c>
      <c r="P3" s="157">
        <v>0.36458333333333331</v>
      </c>
      <c r="Q3" s="157">
        <v>0.17291666666666666</v>
      </c>
      <c r="R3" s="157">
        <v>0.35625000000000001</v>
      </c>
      <c r="S3" s="157">
        <v>0.16388888888888889</v>
      </c>
      <c r="T3" s="155"/>
      <c r="U3" s="155"/>
      <c r="V3" s="156"/>
      <c r="W3" s="156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55"/>
      <c r="AI3" s="155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>
        <f t="shared" ref="BN3:BO14" si="0">COUNTA(D3,H3,J3,L3,N3,P3,R3,V3,X3,Z3,AB3,AD3,AF3,AJ3,AL3,AN3,AP3,AR3,AT3,AX3,AZ3,BB3,BD3,BF3,BH3,BL3)</f>
        <v>4</v>
      </c>
      <c r="BO3" s="149">
        <f t="shared" si="0"/>
        <v>5</v>
      </c>
      <c r="BP3" s="149">
        <f t="shared" ref="BP3:BP14" si="1">COUNTA(F3,G3,T3,U3,AH3,AI3,AV3,AW3,BJ3,BK3)</f>
        <v>0</v>
      </c>
      <c r="BQ3" s="149"/>
    </row>
    <row r="4" spans="1:69" ht="16.5">
      <c r="A4" s="158" t="s">
        <v>5</v>
      </c>
      <c r="B4" s="158" t="s">
        <v>6</v>
      </c>
      <c r="C4" s="159" t="s">
        <v>8</v>
      </c>
      <c r="D4" s="153"/>
      <c r="E4" s="153"/>
      <c r="F4" s="155"/>
      <c r="G4" s="155"/>
      <c r="H4" s="156"/>
      <c r="I4" s="156"/>
      <c r="J4" s="149"/>
      <c r="K4" s="149"/>
      <c r="L4" s="157">
        <v>0.3611111111111111</v>
      </c>
      <c r="M4" s="149"/>
      <c r="N4" s="149"/>
      <c r="O4" s="149"/>
      <c r="P4" s="157"/>
      <c r="Q4" s="149"/>
      <c r="R4" s="149"/>
      <c r="S4" s="149"/>
      <c r="T4" s="155"/>
      <c r="U4" s="155"/>
      <c r="V4" s="156"/>
      <c r="W4" s="156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55"/>
      <c r="AI4" s="155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49">
        <f t="shared" si="0"/>
        <v>1</v>
      </c>
      <c r="BO4" s="149">
        <f t="shared" si="0"/>
        <v>0</v>
      </c>
      <c r="BP4" s="149">
        <f t="shared" si="1"/>
        <v>0</v>
      </c>
      <c r="BQ4" s="149"/>
    </row>
    <row r="5" spans="1:69" ht="16.5">
      <c r="A5" s="158" t="s">
        <v>5</v>
      </c>
      <c r="B5" s="158" t="s">
        <v>9</v>
      </c>
      <c r="C5" s="159" t="s">
        <v>10</v>
      </c>
      <c r="D5" s="153"/>
      <c r="E5" s="153"/>
      <c r="F5" s="154">
        <v>0.3527777777777778</v>
      </c>
      <c r="G5" s="155"/>
      <c r="H5" s="156"/>
      <c r="I5" s="156"/>
      <c r="J5" s="157">
        <v>0.34305555555555556</v>
      </c>
      <c r="K5" s="157">
        <v>0.16111111111111112</v>
      </c>
      <c r="L5" s="157">
        <v>0.33888888888888891</v>
      </c>
      <c r="M5" s="157">
        <v>0.15902777777777777</v>
      </c>
      <c r="N5" s="157">
        <v>0.35625000000000001</v>
      </c>
      <c r="O5" s="157">
        <v>0.18124999999999999</v>
      </c>
      <c r="P5" s="157">
        <v>0.36388888888888887</v>
      </c>
      <c r="Q5" s="157">
        <v>0.16875000000000001</v>
      </c>
      <c r="R5" s="157">
        <v>0.35347222222222224</v>
      </c>
      <c r="S5" s="157">
        <v>0.17430555555555555</v>
      </c>
      <c r="T5" s="155"/>
      <c r="U5" s="155"/>
      <c r="V5" s="156"/>
      <c r="W5" s="156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55"/>
      <c r="AI5" s="155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49"/>
      <c r="BN5" s="149">
        <f t="shared" si="0"/>
        <v>5</v>
      </c>
      <c r="BO5" s="149">
        <f t="shared" si="0"/>
        <v>5</v>
      </c>
      <c r="BP5" s="149">
        <f t="shared" si="1"/>
        <v>1</v>
      </c>
      <c r="BQ5" s="149"/>
    </row>
    <row r="6" spans="1:69" ht="16.5">
      <c r="A6" s="158" t="s">
        <v>5</v>
      </c>
      <c r="B6" s="158" t="s">
        <v>9</v>
      </c>
      <c r="C6" s="159" t="s">
        <v>11</v>
      </c>
      <c r="D6" s="153"/>
      <c r="E6" s="153"/>
      <c r="F6" s="155"/>
      <c r="G6" s="155"/>
      <c r="H6" s="156"/>
      <c r="I6" s="156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5"/>
      <c r="U6" s="155"/>
      <c r="V6" s="156"/>
      <c r="W6" s="156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55"/>
      <c r="AI6" s="155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149"/>
      <c r="AX6" s="149"/>
      <c r="AY6" s="149"/>
      <c r="AZ6" s="149"/>
      <c r="BA6" s="149"/>
      <c r="BB6" s="149"/>
      <c r="BC6" s="149"/>
      <c r="BD6" s="149"/>
      <c r="BE6" s="149"/>
      <c r="BF6" s="149"/>
      <c r="BG6" s="149"/>
      <c r="BH6" s="149"/>
      <c r="BI6" s="149"/>
      <c r="BJ6" s="149"/>
      <c r="BK6" s="149"/>
      <c r="BL6" s="149"/>
      <c r="BM6" s="149"/>
      <c r="BN6" s="149">
        <f t="shared" si="0"/>
        <v>0</v>
      </c>
      <c r="BO6" s="149">
        <f t="shared" si="0"/>
        <v>0</v>
      </c>
      <c r="BP6" s="149">
        <f t="shared" si="1"/>
        <v>0</v>
      </c>
      <c r="BQ6" s="149"/>
    </row>
    <row r="7" spans="1:69" ht="16.5">
      <c r="A7" s="158" t="s">
        <v>5</v>
      </c>
      <c r="B7" s="158" t="s">
        <v>9</v>
      </c>
      <c r="C7" s="159" t="s">
        <v>12</v>
      </c>
      <c r="D7" s="153"/>
      <c r="E7" s="153"/>
      <c r="F7" s="155"/>
      <c r="G7" s="155"/>
      <c r="H7" s="156"/>
      <c r="I7" s="156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55"/>
      <c r="U7" s="155"/>
      <c r="V7" s="156"/>
      <c r="W7" s="156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55"/>
      <c r="AI7" s="155"/>
      <c r="AJ7" s="149"/>
      <c r="AK7" s="149"/>
      <c r="AL7" s="149"/>
      <c r="AM7" s="149"/>
      <c r="AN7" s="149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49"/>
      <c r="BL7" s="149"/>
      <c r="BM7" s="149"/>
      <c r="BN7" s="149">
        <f t="shared" si="0"/>
        <v>0</v>
      </c>
      <c r="BO7" s="149">
        <f t="shared" si="0"/>
        <v>0</v>
      </c>
      <c r="BP7" s="149">
        <f t="shared" si="1"/>
        <v>0</v>
      </c>
      <c r="BQ7" s="149"/>
    </row>
    <row r="8" spans="1:69" ht="16.5">
      <c r="A8" s="158" t="s">
        <v>5</v>
      </c>
      <c r="B8" s="158" t="s">
        <v>9</v>
      </c>
      <c r="C8" s="159" t="s">
        <v>13</v>
      </c>
      <c r="D8" s="153"/>
      <c r="E8" s="153"/>
      <c r="F8" s="155"/>
      <c r="G8" s="155"/>
      <c r="H8" s="156"/>
      <c r="I8" s="156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55"/>
      <c r="U8" s="155"/>
      <c r="V8" s="156"/>
      <c r="W8" s="156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55"/>
      <c r="AI8" s="155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>
        <f t="shared" si="0"/>
        <v>0</v>
      </c>
      <c r="BO8" s="149">
        <f t="shared" si="0"/>
        <v>0</v>
      </c>
      <c r="BP8" s="149">
        <f t="shared" si="1"/>
        <v>0</v>
      </c>
      <c r="BQ8" s="149"/>
    </row>
    <row r="9" spans="1:69" ht="16.5">
      <c r="A9" s="158" t="s">
        <v>5</v>
      </c>
      <c r="B9" s="158" t="s">
        <v>9</v>
      </c>
      <c r="C9" s="159" t="s">
        <v>14</v>
      </c>
      <c r="D9" s="153"/>
      <c r="E9" s="153"/>
      <c r="F9" s="155"/>
      <c r="G9" s="155"/>
      <c r="H9" s="156"/>
      <c r="I9" s="156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55"/>
      <c r="U9" s="155"/>
      <c r="V9" s="156"/>
      <c r="W9" s="156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55"/>
      <c r="AI9" s="155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>
        <f t="shared" si="0"/>
        <v>0</v>
      </c>
      <c r="BO9" s="149">
        <f t="shared" si="0"/>
        <v>0</v>
      </c>
      <c r="BP9" s="149">
        <f t="shared" si="1"/>
        <v>0</v>
      </c>
      <c r="BQ9" s="149"/>
    </row>
    <row r="10" spans="1:69" ht="16.5">
      <c r="A10" s="158" t="s">
        <v>5</v>
      </c>
      <c r="B10" s="158" t="s">
        <v>15</v>
      </c>
      <c r="C10" s="159" t="s">
        <v>16</v>
      </c>
      <c r="D10" s="153"/>
      <c r="E10" s="153"/>
      <c r="F10" s="155"/>
      <c r="G10" s="155"/>
      <c r="H10" s="156"/>
      <c r="I10" s="156"/>
      <c r="J10" s="157">
        <v>0.35555555555555557</v>
      </c>
      <c r="K10" s="157"/>
      <c r="L10" s="157">
        <v>0.36736111111111114</v>
      </c>
      <c r="M10" s="157">
        <v>0.15694444444444444</v>
      </c>
      <c r="N10" s="157">
        <v>0.35069444444444442</v>
      </c>
      <c r="O10" s="157">
        <v>0.14166666666666666</v>
      </c>
      <c r="P10" s="157">
        <v>0.34930555555555554</v>
      </c>
      <c r="Q10" s="149"/>
      <c r="R10" s="157">
        <v>0.34930555555555554</v>
      </c>
      <c r="S10" s="149"/>
      <c r="T10" s="155"/>
      <c r="U10" s="155"/>
      <c r="V10" s="156"/>
      <c r="W10" s="156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5"/>
      <c r="AI10" s="155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>
        <f t="shared" si="0"/>
        <v>5</v>
      </c>
      <c r="BO10" s="149">
        <f t="shared" si="0"/>
        <v>2</v>
      </c>
      <c r="BP10" s="149">
        <f t="shared" si="1"/>
        <v>0</v>
      </c>
      <c r="BQ10" s="149"/>
    </row>
    <row r="11" spans="1:69" ht="16.5">
      <c r="A11" s="158" t="s">
        <v>5</v>
      </c>
      <c r="B11" s="158" t="s">
        <v>15</v>
      </c>
      <c r="C11" s="159" t="s">
        <v>17</v>
      </c>
      <c r="D11" s="153"/>
      <c r="E11" s="153"/>
      <c r="F11" s="155"/>
      <c r="G11" s="155"/>
      <c r="H11" s="156"/>
      <c r="I11" s="156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55"/>
      <c r="U11" s="155"/>
      <c r="V11" s="156"/>
      <c r="W11" s="156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5"/>
      <c r="AI11" s="155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>
        <f t="shared" si="0"/>
        <v>0</v>
      </c>
      <c r="BO11" s="149">
        <f t="shared" si="0"/>
        <v>0</v>
      </c>
      <c r="BP11" s="149">
        <f t="shared" si="1"/>
        <v>0</v>
      </c>
      <c r="BQ11" s="149"/>
    </row>
    <row r="12" spans="1:69" ht="16.5">
      <c r="A12" s="158" t="s">
        <v>5</v>
      </c>
      <c r="B12" s="158" t="s">
        <v>15</v>
      </c>
      <c r="C12" s="159" t="s">
        <v>18</v>
      </c>
      <c r="D12" s="153"/>
      <c r="E12" s="153"/>
      <c r="F12" s="155"/>
      <c r="G12" s="155"/>
      <c r="H12" s="156"/>
      <c r="I12" s="156"/>
      <c r="J12" s="149"/>
      <c r="K12" s="157">
        <v>0.16805555555555557</v>
      </c>
      <c r="L12" s="149"/>
      <c r="M12" s="149"/>
      <c r="N12" s="149"/>
      <c r="O12" s="149"/>
      <c r="P12" s="149"/>
      <c r="Q12" s="149"/>
      <c r="R12" s="149"/>
      <c r="S12" s="149"/>
      <c r="T12" s="155"/>
      <c r="U12" s="155"/>
      <c r="V12" s="156"/>
      <c r="W12" s="156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55"/>
      <c r="AI12" s="155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>
        <f t="shared" si="0"/>
        <v>0</v>
      </c>
      <c r="BO12" s="149">
        <f t="shared" si="0"/>
        <v>1</v>
      </c>
      <c r="BP12" s="149">
        <f t="shared" si="1"/>
        <v>0</v>
      </c>
      <c r="BQ12" s="149"/>
    </row>
    <row r="13" spans="1:69" ht="16.5">
      <c r="A13" s="158" t="s">
        <v>5</v>
      </c>
      <c r="B13" s="158" t="s">
        <v>15</v>
      </c>
      <c r="C13" s="159" t="s">
        <v>19</v>
      </c>
      <c r="D13" s="153"/>
      <c r="E13" s="153"/>
      <c r="F13" s="155"/>
      <c r="G13" s="155"/>
      <c r="H13" s="156"/>
      <c r="I13" s="156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55"/>
      <c r="U13" s="155"/>
      <c r="V13" s="156"/>
      <c r="W13" s="156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55"/>
      <c r="AI13" s="155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>
        <f t="shared" si="0"/>
        <v>0</v>
      </c>
      <c r="BO13" s="149">
        <f t="shared" si="0"/>
        <v>0</v>
      </c>
      <c r="BP13" s="149">
        <f t="shared" si="1"/>
        <v>0</v>
      </c>
      <c r="BQ13" s="149"/>
    </row>
    <row r="14" spans="1:69" ht="16.5">
      <c r="A14" s="158" t="s">
        <v>5</v>
      </c>
      <c r="B14" s="158" t="s">
        <v>15</v>
      </c>
      <c r="C14" s="159" t="s">
        <v>20</v>
      </c>
      <c r="D14" s="153"/>
      <c r="E14" s="153"/>
      <c r="F14" s="155"/>
      <c r="G14" s="155"/>
      <c r="H14" s="156"/>
      <c r="I14" s="156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55"/>
      <c r="U14" s="155"/>
      <c r="V14" s="156"/>
      <c r="W14" s="156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55"/>
      <c r="AI14" s="155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>
        <f t="shared" si="0"/>
        <v>0</v>
      </c>
      <c r="BO14" s="149">
        <f t="shared" si="0"/>
        <v>0</v>
      </c>
      <c r="BP14" s="149">
        <f t="shared" si="1"/>
        <v>0</v>
      </c>
      <c r="BQ14" s="149"/>
    </row>
    <row r="15" spans="1:69" ht="16.5">
      <c r="A15" s="158" t="s">
        <v>5</v>
      </c>
      <c r="B15" s="158" t="s">
        <v>15</v>
      </c>
      <c r="C15" s="159" t="s">
        <v>21</v>
      </c>
      <c r="D15" s="153"/>
      <c r="E15" s="153"/>
      <c r="F15" s="155"/>
      <c r="G15" s="155"/>
      <c r="H15" s="156"/>
      <c r="I15" s="156"/>
      <c r="J15" s="149"/>
      <c r="K15" s="149"/>
      <c r="L15" s="149"/>
      <c r="M15" s="149"/>
      <c r="N15" s="149"/>
      <c r="O15" s="149"/>
      <c r="P15" s="149"/>
      <c r="Q15" s="157">
        <v>0.18055555555555555</v>
      </c>
      <c r="R15" s="149"/>
      <c r="S15" s="149"/>
      <c r="T15" s="155"/>
      <c r="U15" s="155"/>
      <c r="V15" s="156"/>
      <c r="W15" s="156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55"/>
      <c r="AI15" s="155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</row>
    <row r="16" spans="1:69" ht="16.5">
      <c r="A16" s="158" t="s">
        <v>5</v>
      </c>
      <c r="B16" s="158" t="s">
        <v>22</v>
      </c>
      <c r="C16" s="159" t="s">
        <v>23</v>
      </c>
      <c r="D16" s="153"/>
      <c r="E16" s="153"/>
      <c r="F16" s="155"/>
      <c r="G16" s="155"/>
      <c r="H16" s="156"/>
      <c r="I16" s="156"/>
      <c r="J16" s="157">
        <v>0.34305555555555556</v>
      </c>
      <c r="K16" s="157">
        <v>0.17777777777777778</v>
      </c>
      <c r="L16" s="157">
        <v>0.33819444444444446</v>
      </c>
      <c r="M16" s="157">
        <v>0.21736111111111112</v>
      </c>
      <c r="N16" s="157">
        <v>0.3659722222222222</v>
      </c>
      <c r="O16" s="157">
        <v>0.19166666666666668</v>
      </c>
      <c r="P16" s="157">
        <v>0.34444444444444444</v>
      </c>
      <c r="Q16" s="157">
        <v>0.18888888888888888</v>
      </c>
      <c r="R16" s="157">
        <v>0.35694444444444445</v>
      </c>
      <c r="S16" s="149"/>
      <c r="T16" s="154">
        <v>0.3659722222222222</v>
      </c>
      <c r="U16" s="155"/>
      <c r="V16" s="156"/>
      <c r="W16" s="156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55"/>
      <c r="AI16" s="155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</row>
    <row r="17" spans="1:69" ht="16.5">
      <c r="A17" s="158" t="s">
        <v>5</v>
      </c>
      <c r="B17" s="158" t="s">
        <v>22</v>
      </c>
      <c r="C17" s="159" t="s">
        <v>24</v>
      </c>
      <c r="D17" s="153"/>
      <c r="E17" s="153"/>
      <c r="F17" s="155"/>
      <c r="G17" s="155"/>
      <c r="H17" s="156"/>
      <c r="I17" s="156"/>
      <c r="J17" s="149"/>
      <c r="K17" s="149"/>
      <c r="L17" s="149"/>
      <c r="M17" s="149"/>
      <c r="N17" s="149"/>
      <c r="O17" s="149"/>
      <c r="P17" s="149"/>
      <c r="Q17" s="149"/>
      <c r="R17" s="149"/>
      <c r="S17" s="157">
        <v>0.17291666666666666</v>
      </c>
      <c r="T17" s="155"/>
      <c r="U17" s="155"/>
      <c r="V17" s="156"/>
      <c r="W17" s="156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55"/>
      <c r="AI17" s="155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</row>
    <row r="18" spans="1:69" ht="16.5">
      <c r="A18" s="158" t="s">
        <v>5</v>
      </c>
      <c r="B18" s="158" t="s">
        <v>22</v>
      </c>
      <c r="C18" s="159" t="s">
        <v>25</v>
      </c>
      <c r="D18" s="153"/>
      <c r="E18" s="153"/>
      <c r="F18" s="155"/>
      <c r="G18" s="155"/>
      <c r="H18" s="156"/>
      <c r="I18" s="156"/>
      <c r="J18" s="149"/>
      <c r="K18" s="149"/>
      <c r="L18" s="149"/>
      <c r="M18" s="157">
        <v>0.16666666666666666</v>
      </c>
      <c r="N18" s="149"/>
      <c r="O18" s="149"/>
      <c r="P18" s="149"/>
      <c r="Q18" s="149"/>
      <c r="R18" s="149"/>
      <c r="S18" s="149"/>
      <c r="T18" s="155"/>
      <c r="U18" s="155"/>
      <c r="V18" s="156"/>
      <c r="W18" s="156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55"/>
      <c r="AI18" s="155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</row>
    <row r="19" spans="1:69" ht="16.5">
      <c r="A19" s="158" t="s">
        <v>26</v>
      </c>
      <c r="B19" s="158" t="s">
        <v>27</v>
      </c>
      <c r="C19" s="159" t="s">
        <v>28</v>
      </c>
      <c r="D19" s="153"/>
      <c r="E19" s="153"/>
      <c r="F19" s="155"/>
      <c r="G19" s="155"/>
      <c r="H19" s="156"/>
      <c r="I19" s="156"/>
      <c r="J19" s="157">
        <v>0.38541666666666669</v>
      </c>
      <c r="K19" s="157">
        <v>0.13958333333333334</v>
      </c>
      <c r="L19" s="157">
        <v>0.37916666666666665</v>
      </c>
      <c r="M19" s="157">
        <v>0.13958333333333334</v>
      </c>
      <c r="N19" s="157">
        <v>0.38750000000000001</v>
      </c>
      <c r="O19" s="157">
        <v>0.13750000000000001</v>
      </c>
      <c r="P19" s="157">
        <v>0.38750000000000001</v>
      </c>
      <c r="Q19" s="157">
        <v>0.16944444444444445</v>
      </c>
      <c r="R19" s="157">
        <v>0.37777777777777777</v>
      </c>
      <c r="S19" s="157">
        <v>0.14097222222222222</v>
      </c>
      <c r="T19" s="154">
        <v>0.37152777777777779</v>
      </c>
      <c r="U19" s="155"/>
      <c r="V19" s="156"/>
      <c r="W19" s="156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55"/>
      <c r="AI19" s="155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</row>
    <row r="20" spans="1:69" ht="16.5">
      <c r="A20" s="158" t="s">
        <v>26</v>
      </c>
      <c r="B20" s="158" t="s">
        <v>29</v>
      </c>
      <c r="C20" s="159" t="s">
        <v>30</v>
      </c>
      <c r="D20" s="153"/>
      <c r="E20" s="153"/>
      <c r="F20" s="154">
        <v>0.33055555555555555</v>
      </c>
      <c r="G20" s="155"/>
      <c r="H20" s="156"/>
      <c r="I20" s="156"/>
      <c r="J20" s="157">
        <v>0.35902777777777778</v>
      </c>
      <c r="K20" s="157">
        <v>0.12708333333333333</v>
      </c>
      <c r="L20" s="157">
        <v>0.35972222222222222</v>
      </c>
      <c r="M20" s="157">
        <v>0.15347222222222223</v>
      </c>
      <c r="N20" s="157">
        <v>0.3576388888888889</v>
      </c>
      <c r="O20" s="157">
        <v>0.13333333333333333</v>
      </c>
      <c r="P20" s="157">
        <v>0.36458333333333331</v>
      </c>
      <c r="Q20" s="157">
        <v>0.13055555555555556</v>
      </c>
      <c r="R20" s="157">
        <v>0.33958333333333335</v>
      </c>
      <c r="S20" s="157">
        <v>0.10972222222222222</v>
      </c>
      <c r="T20" s="154">
        <v>0.41736111111111113</v>
      </c>
      <c r="U20" s="155"/>
      <c r="V20" s="156"/>
      <c r="W20" s="156"/>
      <c r="X20" s="157">
        <v>0.35347222222222224</v>
      </c>
      <c r="Y20" s="149"/>
      <c r="Z20" s="149"/>
      <c r="AA20" s="149"/>
      <c r="AB20" s="149"/>
      <c r="AC20" s="149"/>
      <c r="AD20" s="149"/>
      <c r="AE20" s="149"/>
      <c r="AF20" s="149"/>
      <c r="AG20" s="149"/>
      <c r="AH20" s="155"/>
      <c r="AI20" s="155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</row>
    <row r="21" spans="1:69" ht="16.5">
      <c r="A21" s="158" t="s">
        <v>26</v>
      </c>
      <c r="B21" s="158" t="s">
        <v>31</v>
      </c>
      <c r="C21" s="159" t="s">
        <v>32</v>
      </c>
      <c r="D21" s="153"/>
      <c r="E21" s="153"/>
      <c r="F21" s="155"/>
      <c r="G21" s="155"/>
      <c r="H21" s="156"/>
      <c r="I21" s="156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55"/>
      <c r="U21" s="155"/>
      <c r="V21" s="156"/>
      <c r="W21" s="156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55"/>
      <c r="AI21" s="155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</row>
    <row r="22" spans="1:69" ht="16.5">
      <c r="A22" s="158" t="s">
        <v>26</v>
      </c>
      <c r="B22" s="158" t="s">
        <v>31</v>
      </c>
      <c r="C22" s="159" t="s">
        <v>33</v>
      </c>
      <c r="D22" s="153"/>
      <c r="E22" s="153"/>
      <c r="F22" s="155"/>
      <c r="G22" s="155"/>
      <c r="H22" s="156"/>
      <c r="I22" s="156"/>
      <c r="J22" s="149"/>
      <c r="K22" s="149"/>
      <c r="L22" s="149"/>
      <c r="M22" s="149"/>
      <c r="N22" s="149"/>
      <c r="O22" s="149"/>
      <c r="P22" s="157">
        <v>0.38263888888888886</v>
      </c>
      <c r="Q22" s="149"/>
      <c r="R22" s="149"/>
      <c r="S22" s="149"/>
      <c r="T22" s="155"/>
      <c r="U22" s="155"/>
      <c r="V22" s="156"/>
      <c r="W22" s="156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55"/>
      <c r="AI22" s="155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</row>
    <row r="23" spans="1:69" ht="16.5">
      <c r="A23" s="158" t="s">
        <v>26</v>
      </c>
      <c r="B23" s="158" t="s">
        <v>31</v>
      </c>
      <c r="C23" s="159" t="s">
        <v>34</v>
      </c>
      <c r="D23" s="153"/>
      <c r="E23" s="153"/>
      <c r="F23" s="155"/>
      <c r="G23" s="155"/>
      <c r="H23" s="156"/>
      <c r="I23" s="156"/>
      <c r="J23" s="149"/>
      <c r="K23" s="149"/>
      <c r="L23" s="149"/>
      <c r="M23" s="149"/>
      <c r="N23" s="157">
        <v>0.38055555555555554</v>
      </c>
      <c r="O23" s="157">
        <v>0.18541666666666667</v>
      </c>
      <c r="P23" s="149"/>
      <c r="Q23" s="149"/>
      <c r="R23" s="157">
        <v>0.38680555555555557</v>
      </c>
      <c r="S23" s="149"/>
      <c r="T23" s="155"/>
      <c r="U23" s="155"/>
      <c r="V23" s="156"/>
      <c r="W23" s="156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55"/>
      <c r="AI23" s="155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</row>
    <row r="24" spans="1:69" ht="16.5">
      <c r="A24" s="158" t="s">
        <v>26</v>
      </c>
      <c r="B24" s="158" t="s">
        <v>31</v>
      </c>
      <c r="C24" s="159" t="s">
        <v>35</v>
      </c>
      <c r="D24" s="153"/>
      <c r="E24" s="153"/>
      <c r="F24" s="155"/>
      <c r="G24" s="155"/>
      <c r="H24" s="156"/>
      <c r="I24" s="156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55"/>
      <c r="U24" s="155"/>
      <c r="V24" s="156"/>
      <c r="W24" s="156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55"/>
      <c r="AI24" s="155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</row>
    <row r="25" spans="1:69" ht="16.5">
      <c r="A25" s="158" t="s">
        <v>26</v>
      </c>
      <c r="B25" s="158" t="s">
        <v>31</v>
      </c>
      <c r="C25" s="159" t="s">
        <v>36</v>
      </c>
      <c r="D25" s="153"/>
      <c r="E25" s="153"/>
      <c r="F25" s="155"/>
      <c r="G25" s="155"/>
      <c r="H25" s="156"/>
      <c r="I25" s="156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55"/>
      <c r="U25" s="155"/>
      <c r="V25" s="156"/>
      <c r="W25" s="156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55"/>
      <c r="AI25" s="155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</row>
    <row r="26" spans="1:69" ht="16.5">
      <c r="A26" s="158" t="s">
        <v>26</v>
      </c>
      <c r="B26" s="158" t="s">
        <v>31</v>
      </c>
      <c r="C26" s="159" t="s">
        <v>37</v>
      </c>
      <c r="D26" s="153"/>
      <c r="E26" s="153"/>
      <c r="F26" s="155"/>
      <c r="G26" s="155"/>
      <c r="H26" s="156"/>
      <c r="I26" s="156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55"/>
      <c r="U26" s="155"/>
      <c r="V26" s="156"/>
      <c r="W26" s="156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55"/>
      <c r="AI26" s="155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  <c r="BN26" s="149"/>
      <c r="BO26" s="149"/>
      <c r="BP26" s="149"/>
      <c r="BQ26" s="149"/>
    </row>
    <row r="27" spans="1:69" ht="16.5">
      <c r="A27" s="158" t="s">
        <v>26</v>
      </c>
      <c r="B27" s="158" t="s">
        <v>31</v>
      </c>
      <c r="C27" s="159" t="s">
        <v>38</v>
      </c>
      <c r="D27" s="153"/>
      <c r="E27" s="153"/>
      <c r="F27" s="155"/>
      <c r="G27" s="155"/>
      <c r="H27" s="156"/>
      <c r="I27" s="156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55"/>
      <c r="U27" s="155"/>
      <c r="V27" s="156"/>
      <c r="W27" s="156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55"/>
      <c r="AI27" s="155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  <c r="BN27" s="149"/>
      <c r="BO27" s="149"/>
      <c r="BP27" s="149"/>
      <c r="BQ27" s="149"/>
    </row>
    <row r="28" spans="1:69" ht="16.5">
      <c r="A28" s="158" t="s">
        <v>26</v>
      </c>
      <c r="B28" s="158" t="s">
        <v>39</v>
      </c>
      <c r="C28" s="159" t="s">
        <v>40</v>
      </c>
      <c r="D28" s="153"/>
      <c r="E28" s="153"/>
      <c r="F28" s="155"/>
      <c r="G28" s="155"/>
      <c r="H28" s="156"/>
      <c r="I28" s="156"/>
      <c r="J28" s="157">
        <v>0</v>
      </c>
      <c r="K28" s="149"/>
      <c r="L28" s="157">
        <v>0.4284722222222222</v>
      </c>
      <c r="M28" s="157">
        <v>0.20833333333333334</v>
      </c>
      <c r="N28" s="149"/>
      <c r="O28" s="157">
        <v>0.19027777777777777</v>
      </c>
      <c r="P28" s="149"/>
      <c r="Q28" s="157">
        <v>0.21805555555555556</v>
      </c>
      <c r="R28" s="149"/>
      <c r="S28" s="157">
        <v>0.21180555555555555</v>
      </c>
      <c r="T28" s="155"/>
      <c r="U28" s="155"/>
      <c r="V28" s="156"/>
      <c r="W28" s="156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55"/>
      <c r="AI28" s="155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  <c r="BN28" s="149"/>
      <c r="BO28" s="149"/>
      <c r="BP28" s="149"/>
      <c r="BQ28" s="149"/>
    </row>
    <row r="29" spans="1:69" ht="16.5">
      <c r="A29" s="158" t="s">
        <v>26</v>
      </c>
      <c r="B29" s="158" t="s">
        <v>41</v>
      </c>
      <c r="C29" s="159" t="s">
        <v>42</v>
      </c>
      <c r="D29" s="153"/>
      <c r="E29" s="153"/>
      <c r="F29" s="155"/>
      <c r="G29" s="155"/>
      <c r="H29" s="156"/>
      <c r="I29" s="156"/>
      <c r="J29" s="157">
        <v>0.3611111111111111</v>
      </c>
      <c r="K29" s="157">
        <v>0.12777777777777777</v>
      </c>
      <c r="L29" s="157">
        <v>0.40208333333333335</v>
      </c>
      <c r="M29" s="157">
        <v>0.22083333333333333</v>
      </c>
      <c r="N29" s="157">
        <v>0.4236111111111111</v>
      </c>
      <c r="O29" s="157">
        <v>0.19097222222222221</v>
      </c>
      <c r="P29" s="157">
        <v>0.41388888888888886</v>
      </c>
      <c r="Q29" s="157">
        <v>0.19305555555555556</v>
      </c>
      <c r="R29" s="157">
        <v>0.39027777777777778</v>
      </c>
      <c r="S29" s="157">
        <v>0.22569444444444445</v>
      </c>
      <c r="T29" s="155"/>
      <c r="U29" s="155"/>
      <c r="V29" s="156"/>
      <c r="W29" s="156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55"/>
      <c r="AI29" s="155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  <c r="BN29" s="149"/>
      <c r="BO29" s="149"/>
      <c r="BP29" s="149"/>
      <c r="BQ29" s="149"/>
    </row>
    <row r="30" spans="1:69" ht="16.5">
      <c r="A30" s="158" t="s">
        <v>43</v>
      </c>
      <c r="B30" s="158" t="s">
        <v>44</v>
      </c>
      <c r="C30" s="159" t="s">
        <v>45</v>
      </c>
      <c r="D30" s="153"/>
      <c r="E30" s="153"/>
      <c r="F30" s="155"/>
      <c r="G30" s="155"/>
      <c r="H30" s="156"/>
      <c r="I30" s="156"/>
      <c r="J30" s="157">
        <v>0.4</v>
      </c>
      <c r="K30" s="149"/>
      <c r="L30" s="157">
        <v>0.44583333333333336</v>
      </c>
      <c r="M30" s="157">
        <v>0.24791666666666667</v>
      </c>
      <c r="N30" s="157">
        <v>0.35555555555555557</v>
      </c>
      <c r="O30" s="157">
        <v>0.16666666666666666</v>
      </c>
      <c r="P30" s="157">
        <v>0.36736111111111114</v>
      </c>
      <c r="Q30" s="157">
        <v>0.15208333333333332</v>
      </c>
      <c r="R30" s="157">
        <v>0.35416666666666669</v>
      </c>
      <c r="S30" s="157">
        <v>0.14027777777777778</v>
      </c>
      <c r="T30" s="155"/>
      <c r="U30" s="155"/>
      <c r="V30" s="156"/>
      <c r="W30" s="156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55"/>
      <c r="AI30" s="155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</row>
    <row r="31" spans="1:69" ht="16.5">
      <c r="A31" s="158" t="s">
        <v>43</v>
      </c>
      <c r="B31" s="158" t="s">
        <v>46</v>
      </c>
      <c r="C31" s="159" t="s">
        <v>47</v>
      </c>
      <c r="D31" s="153"/>
      <c r="E31" s="153"/>
      <c r="F31" s="154">
        <v>0.37569444444444444</v>
      </c>
      <c r="G31" s="155"/>
      <c r="H31" s="156"/>
      <c r="I31" s="156"/>
      <c r="J31" s="149"/>
      <c r="K31" s="149"/>
      <c r="L31" s="157">
        <v>0.35902777777777778</v>
      </c>
      <c r="M31" s="157">
        <v>0.15694444444444444</v>
      </c>
      <c r="N31" s="157">
        <v>0.36527777777777776</v>
      </c>
      <c r="O31" s="157">
        <v>0.12916666666666668</v>
      </c>
      <c r="P31" s="157">
        <v>0.36319444444444443</v>
      </c>
      <c r="Q31" s="157">
        <v>0.16319444444444445</v>
      </c>
      <c r="R31" s="157">
        <v>0.36527777777777776</v>
      </c>
      <c r="S31" s="157">
        <v>0.15416666666666667</v>
      </c>
      <c r="T31" s="155"/>
      <c r="U31" s="155"/>
      <c r="V31" s="156"/>
      <c r="W31" s="156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55"/>
      <c r="AI31" s="155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</row>
    <row r="32" spans="1:69" ht="16.5">
      <c r="A32" s="158" t="s">
        <v>43</v>
      </c>
      <c r="B32" s="158" t="s">
        <v>48</v>
      </c>
      <c r="C32" s="159" t="s">
        <v>49</v>
      </c>
      <c r="D32" s="153"/>
      <c r="E32" s="153"/>
      <c r="F32" s="155"/>
      <c r="G32" s="155"/>
      <c r="H32" s="156"/>
      <c r="I32" s="156"/>
      <c r="J32" s="157">
        <v>0.37638888888888888</v>
      </c>
      <c r="K32" s="157">
        <v>0.16250000000000001</v>
      </c>
      <c r="L32" s="149"/>
      <c r="M32" s="149"/>
      <c r="N32" s="157">
        <v>0.37222222222222223</v>
      </c>
      <c r="O32" s="157">
        <v>0.17430555555555555</v>
      </c>
      <c r="P32" s="157">
        <v>0.38194444444444442</v>
      </c>
      <c r="Q32" s="157">
        <v>0.18055555555555555</v>
      </c>
      <c r="R32" s="157">
        <v>0.375</v>
      </c>
      <c r="S32" s="157">
        <v>0.15555555555555556</v>
      </c>
      <c r="T32" s="154">
        <v>0.38750000000000001</v>
      </c>
      <c r="U32" s="155"/>
      <c r="V32" s="156"/>
      <c r="W32" s="156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55"/>
      <c r="AI32" s="155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  <c r="BN32" s="149"/>
      <c r="BO32" s="149"/>
      <c r="BP32" s="149"/>
      <c r="BQ32" s="149"/>
    </row>
    <row r="33" spans="1:69" ht="16.5">
      <c r="A33" s="158" t="s">
        <v>43</v>
      </c>
      <c r="B33" s="158" t="s">
        <v>48</v>
      </c>
      <c r="C33" s="159" t="s">
        <v>50</v>
      </c>
      <c r="D33" s="153"/>
      <c r="E33" s="153"/>
      <c r="F33" s="155"/>
      <c r="G33" s="155"/>
      <c r="H33" s="156"/>
      <c r="I33" s="156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55"/>
      <c r="U33" s="155"/>
      <c r="V33" s="156"/>
      <c r="W33" s="156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55"/>
      <c r="AI33" s="155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</row>
    <row r="34" spans="1:69" ht="16.5">
      <c r="A34" s="158" t="s">
        <v>43</v>
      </c>
      <c r="B34" s="158" t="s">
        <v>51</v>
      </c>
      <c r="C34" s="159" t="s">
        <v>52</v>
      </c>
      <c r="D34" s="153"/>
      <c r="E34" s="153"/>
      <c r="F34" s="154">
        <v>0.3972222222222222</v>
      </c>
      <c r="G34" s="155"/>
      <c r="H34" s="156"/>
      <c r="I34" s="156"/>
      <c r="J34" s="157">
        <v>0.34027777777777779</v>
      </c>
      <c r="K34" s="149"/>
      <c r="L34" s="157">
        <v>0.33750000000000002</v>
      </c>
      <c r="M34" s="157">
        <v>0.15069444444444444</v>
      </c>
      <c r="N34" s="157">
        <v>0.37638888888888888</v>
      </c>
      <c r="O34" s="157">
        <v>0.15694444444444444</v>
      </c>
      <c r="P34" s="157">
        <v>0.37638888888888888</v>
      </c>
      <c r="Q34" s="157">
        <v>0.16458333333333333</v>
      </c>
      <c r="R34" s="157">
        <v>0.37777777777777777</v>
      </c>
      <c r="S34" s="157">
        <v>0.18680555555555556</v>
      </c>
      <c r="T34" s="154">
        <v>0.35069444444444442</v>
      </c>
      <c r="U34" s="155"/>
      <c r="V34" s="156"/>
      <c r="W34" s="156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55"/>
      <c r="AI34" s="155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</row>
    <row r="35" spans="1:69" ht="16.5">
      <c r="A35" s="158" t="s">
        <v>43</v>
      </c>
      <c r="B35" s="158" t="s">
        <v>51</v>
      </c>
      <c r="C35" s="159" t="s">
        <v>53</v>
      </c>
      <c r="D35" s="153"/>
      <c r="E35" s="153"/>
      <c r="F35" s="155"/>
      <c r="G35" s="155"/>
      <c r="H35" s="156"/>
      <c r="I35" s="156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55"/>
      <c r="U35" s="155"/>
      <c r="V35" s="156"/>
      <c r="W35" s="156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55"/>
      <c r="AI35" s="155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</row>
    <row r="36" spans="1:69" ht="16.5">
      <c r="A36" s="158" t="s">
        <v>43</v>
      </c>
      <c r="B36" s="158" t="s">
        <v>54</v>
      </c>
      <c r="C36" s="159" t="s">
        <v>55</v>
      </c>
      <c r="D36" s="153"/>
      <c r="E36" s="153"/>
      <c r="F36" s="154">
        <v>0.48333333333333334</v>
      </c>
      <c r="G36" s="155"/>
      <c r="H36" s="156"/>
      <c r="I36" s="156"/>
      <c r="J36" s="157">
        <v>0.32847222222222222</v>
      </c>
      <c r="K36" s="157">
        <v>0.13263888888888889</v>
      </c>
      <c r="L36" s="157">
        <v>0.33402777777777776</v>
      </c>
      <c r="M36" s="157">
        <v>0.14791666666666667</v>
      </c>
      <c r="N36" s="157">
        <v>0.36944444444444446</v>
      </c>
      <c r="O36" s="157">
        <v>0.18819444444444444</v>
      </c>
      <c r="P36" s="157">
        <v>0.33055555555555555</v>
      </c>
      <c r="Q36" s="157">
        <v>0.12777777777777777</v>
      </c>
      <c r="R36" s="157">
        <v>0.34236111111111112</v>
      </c>
      <c r="S36" s="157">
        <v>0.12291666666666666</v>
      </c>
      <c r="T36" s="155"/>
      <c r="U36" s="155"/>
      <c r="V36" s="156"/>
      <c r="W36" s="156"/>
      <c r="X36" s="157">
        <v>0.33263888888888887</v>
      </c>
      <c r="Y36" s="149"/>
      <c r="Z36" s="149"/>
      <c r="AA36" s="149"/>
      <c r="AB36" s="149"/>
      <c r="AC36" s="149"/>
      <c r="AD36" s="149"/>
      <c r="AE36" s="149"/>
      <c r="AF36" s="149"/>
      <c r="AG36" s="149"/>
      <c r="AH36" s="155"/>
      <c r="AI36" s="155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</row>
    <row r="37" spans="1:69" ht="16.5">
      <c r="A37" s="158" t="s">
        <v>56</v>
      </c>
      <c r="B37" s="158" t="s">
        <v>57</v>
      </c>
      <c r="C37" s="159" t="s">
        <v>58</v>
      </c>
      <c r="D37" s="153"/>
      <c r="E37" s="153"/>
      <c r="F37" s="155"/>
      <c r="G37" s="155"/>
      <c r="H37" s="156"/>
      <c r="I37" s="156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55"/>
      <c r="U37" s="155"/>
      <c r="V37" s="156"/>
      <c r="W37" s="156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55"/>
      <c r="AI37" s="155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</row>
    <row r="38" spans="1:69" ht="16.5">
      <c r="A38" s="158" t="s">
        <v>56</v>
      </c>
      <c r="B38" s="158" t="s">
        <v>57</v>
      </c>
      <c r="C38" s="159" t="s">
        <v>59</v>
      </c>
      <c r="D38" s="153"/>
      <c r="E38" s="153"/>
      <c r="F38" s="155"/>
      <c r="G38" s="155"/>
      <c r="H38" s="156"/>
      <c r="I38" s="156"/>
      <c r="J38" s="157">
        <v>0.43819444444444444</v>
      </c>
      <c r="K38" s="157">
        <v>0.16666666666666666</v>
      </c>
      <c r="L38" s="157">
        <v>0.40069444444444446</v>
      </c>
      <c r="M38" s="157">
        <v>0.17916666666666667</v>
      </c>
      <c r="N38" s="157">
        <v>0.39930555555555558</v>
      </c>
      <c r="O38" s="157">
        <v>0.19513888888888889</v>
      </c>
      <c r="P38" s="157">
        <v>0.40694444444444444</v>
      </c>
      <c r="Q38" s="157">
        <v>0.18124999999999999</v>
      </c>
      <c r="R38" s="157">
        <v>0.40972222222222221</v>
      </c>
      <c r="S38" s="157">
        <v>0.18402777777777779</v>
      </c>
      <c r="T38" s="155"/>
      <c r="U38" s="155"/>
      <c r="V38" s="156"/>
      <c r="W38" s="156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55"/>
      <c r="AI38" s="155"/>
      <c r="AJ38" s="149"/>
      <c r="AK38" s="149"/>
      <c r="AL38" s="149"/>
      <c r="AM38" s="149"/>
      <c r="AN38" s="149"/>
      <c r="AO38" s="149"/>
      <c r="AP38" s="149"/>
      <c r="AQ38" s="149"/>
      <c r="AR38" s="149"/>
      <c r="AS38" s="149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</row>
    <row r="39" spans="1:69" ht="16.5">
      <c r="A39" s="158" t="s">
        <v>56</v>
      </c>
      <c r="B39" s="158" t="s">
        <v>60</v>
      </c>
      <c r="C39" s="159" t="s">
        <v>61</v>
      </c>
      <c r="D39" s="153"/>
      <c r="E39" s="153"/>
      <c r="F39" s="155"/>
      <c r="G39" s="155"/>
      <c r="H39" s="156"/>
      <c r="I39" s="156"/>
      <c r="J39" s="149"/>
      <c r="K39" s="149"/>
      <c r="L39" s="149"/>
      <c r="M39" s="149"/>
      <c r="N39" s="157">
        <v>0.35208333333333336</v>
      </c>
      <c r="O39" s="157">
        <v>0.16944444444444445</v>
      </c>
      <c r="P39" s="149"/>
      <c r="Q39" s="149"/>
      <c r="R39" s="157">
        <v>0.36666666666666664</v>
      </c>
      <c r="S39" s="157">
        <v>0.17708333333333334</v>
      </c>
      <c r="T39" s="155"/>
      <c r="U39" s="155"/>
      <c r="V39" s="156"/>
      <c r="W39" s="156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55"/>
      <c r="AI39" s="155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</row>
    <row r="40" spans="1:69" ht="16.5">
      <c r="A40" s="158" t="s">
        <v>56</v>
      </c>
      <c r="B40" s="158" t="s">
        <v>60</v>
      </c>
      <c r="C40" s="159" t="s">
        <v>62</v>
      </c>
      <c r="D40" s="153"/>
      <c r="E40" s="153"/>
      <c r="F40" s="155"/>
      <c r="G40" s="155"/>
      <c r="H40" s="156"/>
      <c r="I40" s="156"/>
      <c r="J40" s="149"/>
      <c r="K40" s="149"/>
      <c r="L40" s="157">
        <v>0.35694444444444445</v>
      </c>
      <c r="M40" s="157">
        <v>0.17847222222222223</v>
      </c>
      <c r="N40" s="149"/>
      <c r="O40" s="149"/>
      <c r="P40" s="157">
        <v>0.37013888888888891</v>
      </c>
      <c r="Q40" s="157">
        <v>0.17708333333333334</v>
      </c>
      <c r="R40" s="149"/>
      <c r="S40" s="149"/>
      <c r="T40" s="155"/>
      <c r="U40" s="155"/>
      <c r="V40" s="156"/>
      <c r="W40" s="156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55"/>
      <c r="AI40" s="155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49"/>
      <c r="BQ40" s="149"/>
    </row>
    <row r="41" spans="1:69" ht="16.5">
      <c r="A41" s="158" t="s">
        <v>56</v>
      </c>
      <c r="B41" s="158" t="s">
        <v>63</v>
      </c>
      <c r="C41" s="159" t="s">
        <v>64</v>
      </c>
      <c r="D41" s="153"/>
      <c r="E41" s="153"/>
      <c r="F41" s="155"/>
      <c r="G41" s="155"/>
      <c r="H41" s="156"/>
      <c r="I41" s="156"/>
      <c r="J41" s="149"/>
      <c r="K41" s="149"/>
      <c r="L41" s="149"/>
      <c r="M41" s="157">
        <v>0.22222222222222221</v>
      </c>
      <c r="N41" s="149"/>
      <c r="O41" s="157">
        <v>0.18055555555555555</v>
      </c>
      <c r="P41" s="157">
        <v>0.42291666666666666</v>
      </c>
      <c r="Q41" s="157">
        <v>0.24236111111111111</v>
      </c>
      <c r="R41" s="157">
        <v>0.40694444444444444</v>
      </c>
      <c r="S41" s="157">
        <v>0.22152777777777777</v>
      </c>
      <c r="T41" s="154">
        <v>0.45347222222222222</v>
      </c>
      <c r="U41" s="155"/>
      <c r="V41" s="156"/>
      <c r="W41" s="156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55"/>
      <c r="AI41" s="155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49"/>
      <c r="BQ41" s="149"/>
    </row>
    <row r="42" spans="1:69" ht="16.5">
      <c r="A42" s="158" t="s">
        <v>56</v>
      </c>
      <c r="B42" s="158" t="s">
        <v>63</v>
      </c>
      <c r="C42" s="159" t="s">
        <v>65</v>
      </c>
      <c r="D42" s="153"/>
      <c r="E42" s="153"/>
      <c r="F42" s="155"/>
      <c r="G42" s="155"/>
      <c r="H42" s="156"/>
      <c r="I42" s="156"/>
      <c r="J42" s="149"/>
      <c r="K42" s="157">
        <v>0.21666666666666667</v>
      </c>
      <c r="L42" s="149"/>
      <c r="M42" s="149"/>
      <c r="N42" s="157">
        <v>0.37430555555555556</v>
      </c>
      <c r="O42" s="149"/>
      <c r="P42" s="149"/>
      <c r="Q42" s="149"/>
      <c r="R42" s="149"/>
      <c r="S42" s="149"/>
      <c r="T42" s="155"/>
      <c r="U42" s="155"/>
      <c r="V42" s="156"/>
      <c r="W42" s="156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55"/>
      <c r="AI42" s="155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</row>
    <row r="43" spans="1:69" ht="16.5">
      <c r="A43" s="158" t="s">
        <v>56</v>
      </c>
      <c r="B43" s="158" t="s">
        <v>66</v>
      </c>
      <c r="C43" s="159" t="s">
        <v>67</v>
      </c>
      <c r="D43" s="153"/>
      <c r="E43" s="153"/>
      <c r="F43" s="155"/>
      <c r="G43" s="155"/>
      <c r="H43" s="156"/>
      <c r="I43" s="156"/>
      <c r="J43" s="149"/>
      <c r="K43" s="149"/>
      <c r="L43" s="157">
        <v>0.36458333333333331</v>
      </c>
      <c r="M43" s="157">
        <v>0.16319444444444445</v>
      </c>
      <c r="N43" s="157">
        <v>0.36319444444444443</v>
      </c>
      <c r="O43" s="157">
        <v>0.19027777777777777</v>
      </c>
      <c r="P43" s="157">
        <v>0.36388888888888887</v>
      </c>
      <c r="Q43" s="157">
        <v>0.19652777777777777</v>
      </c>
      <c r="R43" s="157">
        <v>0.375</v>
      </c>
      <c r="S43" s="157">
        <v>0.18333333333333332</v>
      </c>
      <c r="T43" s="154">
        <v>0.37222222222222223</v>
      </c>
      <c r="U43" s="155"/>
      <c r="V43" s="156"/>
      <c r="W43" s="156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55"/>
      <c r="AI43" s="155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</row>
    <row r="44" spans="1:69" ht="16.5">
      <c r="A44" s="158" t="s">
        <v>56</v>
      </c>
      <c r="B44" s="158" t="s">
        <v>68</v>
      </c>
      <c r="C44" s="159" t="s">
        <v>69</v>
      </c>
      <c r="D44" s="153"/>
      <c r="E44" s="153"/>
      <c r="F44" s="154">
        <v>0.3576388888888889</v>
      </c>
      <c r="G44" s="155"/>
      <c r="H44" s="156"/>
      <c r="I44" s="156"/>
      <c r="J44" s="157">
        <v>0.35972222222222222</v>
      </c>
      <c r="K44" s="157">
        <v>0.16111111111111112</v>
      </c>
      <c r="L44" s="157">
        <v>0.36319444444444443</v>
      </c>
      <c r="M44" s="149"/>
      <c r="N44" s="157">
        <v>0.3576388888888889</v>
      </c>
      <c r="O44" s="157">
        <v>0.15069444444444444</v>
      </c>
      <c r="P44" s="157">
        <v>0.3659722222222222</v>
      </c>
      <c r="Q44" s="157">
        <v>0.15208333333333332</v>
      </c>
      <c r="R44" s="157">
        <v>0.35555555555555557</v>
      </c>
      <c r="S44" s="157">
        <v>0.19652777777777777</v>
      </c>
      <c r="T44" s="155"/>
      <c r="U44" s="155"/>
      <c r="V44" s="156"/>
      <c r="W44" s="156"/>
      <c r="X44" s="157">
        <v>0.35347222222222224</v>
      </c>
      <c r="Y44" s="149"/>
      <c r="Z44" s="149"/>
      <c r="AA44" s="149"/>
      <c r="AB44" s="149"/>
      <c r="AC44" s="149"/>
      <c r="AD44" s="149"/>
      <c r="AE44" s="149"/>
      <c r="AF44" s="149"/>
      <c r="AG44" s="149"/>
      <c r="AH44" s="155"/>
      <c r="AI44" s="155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</row>
    <row r="45" spans="1:69" ht="16.5">
      <c r="A45" s="158" t="s">
        <v>56</v>
      </c>
      <c r="B45" s="158" t="s">
        <v>70</v>
      </c>
      <c r="C45" s="159" t="s">
        <v>71</v>
      </c>
      <c r="D45" s="153"/>
      <c r="E45" s="153"/>
      <c r="F45" s="155"/>
      <c r="G45" s="155"/>
      <c r="H45" s="156"/>
      <c r="I45" s="156"/>
      <c r="J45" s="157">
        <v>0.34861111111111109</v>
      </c>
      <c r="K45" s="157">
        <v>0.13472222222222222</v>
      </c>
      <c r="L45" s="157">
        <v>0.35138888888888886</v>
      </c>
      <c r="M45" s="157">
        <v>0.125</v>
      </c>
      <c r="N45" s="157">
        <v>0.35208333333333336</v>
      </c>
      <c r="O45" s="157">
        <v>0.12708333333333333</v>
      </c>
      <c r="P45" s="157">
        <v>0.35486111111111113</v>
      </c>
      <c r="Q45" s="157">
        <v>0.18333333333333332</v>
      </c>
      <c r="R45" s="157">
        <v>0.35625000000000001</v>
      </c>
      <c r="S45" s="157">
        <v>0.15625</v>
      </c>
      <c r="T45" s="154">
        <v>0.34930555555555554</v>
      </c>
      <c r="U45" s="155"/>
      <c r="V45" s="156"/>
      <c r="W45" s="156"/>
      <c r="X45" s="157">
        <v>0.35138888888888886</v>
      </c>
      <c r="Y45" s="149"/>
      <c r="Z45" s="149"/>
      <c r="AA45" s="149"/>
      <c r="AB45" s="149"/>
      <c r="AC45" s="149"/>
      <c r="AD45" s="149"/>
      <c r="AE45" s="149"/>
      <c r="AF45" s="149"/>
      <c r="AG45" s="149"/>
      <c r="AH45" s="155"/>
      <c r="AI45" s="155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</row>
    <row r="46" spans="1:69" ht="16.5">
      <c r="A46" s="158" t="s">
        <v>72</v>
      </c>
      <c r="B46" s="158" t="s">
        <v>73</v>
      </c>
      <c r="C46" s="159" t="s">
        <v>74</v>
      </c>
      <c r="D46" s="153"/>
      <c r="E46" s="153"/>
      <c r="F46" s="154">
        <v>0.42708333333333331</v>
      </c>
      <c r="G46" s="155"/>
      <c r="H46" s="156"/>
      <c r="I46" s="156"/>
      <c r="J46" s="149"/>
      <c r="K46" s="149"/>
      <c r="L46" s="157">
        <v>0.44236111111111109</v>
      </c>
      <c r="M46" s="157">
        <v>0.21111111111111111</v>
      </c>
      <c r="N46" s="157">
        <v>0.37916666666666665</v>
      </c>
      <c r="O46" s="157">
        <v>0.16944444444444445</v>
      </c>
      <c r="P46" s="157">
        <v>0.35694444444444445</v>
      </c>
      <c r="Q46" s="157">
        <v>0.12986111111111112</v>
      </c>
      <c r="R46" s="157">
        <v>0.31180555555555556</v>
      </c>
      <c r="S46" s="157">
        <v>0.21805555555555556</v>
      </c>
      <c r="T46" s="154">
        <v>0.44722222222222224</v>
      </c>
      <c r="U46" s="155"/>
      <c r="V46" s="156"/>
      <c r="W46" s="156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55"/>
      <c r="AI46" s="155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</row>
    <row r="47" spans="1:69" ht="16.5">
      <c r="A47" s="158" t="s">
        <v>72</v>
      </c>
      <c r="B47" s="158" t="s">
        <v>73</v>
      </c>
      <c r="C47" s="159" t="s">
        <v>75</v>
      </c>
      <c r="D47" s="153"/>
      <c r="E47" s="153"/>
      <c r="F47" s="155"/>
      <c r="G47" s="155"/>
      <c r="H47" s="156"/>
      <c r="I47" s="156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55"/>
      <c r="U47" s="155"/>
      <c r="V47" s="156"/>
      <c r="W47" s="156"/>
      <c r="X47" s="149"/>
      <c r="Y47" s="149"/>
      <c r="Z47" s="149"/>
      <c r="AA47" s="149"/>
      <c r="AB47" s="149"/>
      <c r="AC47" s="149"/>
      <c r="AD47" s="149"/>
      <c r="AE47" s="149"/>
      <c r="AF47" s="149"/>
      <c r="AG47" s="149"/>
      <c r="AH47" s="155"/>
      <c r="AI47" s="155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</row>
    <row r="48" spans="1:69" ht="16.5">
      <c r="A48" s="158" t="s">
        <v>72</v>
      </c>
      <c r="B48" s="158" t="s">
        <v>76</v>
      </c>
      <c r="C48" s="159" t="s">
        <v>77</v>
      </c>
      <c r="D48" s="153"/>
      <c r="E48" s="153"/>
      <c r="F48" s="155"/>
      <c r="G48" s="155"/>
      <c r="H48" s="156"/>
      <c r="I48" s="156"/>
      <c r="J48" s="157">
        <v>0.42708333333333331</v>
      </c>
      <c r="K48" s="157">
        <v>0.24027777777777778</v>
      </c>
      <c r="L48" s="157">
        <v>0.49861111111111112</v>
      </c>
      <c r="M48" s="157">
        <v>0.23958333333333334</v>
      </c>
      <c r="N48" s="149"/>
      <c r="O48" s="149"/>
      <c r="P48" s="157">
        <v>0.50972222222222219</v>
      </c>
      <c r="Q48" s="157">
        <v>0.23541666666666666</v>
      </c>
      <c r="R48" s="157">
        <v>0.45277777777777778</v>
      </c>
      <c r="S48" s="157">
        <v>0.22291666666666668</v>
      </c>
      <c r="T48" s="155"/>
      <c r="U48" s="155"/>
      <c r="V48" s="156"/>
      <c r="W48" s="156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55"/>
      <c r="AI48" s="155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</row>
    <row r="49" spans="1:69" ht="16.5">
      <c r="A49" s="158" t="s">
        <v>72</v>
      </c>
      <c r="B49" s="158" t="s">
        <v>76</v>
      </c>
      <c r="C49" s="159" t="s">
        <v>78</v>
      </c>
      <c r="D49" s="153"/>
      <c r="E49" s="153"/>
      <c r="F49" s="155"/>
      <c r="G49" s="155"/>
      <c r="H49" s="156"/>
      <c r="I49" s="156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55"/>
      <c r="U49" s="155"/>
      <c r="V49" s="156"/>
      <c r="W49" s="156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55"/>
      <c r="AI49" s="155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</row>
    <row r="50" spans="1:69" ht="16.5">
      <c r="A50" s="158" t="s">
        <v>72</v>
      </c>
      <c r="B50" s="158" t="s">
        <v>76</v>
      </c>
      <c r="C50" s="159" t="s">
        <v>79</v>
      </c>
      <c r="D50" s="153"/>
      <c r="E50" s="153"/>
      <c r="F50" s="155"/>
      <c r="G50" s="155"/>
      <c r="H50" s="156"/>
      <c r="I50" s="156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55"/>
      <c r="U50" s="155"/>
      <c r="V50" s="156"/>
      <c r="W50" s="156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55"/>
      <c r="AI50" s="155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</row>
    <row r="51" spans="1:69" ht="16.5">
      <c r="A51" s="158" t="s">
        <v>72</v>
      </c>
      <c r="B51" s="158" t="s">
        <v>76</v>
      </c>
      <c r="C51" s="159" t="s">
        <v>80</v>
      </c>
      <c r="D51" s="153"/>
      <c r="E51" s="153"/>
      <c r="F51" s="155"/>
      <c r="G51" s="155"/>
      <c r="H51" s="156"/>
      <c r="I51" s="156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55"/>
      <c r="U51" s="155"/>
      <c r="V51" s="156"/>
      <c r="W51" s="156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55"/>
      <c r="AI51" s="155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</row>
    <row r="52" spans="1:69" ht="16.5">
      <c r="A52" s="158" t="s">
        <v>72</v>
      </c>
      <c r="B52" s="158" t="s">
        <v>76</v>
      </c>
      <c r="C52" s="159" t="s">
        <v>81</v>
      </c>
      <c r="D52" s="153"/>
      <c r="E52" s="153"/>
      <c r="F52" s="155"/>
      <c r="G52" s="155"/>
      <c r="H52" s="156"/>
      <c r="I52" s="156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55"/>
      <c r="U52" s="155"/>
      <c r="V52" s="156"/>
      <c r="W52" s="156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55"/>
      <c r="AI52" s="155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</row>
    <row r="53" spans="1:69" ht="16.5">
      <c r="A53" s="158" t="s">
        <v>72</v>
      </c>
      <c r="B53" s="158" t="s">
        <v>82</v>
      </c>
      <c r="C53" s="159" t="s">
        <v>83</v>
      </c>
      <c r="D53" s="153"/>
      <c r="E53" s="153"/>
      <c r="F53" s="155"/>
      <c r="G53" s="155"/>
      <c r="H53" s="156"/>
      <c r="I53" s="156"/>
      <c r="J53" s="157">
        <v>0.41111111111111109</v>
      </c>
      <c r="K53" s="157">
        <v>0.15416666666666667</v>
      </c>
      <c r="L53" s="157">
        <v>0.4</v>
      </c>
      <c r="M53" s="157">
        <v>0.15763888888888888</v>
      </c>
      <c r="N53" s="157">
        <v>0.40694444444444444</v>
      </c>
      <c r="O53" s="157">
        <v>0.15208333333333332</v>
      </c>
      <c r="P53" s="157">
        <v>0.42569444444444443</v>
      </c>
      <c r="Q53" s="157">
        <v>0.13750000000000001</v>
      </c>
      <c r="R53" s="157">
        <v>0.40347222222222223</v>
      </c>
      <c r="S53" s="157">
        <v>0.15277777777777779</v>
      </c>
      <c r="T53" s="155"/>
      <c r="U53" s="155"/>
      <c r="V53" s="156"/>
      <c r="W53" s="156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55"/>
      <c r="AI53" s="155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</row>
    <row r="54" spans="1:69" ht="16.5">
      <c r="A54" s="158" t="s">
        <v>72</v>
      </c>
      <c r="B54" s="158" t="s">
        <v>82</v>
      </c>
      <c r="C54" s="159" t="s">
        <v>84</v>
      </c>
      <c r="D54" s="153"/>
      <c r="E54" s="153"/>
      <c r="F54" s="155"/>
      <c r="G54" s="155"/>
      <c r="H54" s="156"/>
      <c r="I54" s="156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55"/>
      <c r="U54" s="155"/>
      <c r="V54" s="156"/>
      <c r="W54" s="156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55"/>
      <c r="AI54" s="155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</row>
    <row r="55" spans="1:69" ht="16.5">
      <c r="A55" s="158" t="s">
        <v>72</v>
      </c>
      <c r="B55" s="158" t="s">
        <v>85</v>
      </c>
      <c r="C55" s="159" t="s">
        <v>86</v>
      </c>
      <c r="D55" s="153"/>
      <c r="E55" s="153"/>
      <c r="F55" s="155"/>
      <c r="G55" s="155"/>
      <c r="H55" s="156"/>
      <c r="I55" s="156"/>
      <c r="J55" s="157">
        <v>0.38472222222222224</v>
      </c>
      <c r="K55" s="157">
        <v>0.15208333333333332</v>
      </c>
      <c r="L55" s="157">
        <v>0.38472222222222224</v>
      </c>
      <c r="M55" s="157">
        <v>0.15763888888888888</v>
      </c>
      <c r="N55" s="157">
        <v>0.40833333333333333</v>
      </c>
      <c r="O55" s="157">
        <v>0.15277777777777779</v>
      </c>
      <c r="P55" s="157">
        <v>0.42152777777777778</v>
      </c>
      <c r="Q55" s="157">
        <v>0.14652777777777778</v>
      </c>
      <c r="R55" s="157">
        <v>0.40416666666666667</v>
      </c>
      <c r="S55" s="157">
        <v>0.15277777777777779</v>
      </c>
      <c r="T55" s="154">
        <v>0.38611111111111113</v>
      </c>
      <c r="U55" s="155"/>
      <c r="V55" s="156"/>
      <c r="W55" s="156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55"/>
      <c r="AI55" s="155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</row>
    <row r="56" spans="1:69" ht="16.5">
      <c r="A56" s="158" t="s">
        <v>72</v>
      </c>
      <c r="B56" s="158" t="s">
        <v>85</v>
      </c>
      <c r="C56" s="159" t="s">
        <v>87</v>
      </c>
      <c r="D56" s="153"/>
      <c r="E56" s="153"/>
      <c r="F56" s="155"/>
      <c r="G56" s="155"/>
      <c r="H56" s="156"/>
      <c r="I56" s="156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55"/>
      <c r="U56" s="155"/>
      <c r="V56" s="156"/>
      <c r="W56" s="156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55"/>
      <c r="AI56" s="155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</row>
    <row r="57" spans="1:69" ht="16.5">
      <c r="A57" s="158" t="s">
        <v>72</v>
      </c>
      <c r="B57" s="158" t="s">
        <v>85</v>
      </c>
      <c r="C57" s="159" t="s">
        <v>88</v>
      </c>
      <c r="D57" s="153"/>
      <c r="E57" s="153"/>
      <c r="F57" s="155"/>
      <c r="G57" s="155"/>
      <c r="H57" s="156"/>
      <c r="I57" s="156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55"/>
      <c r="U57" s="155"/>
      <c r="V57" s="156"/>
      <c r="W57" s="156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55"/>
      <c r="AI57" s="155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</row>
    <row r="58" spans="1:69" ht="16.5">
      <c r="A58" s="158" t="s">
        <v>72</v>
      </c>
      <c r="B58" s="158" t="s">
        <v>89</v>
      </c>
      <c r="C58" s="159" t="s">
        <v>90</v>
      </c>
      <c r="D58" s="153"/>
      <c r="E58" s="153"/>
      <c r="F58" s="154">
        <v>0.37708333333333333</v>
      </c>
      <c r="G58" s="155"/>
      <c r="H58" s="156"/>
      <c r="I58" s="156"/>
      <c r="J58" s="157">
        <v>0.36180555555555555</v>
      </c>
      <c r="K58" s="157">
        <v>0.17916666666666667</v>
      </c>
      <c r="L58" s="157">
        <v>0.38750000000000001</v>
      </c>
      <c r="M58" s="157">
        <v>0.17847222222222223</v>
      </c>
      <c r="N58" s="157">
        <v>0.38680555555555557</v>
      </c>
      <c r="O58" s="157">
        <v>0.16944444444444445</v>
      </c>
      <c r="P58" s="157">
        <v>0.38611111111111113</v>
      </c>
      <c r="Q58" s="157">
        <v>0.17986111111111111</v>
      </c>
      <c r="R58" s="157">
        <v>0.38263888888888886</v>
      </c>
      <c r="S58" s="157">
        <v>0.16458333333333333</v>
      </c>
      <c r="T58" s="154">
        <v>0.39930555555555558</v>
      </c>
      <c r="U58" s="155"/>
      <c r="V58" s="156"/>
      <c r="W58" s="156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55"/>
      <c r="AI58" s="155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</row>
    <row r="59" spans="1:69" ht="16.5">
      <c r="A59" s="158" t="s">
        <v>72</v>
      </c>
      <c r="B59" s="158" t="s">
        <v>91</v>
      </c>
      <c r="C59" s="159" t="s">
        <v>92</v>
      </c>
      <c r="D59" s="153"/>
      <c r="E59" s="153"/>
      <c r="F59" s="154">
        <v>0.39513888888888887</v>
      </c>
      <c r="G59" s="155"/>
      <c r="H59" s="156"/>
      <c r="I59" s="156"/>
      <c r="J59" s="157">
        <v>0.38680555555555557</v>
      </c>
      <c r="K59" s="157">
        <v>0.23749999999999999</v>
      </c>
      <c r="L59" s="157">
        <v>0.46319444444444446</v>
      </c>
      <c r="M59" s="157">
        <v>0.26527777777777778</v>
      </c>
      <c r="N59" s="157">
        <v>0.44236111111111109</v>
      </c>
      <c r="O59" s="157">
        <v>0.23472222222222222</v>
      </c>
      <c r="P59" s="157">
        <v>0.47361111111111109</v>
      </c>
      <c r="Q59" s="157">
        <v>0.23472222222222222</v>
      </c>
      <c r="R59" s="157">
        <v>0.36527777777777776</v>
      </c>
      <c r="S59" s="149"/>
      <c r="T59" s="155"/>
      <c r="U59" s="155"/>
      <c r="V59" s="156"/>
      <c r="W59" s="156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55"/>
      <c r="AI59" s="155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</row>
    <row r="60" spans="1:69" ht="16.5">
      <c r="A60" s="158" t="s">
        <v>72</v>
      </c>
      <c r="B60" s="158" t="s">
        <v>91</v>
      </c>
      <c r="C60" s="159" t="s">
        <v>93</v>
      </c>
      <c r="D60" s="153"/>
      <c r="E60" s="153"/>
      <c r="F60" s="155"/>
      <c r="G60" s="155"/>
      <c r="H60" s="156"/>
      <c r="I60" s="156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55"/>
      <c r="U60" s="155"/>
      <c r="V60" s="156"/>
      <c r="W60" s="156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55"/>
      <c r="AI60" s="155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  <c r="BQ60" s="149"/>
    </row>
    <row r="61" spans="1:69" ht="16.5">
      <c r="A61" s="158" t="s">
        <v>94</v>
      </c>
      <c r="B61" s="158" t="s">
        <v>95</v>
      </c>
      <c r="C61" s="159" t="s">
        <v>96</v>
      </c>
      <c r="D61" s="153"/>
      <c r="E61" s="153"/>
      <c r="F61" s="155"/>
      <c r="G61" s="155"/>
      <c r="H61" s="156"/>
      <c r="I61" s="156"/>
      <c r="J61" s="157">
        <v>0.39444444444444443</v>
      </c>
      <c r="K61" s="157">
        <v>0.22291666666666668</v>
      </c>
      <c r="L61" s="157">
        <v>0.37916666666666665</v>
      </c>
      <c r="M61" s="157">
        <v>0.17430555555555555</v>
      </c>
      <c r="N61" s="157">
        <v>0.35694444444444445</v>
      </c>
      <c r="O61" s="157">
        <v>0.24305555555555555</v>
      </c>
      <c r="P61" s="157">
        <v>0.42083333333333334</v>
      </c>
      <c r="Q61" s="157">
        <v>0.19305555555555556</v>
      </c>
      <c r="R61" s="157">
        <v>0.38055555555555554</v>
      </c>
      <c r="S61" s="157">
        <v>0.15</v>
      </c>
      <c r="T61" s="155"/>
      <c r="U61" s="155"/>
      <c r="V61" s="156"/>
      <c r="W61" s="156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55"/>
      <c r="AI61" s="155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  <c r="BN61" s="149"/>
      <c r="BO61" s="149"/>
      <c r="BP61" s="149"/>
      <c r="BQ61" s="149"/>
    </row>
    <row r="62" spans="1:69" ht="16.5">
      <c r="A62" s="158" t="s">
        <v>97</v>
      </c>
      <c r="B62" s="158" t="s">
        <v>192</v>
      </c>
      <c r="C62" s="159" t="s">
        <v>99</v>
      </c>
      <c r="D62" s="153"/>
      <c r="E62" s="153"/>
      <c r="F62" s="155"/>
      <c r="G62" s="155"/>
      <c r="H62" s="156"/>
      <c r="I62" s="156"/>
      <c r="J62" s="157">
        <v>0.37777777777777777</v>
      </c>
      <c r="K62" s="157">
        <v>0.22916666666666666</v>
      </c>
      <c r="L62" s="157">
        <v>0.36875000000000002</v>
      </c>
      <c r="M62" s="157">
        <v>0.24930555555555556</v>
      </c>
      <c r="N62" s="157">
        <v>0.375</v>
      </c>
      <c r="O62" s="157">
        <v>0.23680555555555555</v>
      </c>
      <c r="P62" s="157">
        <v>0.3888888888888889</v>
      </c>
      <c r="Q62" s="149"/>
      <c r="R62" s="157">
        <v>0.4</v>
      </c>
      <c r="S62" s="157">
        <v>0.21944444444444444</v>
      </c>
      <c r="T62" s="154">
        <v>0.38055555555555554</v>
      </c>
      <c r="U62" s="155"/>
      <c r="V62" s="156"/>
      <c r="W62" s="156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55"/>
      <c r="AI62" s="155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  <c r="BN62" s="149"/>
      <c r="BO62" s="149"/>
      <c r="BP62" s="149"/>
      <c r="BQ62" s="149"/>
    </row>
    <row r="63" spans="1:69" ht="16.5">
      <c r="A63" s="158" t="s">
        <v>97</v>
      </c>
      <c r="B63" s="158" t="s">
        <v>100</v>
      </c>
      <c r="C63" s="159" t="s">
        <v>101</v>
      </c>
      <c r="D63" s="153"/>
      <c r="E63" s="153"/>
      <c r="F63" s="154">
        <v>0.45763888888888887</v>
      </c>
      <c r="G63" s="155"/>
      <c r="H63" s="156"/>
      <c r="I63" s="156"/>
      <c r="J63" s="157">
        <v>0.44305555555555554</v>
      </c>
      <c r="K63" s="157">
        <v>0.22083333333333333</v>
      </c>
      <c r="L63" s="157">
        <v>0.50347222222222221</v>
      </c>
      <c r="M63" s="157">
        <v>0.32777777777777778</v>
      </c>
      <c r="N63" s="157">
        <v>0.46041666666666664</v>
      </c>
      <c r="O63" s="157">
        <v>0.28472222222222221</v>
      </c>
      <c r="P63" s="157">
        <v>0.47152777777777777</v>
      </c>
      <c r="Q63" s="157">
        <v>0.27708333333333335</v>
      </c>
      <c r="R63" s="157">
        <v>0.45347222222222222</v>
      </c>
      <c r="S63" s="157">
        <v>0.27847222222222223</v>
      </c>
      <c r="T63" s="154">
        <v>0.31388888888888888</v>
      </c>
      <c r="U63" s="155"/>
      <c r="V63" s="156"/>
      <c r="W63" s="156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55"/>
      <c r="AI63" s="155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  <c r="BQ63" s="149"/>
    </row>
    <row r="64" spans="1:69" ht="16.5">
      <c r="A64" s="158" t="s">
        <v>97</v>
      </c>
      <c r="B64" s="158" t="s">
        <v>102</v>
      </c>
      <c r="C64" s="159" t="s">
        <v>103</v>
      </c>
      <c r="D64" s="153"/>
      <c r="E64" s="153"/>
      <c r="F64" s="155"/>
      <c r="G64" s="155"/>
      <c r="H64" s="156"/>
      <c r="I64" s="156"/>
      <c r="J64" s="149"/>
      <c r="K64" s="149"/>
      <c r="L64" s="149"/>
      <c r="M64" s="149"/>
      <c r="N64" s="157">
        <v>0.41249999999999998</v>
      </c>
      <c r="O64" s="149"/>
      <c r="P64" s="157">
        <v>0.4201388888888889</v>
      </c>
      <c r="Q64" s="149"/>
      <c r="R64" s="149"/>
      <c r="S64" s="149"/>
      <c r="T64" s="155"/>
      <c r="U64" s="155"/>
      <c r="V64" s="156"/>
      <c r="W64" s="156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55"/>
      <c r="AI64" s="155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</row>
    <row r="65" spans="1:69" ht="16.5">
      <c r="A65" s="158" t="s">
        <v>97</v>
      </c>
      <c r="B65" s="158" t="s">
        <v>102</v>
      </c>
      <c r="C65" s="159" t="s">
        <v>104</v>
      </c>
      <c r="D65" s="153"/>
      <c r="E65" s="153"/>
      <c r="F65" s="155"/>
      <c r="G65" s="155"/>
      <c r="H65" s="156"/>
      <c r="I65" s="156"/>
      <c r="J65" s="157">
        <v>0.40902777777777777</v>
      </c>
      <c r="K65" s="157">
        <v>0.27986111111111112</v>
      </c>
      <c r="L65" s="157">
        <v>0.41458333333333336</v>
      </c>
      <c r="M65" s="157">
        <v>0.21249999999999999</v>
      </c>
      <c r="N65" s="149"/>
      <c r="O65" s="157">
        <v>0.22430555555555556</v>
      </c>
      <c r="P65" s="149"/>
      <c r="Q65" s="157">
        <v>0.21805555555555556</v>
      </c>
      <c r="R65" s="157">
        <v>0.39097222222222222</v>
      </c>
      <c r="S65" s="157">
        <v>0.21944444444444444</v>
      </c>
      <c r="T65" s="155"/>
      <c r="U65" s="155"/>
      <c r="V65" s="156"/>
      <c r="W65" s="156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55"/>
      <c r="AI65" s="155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</row>
    <row r="66" spans="1:69" ht="16.5">
      <c r="A66" s="158" t="s">
        <v>97</v>
      </c>
      <c r="B66" s="158" t="s">
        <v>105</v>
      </c>
      <c r="C66" s="159" t="s">
        <v>106</v>
      </c>
      <c r="D66" s="153"/>
      <c r="E66" s="153"/>
      <c r="F66" s="155"/>
      <c r="G66" s="155"/>
      <c r="H66" s="156"/>
      <c r="I66" s="156"/>
      <c r="J66" s="157">
        <v>0.47291666666666665</v>
      </c>
      <c r="K66" s="157">
        <v>0.20069444444444445</v>
      </c>
      <c r="L66" s="157">
        <v>0.32708333333333334</v>
      </c>
      <c r="M66" s="157">
        <v>0.20277777777777778</v>
      </c>
      <c r="N66" s="157">
        <v>0.40069444444444446</v>
      </c>
      <c r="O66" s="157">
        <v>0.26944444444444443</v>
      </c>
      <c r="P66" s="157">
        <v>0.35833333333333334</v>
      </c>
      <c r="Q66" s="157">
        <v>0.22777777777777777</v>
      </c>
      <c r="R66" s="149"/>
      <c r="S66" s="149"/>
      <c r="T66" s="155"/>
      <c r="U66" s="155"/>
      <c r="V66" s="156"/>
      <c r="W66" s="156"/>
      <c r="X66" s="157">
        <v>0.34722222222222221</v>
      </c>
      <c r="Y66" s="149"/>
      <c r="Z66" s="149"/>
      <c r="AA66" s="149"/>
      <c r="AB66" s="149"/>
      <c r="AC66" s="149"/>
      <c r="AD66" s="149"/>
      <c r="AE66" s="149"/>
      <c r="AF66" s="149"/>
      <c r="AG66" s="149"/>
      <c r="AH66" s="155"/>
      <c r="AI66" s="155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</row>
    <row r="67" spans="1:69" ht="16.5">
      <c r="A67" s="158" t="s">
        <v>97</v>
      </c>
      <c r="B67" s="158" t="s">
        <v>105</v>
      </c>
      <c r="C67" s="159" t="s">
        <v>107</v>
      </c>
      <c r="D67" s="153"/>
      <c r="E67" s="153"/>
      <c r="F67" s="155"/>
      <c r="G67" s="155"/>
      <c r="H67" s="156"/>
      <c r="I67" s="156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55"/>
      <c r="U67" s="155"/>
      <c r="V67" s="156"/>
      <c r="W67" s="156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55"/>
      <c r="AI67" s="155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</row>
    <row r="68" spans="1:69" ht="16.5">
      <c r="A68" s="158" t="s">
        <v>108</v>
      </c>
      <c r="B68" s="158" t="s">
        <v>109</v>
      </c>
      <c r="C68" s="159" t="s">
        <v>110</v>
      </c>
      <c r="D68" s="153"/>
      <c r="E68" s="153"/>
      <c r="F68" s="155"/>
      <c r="G68" s="155"/>
      <c r="H68" s="156"/>
      <c r="I68" s="156"/>
      <c r="J68" s="157">
        <v>0.4201388888888889</v>
      </c>
      <c r="K68" s="157">
        <v>0.19722222222222222</v>
      </c>
      <c r="L68" s="157">
        <v>0.35138888888888886</v>
      </c>
      <c r="M68" s="149"/>
      <c r="N68" s="157">
        <v>0.34027777777777779</v>
      </c>
      <c r="O68" s="157">
        <v>0.13055555555555556</v>
      </c>
      <c r="P68" s="157">
        <v>0.34791666666666665</v>
      </c>
      <c r="Q68" s="157">
        <v>0.20416666666666666</v>
      </c>
      <c r="R68" s="157">
        <v>0.33124999999999999</v>
      </c>
      <c r="S68" s="157">
        <v>0.19375000000000001</v>
      </c>
      <c r="T68" s="154">
        <v>0.36944444444444446</v>
      </c>
      <c r="U68" s="155"/>
      <c r="V68" s="156"/>
      <c r="W68" s="156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55"/>
      <c r="AI68" s="155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</row>
    <row r="69" spans="1:69" ht="16.5">
      <c r="A69" s="158" t="s">
        <v>108</v>
      </c>
      <c r="B69" s="158" t="s">
        <v>109</v>
      </c>
      <c r="C69" s="159" t="s">
        <v>111</v>
      </c>
      <c r="D69" s="153"/>
      <c r="E69" s="153"/>
      <c r="F69" s="155"/>
      <c r="G69" s="155"/>
      <c r="H69" s="156"/>
      <c r="I69" s="156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55"/>
      <c r="U69" s="155"/>
      <c r="V69" s="156"/>
      <c r="W69" s="156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55"/>
      <c r="AI69" s="155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</row>
    <row r="70" spans="1:69" ht="16.5">
      <c r="A70" s="158" t="s">
        <v>108</v>
      </c>
      <c r="B70" s="158" t="s">
        <v>112</v>
      </c>
      <c r="C70" s="159" t="s">
        <v>113</v>
      </c>
      <c r="D70" s="153"/>
      <c r="E70" s="153"/>
      <c r="F70" s="155"/>
      <c r="G70" s="155"/>
      <c r="H70" s="156"/>
      <c r="I70" s="156"/>
      <c r="J70" s="157">
        <v>0.48333333333333334</v>
      </c>
      <c r="K70" s="149"/>
      <c r="L70" s="157">
        <v>0.44513888888888886</v>
      </c>
      <c r="M70" s="157">
        <v>0.15972222222222221</v>
      </c>
      <c r="N70" s="157">
        <v>0.51111111111111107</v>
      </c>
      <c r="O70" s="149"/>
      <c r="P70" s="157">
        <v>0.46319444444444446</v>
      </c>
      <c r="Q70" s="157">
        <v>0.18055555555555555</v>
      </c>
      <c r="R70" s="157">
        <v>0.43888888888888888</v>
      </c>
      <c r="S70" s="157">
        <v>0.19097222222222221</v>
      </c>
      <c r="T70" s="155"/>
      <c r="U70" s="155"/>
      <c r="V70" s="156"/>
      <c r="W70" s="156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55"/>
      <c r="AI70" s="155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</row>
    <row r="71" spans="1:69" ht="16.5">
      <c r="A71" s="158" t="s">
        <v>108</v>
      </c>
      <c r="B71" s="158" t="s">
        <v>112</v>
      </c>
      <c r="C71" s="159" t="s">
        <v>114</v>
      </c>
      <c r="D71" s="153"/>
      <c r="E71" s="153"/>
      <c r="F71" s="155"/>
      <c r="G71" s="155"/>
      <c r="H71" s="156"/>
      <c r="I71" s="156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54">
        <v>0.37708333333333333</v>
      </c>
      <c r="U71" s="155"/>
      <c r="V71" s="156"/>
      <c r="W71" s="156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55"/>
      <c r="AI71" s="155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</row>
    <row r="72" spans="1:69" ht="16.5">
      <c r="A72" s="158" t="s">
        <v>108</v>
      </c>
      <c r="B72" s="158" t="s">
        <v>115</v>
      </c>
      <c r="C72" s="159" t="s">
        <v>116</v>
      </c>
      <c r="D72" s="153"/>
      <c r="E72" s="153"/>
      <c r="F72" s="155"/>
      <c r="G72" s="155"/>
      <c r="H72" s="156"/>
      <c r="I72" s="156"/>
      <c r="J72" s="157">
        <v>0.35625000000000001</v>
      </c>
      <c r="K72" s="157">
        <v>0.15416666666666667</v>
      </c>
      <c r="L72" s="157">
        <v>0.3611111111111111</v>
      </c>
      <c r="M72" s="157">
        <v>0.14722222222222223</v>
      </c>
      <c r="N72" s="157">
        <v>0.36875000000000002</v>
      </c>
      <c r="O72" s="157">
        <v>0.14027777777777778</v>
      </c>
      <c r="P72" s="157">
        <v>0.36875000000000002</v>
      </c>
      <c r="Q72" s="157">
        <v>0.15694444444444444</v>
      </c>
      <c r="R72" s="157">
        <v>0.4201388888888889</v>
      </c>
      <c r="S72" s="157">
        <v>0.12083333333333333</v>
      </c>
      <c r="T72" s="155"/>
      <c r="U72" s="155"/>
      <c r="V72" s="156"/>
      <c r="W72" s="156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55"/>
      <c r="AI72" s="155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  <c r="BQ72" s="149"/>
    </row>
    <row r="73" spans="1:69" ht="16.5">
      <c r="A73" s="158" t="s">
        <v>108</v>
      </c>
      <c r="B73" s="158" t="s">
        <v>117</v>
      </c>
      <c r="C73" s="159" t="s">
        <v>118</v>
      </c>
      <c r="D73" s="153"/>
      <c r="E73" s="153"/>
      <c r="F73" s="155"/>
      <c r="G73" s="155"/>
      <c r="H73" s="156"/>
      <c r="I73" s="156"/>
      <c r="J73" s="157">
        <v>0.38333333333333336</v>
      </c>
      <c r="K73" s="157">
        <v>0.21041666666666667</v>
      </c>
      <c r="L73" s="157">
        <v>0.38263888888888886</v>
      </c>
      <c r="M73" s="149"/>
      <c r="N73" s="157">
        <v>0.37986111111111109</v>
      </c>
      <c r="O73" s="157">
        <v>0.18055555555555555</v>
      </c>
      <c r="P73" s="157">
        <v>0.38958333333333334</v>
      </c>
      <c r="Q73" s="157">
        <v>0.21319444444444444</v>
      </c>
      <c r="R73" s="157">
        <v>0.38124999999999998</v>
      </c>
      <c r="S73" s="157">
        <v>0.21249999999999999</v>
      </c>
      <c r="T73" s="155"/>
      <c r="U73" s="155"/>
      <c r="V73" s="156"/>
      <c r="W73" s="156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55"/>
      <c r="AI73" s="155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</row>
    <row r="74" spans="1:69" ht="16.5">
      <c r="A74" s="158" t="s">
        <v>108</v>
      </c>
      <c r="B74" s="158" t="s">
        <v>119</v>
      </c>
      <c r="C74" s="159" t="s">
        <v>120</v>
      </c>
      <c r="D74" s="153"/>
      <c r="E74" s="153"/>
      <c r="F74" s="154">
        <v>0.3888888888888889</v>
      </c>
      <c r="G74" s="155"/>
      <c r="H74" s="156"/>
      <c r="I74" s="156"/>
      <c r="J74" s="157">
        <v>0.37152777777777779</v>
      </c>
      <c r="K74" s="157">
        <v>0.13055555555555556</v>
      </c>
      <c r="L74" s="157">
        <v>0.39305555555555555</v>
      </c>
      <c r="M74" s="149"/>
      <c r="N74" s="157">
        <v>0.40833333333333333</v>
      </c>
      <c r="O74" s="157">
        <v>0.12777777777777777</v>
      </c>
      <c r="P74" s="157">
        <v>0.3527777777777778</v>
      </c>
      <c r="Q74" s="157">
        <v>0.1875</v>
      </c>
      <c r="R74" s="157">
        <v>0.37361111111111112</v>
      </c>
      <c r="S74" s="157">
        <v>0.14305555555555555</v>
      </c>
      <c r="T74" s="155"/>
      <c r="U74" s="155"/>
      <c r="V74" s="156"/>
      <c r="W74" s="156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55"/>
      <c r="AI74" s="155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</row>
    <row r="75" spans="1:69" ht="16.5">
      <c r="A75" s="158" t="s">
        <v>108</v>
      </c>
      <c r="B75" s="158" t="s">
        <v>121</v>
      </c>
      <c r="C75" s="159" t="s">
        <v>122</v>
      </c>
      <c r="D75" s="153"/>
      <c r="E75" s="153"/>
      <c r="F75" s="155"/>
      <c r="G75" s="155"/>
      <c r="H75" s="156"/>
      <c r="I75" s="156"/>
      <c r="J75" s="157">
        <v>0.47847222222222224</v>
      </c>
      <c r="K75" s="149"/>
      <c r="L75" s="149"/>
      <c r="M75" s="149"/>
      <c r="N75" s="149"/>
      <c r="O75" s="157">
        <v>0.17986111111111111</v>
      </c>
      <c r="P75" s="149"/>
      <c r="Q75" s="157">
        <v>0.21666666666666667</v>
      </c>
      <c r="R75" s="149"/>
      <c r="S75" s="149"/>
      <c r="T75" s="155"/>
      <c r="U75" s="155"/>
      <c r="V75" s="156"/>
      <c r="W75" s="156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55"/>
      <c r="AI75" s="155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  <c r="BN75" s="149"/>
      <c r="BO75" s="149"/>
      <c r="BP75" s="149"/>
      <c r="BQ75" s="149"/>
    </row>
    <row r="76" spans="1:69" ht="16.5">
      <c r="A76" s="158" t="s">
        <v>123</v>
      </c>
      <c r="B76" s="158" t="s">
        <v>124</v>
      </c>
      <c r="C76" s="159" t="s">
        <v>125</v>
      </c>
      <c r="D76" s="153"/>
      <c r="E76" s="153"/>
      <c r="F76" s="154">
        <v>0.36527777777777776</v>
      </c>
      <c r="G76" s="155"/>
      <c r="H76" s="156"/>
      <c r="I76" s="156"/>
      <c r="J76" s="157">
        <v>0.35902777777777778</v>
      </c>
      <c r="K76" s="157">
        <v>0.12013888888888889</v>
      </c>
      <c r="L76" s="157">
        <v>0.35555555555555557</v>
      </c>
      <c r="M76" s="157">
        <v>0.13333333333333333</v>
      </c>
      <c r="N76" s="157">
        <v>0.40277777777777779</v>
      </c>
      <c r="O76" s="157">
        <v>0.15</v>
      </c>
      <c r="P76" s="157">
        <v>0.36805555555555558</v>
      </c>
      <c r="Q76" s="157">
        <v>0.15069444444444444</v>
      </c>
      <c r="R76" s="157">
        <v>0.39097222222222222</v>
      </c>
      <c r="S76" s="157">
        <v>0.14791666666666667</v>
      </c>
      <c r="T76" s="154">
        <v>0.40208333333333335</v>
      </c>
      <c r="U76" s="155"/>
      <c r="V76" s="156"/>
      <c r="W76" s="156"/>
      <c r="X76" s="157">
        <v>0.35138888888888886</v>
      </c>
      <c r="Y76" s="149"/>
      <c r="Z76" s="149"/>
      <c r="AA76" s="149"/>
      <c r="AB76" s="149"/>
      <c r="AC76" s="149"/>
      <c r="AD76" s="149"/>
      <c r="AE76" s="149"/>
      <c r="AF76" s="149"/>
      <c r="AG76" s="149"/>
      <c r="AH76" s="155"/>
      <c r="AI76" s="155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</row>
    <row r="77" spans="1:69" ht="16.5">
      <c r="A77" s="158" t="s">
        <v>123</v>
      </c>
      <c r="B77" s="158" t="s">
        <v>126</v>
      </c>
      <c r="C77" s="159" t="s">
        <v>127</v>
      </c>
      <c r="D77" s="153"/>
      <c r="E77" s="153"/>
      <c r="F77" s="155"/>
      <c r="G77" s="155"/>
      <c r="H77" s="156"/>
      <c r="I77" s="156"/>
      <c r="J77" s="157">
        <v>0.36736111111111114</v>
      </c>
      <c r="K77" s="157">
        <v>0.16319444444444445</v>
      </c>
      <c r="L77" s="157">
        <v>0.39305555555555555</v>
      </c>
      <c r="M77" s="157">
        <v>0.16180555555555556</v>
      </c>
      <c r="N77" s="157">
        <v>0.3923611111111111</v>
      </c>
      <c r="O77" s="157">
        <v>0.16805555555555557</v>
      </c>
      <c r="P77" s="157">
        <v>0.3840277777777778</v>
      </c>
      <c r="Q77" s="157">
        <v>0.18402777777777779</v>
      </c>
      <c r="R77" s="157">
        <v>0.34930555555555554</v>
      </c>
      <c r="S77" s="157">
        <v>0.15555555555555556</v>
      </c>
      <c r="T77" s="154">
        <v>0.37708333333333333</v>
      </c>
      <c r="U77" s="155"/>
      <c r="V77" s="156"/>
      <c r="W77" s="156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55"/>
      <c r="AI77" s="155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</row>
    <row r="78" spans="1:69" ht="16.5">
      <c r="A78" s="158"/>
      <c r="B78" s="158" t="s">
        <v>641</v>
      </c>
      <c r="C78" s="159" t="s">
        <v>193</v>
      </c>
      <c r="D78" s="153"/>
      <c r="E78" s="153"/>
      <c r="F78" s="154">
        <v>0.41597222222222224</v>
      </c>
      <c r="G78" s="155"/>
      <c r="H78" s="156"/>
      <c r="I78" s="156"/>
      <c r="J78" s="157">
        <v>0.38194444444444442</v>
      </c>
      <c r="K78" s="157">
        <v>0.1701388888888889</v>
      </c>
      <c r="L78" s="157">
        <v>0.35486111111111113</v>
      </c>
      <c r="M78" s="157">
        <v>0.2388888888888889</v>
      </c>
      <c r="N78" s="157">
        <v>0.41319444444444442</v>
      </c>
      <c r="O78" s="157">
        <v>0.15625</v>
      </c>
      <c r="P78" s="157">
        <v>0.3972222222222222</v>
      </c>
      <c r="Q78" s="157">
        <v>0.21111111111111111</v>
      </c>
      <c r="R78" s="157">
        <v>0.44791666666666669</v>
      </c>
      <c r="S78" s="157">
        <v>0.20277777777777778</v>
      </c>
      <c r="T78" s="154">
        <v>0.44513888888888886</v>
      </c>
      <c r="U78" s="155"/>
      <c r="V78" s="156"/>
      <c r="W78" s="156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55"/>
      <c r="AI78" s="155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</row>
    <row r="79" spans="1:69" ht="16.5">
      <c r="A79" s="158" t="s">
        <v>123</v>
      </c>
      <c r="B79" s="158" t="s">
        <v>128</v>
      </c>
      <c r="C79" s="159" t="s">
        <v>194</v>
      </c>
      <c r="D79" s="153"/>
      <c r="E79" s="153"/>
      <c r="F79" s="155"/>
      <c r="G79" s="155"/>
      <c r="H79" s="156"/>
      <c r="I79" s="156"/>
      <c r="J79" s="157">
        <v>0.37430555555555556</v>
      </c>
      <c r="K79" s="157">
        <v>0.16250000000000001</v>
      </c>
      <c r="L79" s="157">
        <v>0.36875000000000002</v>
      </c>
      <c r="M79" s="157">
        <v>0.22430555555555556</v>
      </c>
      <c r="N79" s="157">
        <v>0.3888888888888889</v>
      </c>
      <c r="O79" s="157">
        <v>0.20902777777777778</v>
      </c>
      <c r="P79" s="157">
        <v>0.44305555555555554</v>
      </c>
      <c r="Q79" s="157">
        <v>0.16805555555555557</v>
      </c>
      <c r="R79" s="157">
        <v>0.39583333333333331</v>
      </c>
      <c r="S79" s="157">
        <v>0.17708333333333334</v>
      </c>
      <c r="T79" s="155"/>
      <c r="U79" s="155"/>
      <c r="V79" s="156"/>
      <c r="W79" s="156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55"/>
      <c r="AI79" s="155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  <c r="BN79" s="149"/>
      <c r="BO79" s="149"/>
      <c r="BP79" s="149"/>
      <c r="BQ79" s="149"/>
    </row>
    <row r="80" spans="1:69" ht="16.5">
      <c r="A80" s="158" t="s">
        <v>123</v>
      </c>
      <c r="B80" s="158" t="s">
        <v>130</v>
      </c>
      <c r="C80" s="159" t="s">
        <v>131</v>
      </c>
      <c r="D80" s="153"/>
      <c r="E80" s="153"/>
      <c r="F80" s="155"/>
      <c r="G80" s="155"/>
      <c r="H80" s="156"/>
      <c r="I80" s="156"/>
      <c r="J80" s="157">
        <v>0.3840277777777778</v>
      </c>
      <c r="K80" s="157">
        <v>0.25</v>
      </c>
      <c r="L80" s="157">
        <v>0.38194444444444442</v>
      </c>
      <c r="M80" s="157">
        <v>0.25624999999999998</v>
      </c>
      <c r="N80" s="157">
        <v>0.38541666666666669</v>
      </c>
      <c r="O80" s="157">
        <v>0.27291666666666664</v>
      </c>
      <c r="P80" s="157">
        <v>0.44861111111111113</v>
      </c>
      <c r="Q80" s="157">
        <v>0.28125</v>
      </c>
      <c r="R80" s="157">
        <v>0.38819444444444445</v>
      </c>
      <c r="S80" s="157">
        <v>0.18888888888888888</v>
      </c>
      <c r="T80" s="155"/>
      <c r="U80" s="155"/>
      <c r="V80" s="156"/>
      <c r="W80" s="156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55"/>
      <c r="AI80" s="155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  <c r="BN80" s="149"/>
      <c r="BO80" s="149"/>
      <c r="BP80" s="149"/>
      <c r="BQ80" s="149"/>
    </row>
    <row r="81" spans="1:69" ht="16.5">
      <c r="A81" s="158" t="s">
        <v>123</v>
      </c>
      <c r="B81" s="158" t="s">
        <v>132</v>
      </c>
      <c r="C81" s="159" t="s">
        <v>133</v>
      </c>
      <c r="D81" s="153"/>
      <c r="E81" s="153"/>
      <c r="F81" s="155"/>
      <c r="G81" s="155"/>
      <c r="H81" s="156"/>
      <c r="I81" s="156"/>
      <c r="J81" s="157">
        <v>0.38819444444444445</v>
      </c>
      <c r="K81" s="157">
        <v>0.14861111111111111</v>
      </c>
      <c r="L81" s="157">
        <v>0.39791666666666664</v>
      </c>
      <c r="M81" s="157">
        <v>0.15763888888888888</v>
      </c>
      <c r="N81" s="157">
        <v>0.40555555555555556</v>
      </c>
      <c r="O81" s="157">
        <v>0.15625</v>
      </c>
      <c r="P81" s="157">
        <v>0.40416666666666667</v>
      </c>
      <c r="Q81" s="157">
        <v>0.14652777777777778</v>
      </c>
      <c r="R81" s="157">
        <v>0.45763888888888887</v>
      </c>
      <c r="S81" s="157">
        <v>0.1451388888888889</v>
      </c>
      <c r="T81" s="154">
        <v>0.37916666666666665</v>
      </c>
      <c r="U81" s="155"/>
      <c r="V81" s="156"/>
      <c r="W81" s="156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55"/>
      <c r="AI81" s="155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</row>
    <row r="82" spans="1:69" ht="16.5">
      <c r="A82" s="158" t="s">
        <v>134</v>
      </c>
      <c r="B82" s="158" t="s">
        <v>135</v>
      </c>
      <c r="C82" s="159" t="s">
        <v>136</v>
      </c>
      <c r="D82" s="153"/>
      <c r="E82" s="153"/>
      <c r="F82" s="155"/>
      <c r="G82" s="155"/>
      <c r="H82" s="156"/>
      <c r="I82" s="156"/>
      <c r="J82" s="157">
        <v>0.35555555555555557</v>
      </c>
      <c r="K82" s="149"/>
      <c r="L82" s="157">
        <v>0.35833333333333334</v>
      </c>
      <c r="M82" s="149"/>
      <c r="N82" s="157">
        <v>0.36180555555555555</v>
      </c>
      <c r="O82" s="149"/>
      <c r="P82" s="157">
        <v>0.36041666666666666</v>
      </c>
      <c r="Q82" s="149"/>
      <c r="R82" s="157">
        <v>0.36180555555555555</v>
      </c>
      <c r="S82" s="149"/>
      <c r="T82" s="155"/>
      <c r="U82" s="155"/>
      <c r="V82" s="156"/>
      <c r="W82" s="156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55"/>
      <c r="AI82" s="155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</row>
    <row r="83" spans="1:69" ht="16.5">
      <c r="A83" s="158" t="s">
        <v>134</v>
      </c>
      <c r="B83" s="158" t="s">
        <v>135</v>
      </c>
      <c r="C83" s="159" t="s">
        <v>137</v>
      </c>
      <c r="D83" s="153"/>
      <c r="E83" s="153"/>
      <c r="F83" s="155"/>
      <c r="G83" s="155"/>
      <c r="H83" s="156"/>
      <c r="I83" s="156"/>
      <c r="J83" s="149"/>
      <c r="K83" s="157">
        <v>0.13194444444444445</v>
      </c>
      <c r="L83" s="149"/>
      <c r="M83" s="157">
        <v>0.14305555555555555</v>
      </c>
      <c r="N83" s="149"/>
      <c r="O83" s="157">
        <v>0.13263888888888889</v>
      </c>
      <c r="P83" s="149"/>
      <c r="Q83" s="157">
        <v>0.13263888888888889</v>
      </c>
      <c r="R83" s="149"/>
      <c r="S83" s="157">
        <v>0.17499999999999999</v>
      </c>
      <c r="T83" s="155"/>
      <c r="U83" s="155"/>
      <c r="V83" s="156"/>
      <c r="W83" s="156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55"/>
      <c r="AI83" s="155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</row>
    <row r="84" spans="1:69" ht="16.5">
      <c r="A84" s="158" t="s">
        <v>134</v>
      </c>
      <c r="B84" s="158" t="s">
        <v>135</v>
      </c>
      <c r="C84" s="159" t="s">
        <v>138</v>
      </c>
      <c r="D84" s="153"/>
      <c r="E84" s="153"/>
      <c r="F84" s="155"/>
      <c r="G84" s="155"/>
      <c r="H84" s="156"/>
      <c r="I84" s="156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55"/>
      <c r="U84" s="155"/>
      <c r="V84" s="156"/>
      <c r="W84" s="156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55"/>
      <c r="AI84" s="155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  <c r="BN84" s="149"/>
      <c r="BO84" s="149"/>
      <c r="BP84" s="149"/>
      <c r="BQ84" s="149"/>
    </row>
    <row r="85" spans="1:69" ht="16.5">
      <c r="A85" s="158" t="s">
        <v>134</v>
      </c>
      <c r="B85" s="158" t="s">
        <v>135</v>
      </c>
      <c r="C85" s="159" t="s">
        <v>139</v>
      </c>
      <c r="D85" s="153"/>
      <c r="E85" s="153"/>
      <c r="F85" s="155"/>
      <c r="G85" s="155"/>
      <c r="H85" s="156"/>
      <c r="I85" s="156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55"/>
      <c r="U85" s="155"/>
      <c r="V85" s="156"/>
      <c r="W85" s="156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55"/>
      <c r="AI85" s="155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  <c r="BN85" s="149"/>
      <c r="BO85" s="149"/>
      <c r="BP85" s="149"/>
      <c r="BQ85" s="149"/>
    </row>
    <row r="86" spans="1:69" ht="16.5">
      <c r="A86" s="158" t="s">
        <v>134</v>
      </c>
      <c r="B86" s="158" t="s">
        <v>135</v>
      </c>
      <c r="C86" s="159" t="s">
        <v>140</v>
      </c>
      <c r="D86" s="153"/>
      <c r="E86" s="153"/>
      <c r="F86" s="155"/>
      <c r="G86" s="155"/>
      <c r="H86" s="156"/>
      <c r="I86" s="156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55"/>
      <c r="U86" s="155"/>
      <c r="V86" s="156"/>
      <c r="W86" s="156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55"/>
      <c r="AI86" s="155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</row>
    <row r="87" spans="1:69" ht="16.5">
      <c r="A87" s="158" t="s">
        <v>134</v>
      </c>
      <c r="B87" s="158" t="s">
        <v>141</v>
      </c>
      <c r="C87" s="159" t="s">
        <v>142</v>
      </c>
      <c r="D87" s="153"/>
      <c r="E87" s="153"/>
      <c r="F87" s="155"/>
      <c r="G87" s="155"/>
      <c r="H87" s="156"/>
      <c r="I87" s="156"/>
      <c r="J87" s="149"/>
      <c r="K87" s="157">
        <v>0.2298611111111111</v>
      </c>
      <c r="L87" s="157">
        <v>0.39027777777777778</v>
      </c>
      <c r="M87" s="157">
        <v>0.2326388888888889</v>
      </c>
      <c r="N87" s="157">
        <v>0.38333333333333336</v>
      </c>
      <c r="O87" s="157">
        <v>0.24861111111111112</v>
      </c>
      <c r="P87" s="157">
        <v>0.40833333333333333</v>
      </c>
      <c r="Q87" s="157">
        <v>0.23194444444444445</v>
      </c>
      <c r="R87" s="149"/>
      <c r="S87" s="157">
        <v>0.28611111111111109</v>
      </c>
      <c r="T87" s="155"/>
      <c r="U87" s="155"/>
      <c r="V87" s="156"/>
      <c r="W87" s="156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55"/>
      <c r="AI87" s="155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</row>
    <row r="88" spans="1:69" ht="16.5">
      <c r="A88" s="158" t="s">
        <v>134</v>
      </c>
      <c r="B88" s="158" t="s">
        <v>141</v>
      </c>
      <c r="C88" s="159" t="s">
        <v>143</v>
      </c>
      <c r="D88" s="153"/>
      <c r="E88" s="153"/>
      <c r="F88" s="155"/>
      <c r="G88" s="155"/>
      <c r="H88" s="156"/>
      <c r="I88" s="156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55"/>
      <c r="U88" s="155"/>
      <c r="V88" s="156"/>
      <c r="W88" s="156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55"/>
      <c r="AI88" s="155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</row>
    <row r="89" spans="1:69" ht="16.5">
      <c r="A89" s="158" t="s">
        <v>134</v>
      </c>
      <c r="B89" s="158" t="s">
        <v>141</v>
      </c>
      <c r="C89" s="159" t="s">
        <v>144</v>
      </c>
      <c r="D89" s="153"/>
      <c r="E89" s="153"/>
      <c r="F89" s="155"/>
      <c r="G89" s="155"/>
      <c r="H89" s="156"/>
      <c r="I89" s="156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55"/>
      <c r="U89" s="155"/>
      <c r="V89" s="156"/>
      <c r="W89" s="156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55"/>
      <c r="AI89" s="155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  <c r="BN89" s="149"/>
      <c r="BO89" s="149"/>
      <c r="BP89" s="149"/>
      <c r="BQ89" s="149"/>
    </row>
    <row r="90" spans="1:69" ht="16.5">
      <c r="A90" s="158" t="s">
        <v>134</v>
      </c>
      <c r="B90" s="158" t="s">
        <v>145</v>
      </c>
      <c r="C90" s="159" t="s">
        <v>146</v>
      </c>
      <c r="D90" s="153"/>
      <c r="E90" s="153"/>
      <c r="F90" s="155"/>
      <c r="G90" s="155"/>
      <c r="H90" s="156"/>
      <c r="I90" s="156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55"/>
      <c r="U90" s="155"/>
      <c r="V90" s="156"/>
      <c r="W90" s="156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55"/>
      <c r="AI90" s="155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149"/>
    </row>
    <row r="91" spans="1:69" ht="16.5">
      <c r="A91" s="158" t="s">
        <v>147</v>
      </c>
      <c r="B91" s="158" t="s">
        <v>148</v>
      </c>
      <c r="C91" s="159" t="s">
        <v>149</v>
      </c>
      <c r="D91" s="153"/>
      <c r="E91" s="153"/>
      <c r="F91" s="155"/>
      <c r="G91" s="155"/>
      <c r="H91" s="156"/>
      <c r="I91" s="156"/>
      <c r="J91" s="157">
        <v>0.44166666666666665</v>
      </c>
      <c r="K91" s="157">
        <v>0.16527777777777777</v>
      </c>
      <c r="L91" s="157">
        <v>0.39583333333333331</v>
      </c>
      <c r="M91" s="157">
        <v>0.16388888888888889</v>
      </c>
      <c r="N91" s="157">
        <v>0.38055555555555554</v>
      </c>
      <c r="O91" s="157">
        <v>0.1875</v>
      </c>
      <c r="P91" s="157">
        <v>0.42638888888888887</v>
      </c>
      <c r="Q91" s="157">
        <v>0.14444444444444443</v>
      </c>
      <c r="R91" s="157">
        <v>0.38055555555555554</v>
      </c>
      <c r="S91" s="157">
        <v>0.1736111111111111</v>
      </c>
      <c r="T91" s="154">
        <v>0.4548611111111111</v>
      </c>
      <c r="U91" s="155"/>
      <c r="V91" s="156"/>
      <c r="W91" s="156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55"/>
      <c r="AI91" s="155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</row>
    <row r="92" spans="1:69" ht="16.5">
      <c r="A92" s="158" t="s">
        <v>147</v>
      </c>
      <c r="B92" s="158"/>
      <c r="C92" s="159" t="s">
        <v>195</v>
      </c>
      <c r="D92" s="153"/>
      <c r="E92" s="153"/>
      <c r="F92" s="154">
        <v>0.42986111111111114</v>
      </c>
      <c r="G92" s="155"/>
      <c r="H92" s="156"/>
      <c r="I92" s="156"/>
      <c r="J92" s="157">
        <v>0.3972222222222222</v>
      </c>
      <c r="K92" s="157">
        <v>0.16875000000000001</v>
      </c>
      <c r="L92" s="157">
        <v>0.34513888888888888</v>
      </c>
      <c r="M92" s="149"/>
      <c r="N92" s="157">
        <v>0.38680555555555557</v>
      </c>
      <c r="O92" s="157">
        <v>0.17083333333333334</v>
      </c>
      <c r="P92" s="157">
        <v>0</v>
      </c>
      <c r="Q92" s="157">
        <v>0.19513888888888889</v>
      </c>
      <c r="R92" s="157">
        <v>0.37638888888888888</v>
      </c>
      <c r="S92" s="157">
        <v>0.11597222222222223</v>
      </c>
      <c r="T92" s="155"/>
      <c r="U92" s="155"/>
      <c r="V92" s="156"/>
      <c r="W92" s="156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55"/>
      <c r="AI92" s="155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  <c r="BN92" s="149"/>
      <c r="BO92" s="149"/>
      <c r="BP92" s="149"/>
      <c r="BQ92" s="149"/>
    </row>
    <row r="93" spans="1:69" ht="16.5">
      <c r="A93" s="160" t="s">
        <v>147</v>
      </c>
      <c r="B93" s="158" t="s">
        <v>642</v>
      </c>
      <c r="C93" s="159" t="s">
        <v>643</v>
      </c>
      <c r="D93" s="153"/>
      <c r="E93" s="153"/>
      <c r="F93" s="155"/>
      <c r="G93" s="155"/>
      <c r="H93" s="156"/>
      <c r="I93" s="156"/>
      <c r="J93" s="157">
        <v>0.36180555555555555</v>
      </c>
      <c r="K93" s="157">
        <v>0.15277777777777779</v>
      </c>
      <c r="L93" s="157">
        <v>0.40069444444444446</v>
      </c>
      <c r="M93" s="157">
        <v>0.14305555555555555</v>
      </c>
      <c r="N93" s="157">
        <v>0.36944444444444446</v>
      </c>
      <c r="O93" s="157">
        <v>0.12916666666666668</v>
      </c>
      <c r="P93" s="157">
        <v>0.35208333333333336</v>
      </c>
      <c r="Q93" s="157">
        <v>0.12986111111111112</v>
      </c>
      <c r="R93" s="157">
        <v>0.35208333333333336</v>
      </c>
      <c r="S93" s="157">
        <v>0.13263888888888889</v>
      </c>
      <c r="T93" s="154">
        <v>9.5138888888888884E-2</v>
      </c>
      <c r="U93" s="155"/>
      <c r="V93" s="156"/>
      <c r="W93" s="156"/>
      <c r="X93" s="157">
        <v>0.35416666666666669</v>
      </c>
      <c r="Y93" s="149"/>
      <c r="Z93" s="149"/>
      <c r="AA93" s="149"/>
      <c r="AB93" s="149"/>
      <c r="AC93" s="149"/>
      <c r="AD93" s="149"/>
      <c r="AE93" s="149"/>
      <c r="AF93" s="149"/>
      <c r="AG93" s="149"/>
      <c r="AH93" s="155"/>
      <c r="AI93" s="155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  <c r="BN93" s="149"/>
      <c r="BO93" s="149"/>
      <c r="BP93" s="149"/>
      <c r="BQ93" s="149"/>
    </row>
    <row r="94" spans="1:69" ht="16.5">
      <c r="A94" s="160" t="s">
        <v>150</v>
      </c>
      <c r="B94" s="158" t="s">
        <v>151</v>
      </c>
      <c r="C94" s="161" t="s">
        <v>152</v>
      </c>
      <c r="D94" s="153"/>
      <c r="E94" s="153"/>
      <c r="F94" s="155"/>
      <c r="G94" s="155"/>
      <c r="H94" s="156"/>
      <c r="I94" s="156"/>
      <c r="J94" s="157">
        <v>0.48125000000000001</v>
      </c>
      <c r="K94" s="157">
        <v>0.25694444444444442</v>
      </c>
      <c r="L94" s="157">
        <v>0.3888888888888889</v>
      </c>
      <c r="M94" s="157">
        <v>0.16805555555555557</v>
      </c>
      <c r="N94" s="157">
        <v>0.38472222222222224</v>
      </c>
      <c r="O94" s="157">
        <v>0.15416666666666667</v>
      </c>
      <c r="P94" s="157">
        <v>0.40347222222222223</v>
      </c>
      <c r="Q94" s="157">
        <v>0.18333333333333332</v>
      </c>
      <c r="R94" s="157">
        <v>0.39652777777777776</v>
      </c>
      <c r="S94" s="157">
        <v>0.20347222222222222</v>
      </c>
      <c r="T94" s="155"/>
      <c r="U94" s="155"/>
      <c r="V94" s="156"/>
      <c r="W94" s="156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55"/>
      <c r="AI94" s="155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</row>
    <row r="95" spans="1:69" ht="16.5">
      <c r="A95" s="158" t="s">
        <v>150</v>
      </c>
      <c r="B95" s="162" t="s">
        <v>198</v>
      </c>
      <c r="C95" s="159" t="s">
        <v>153</v>
      </c>
      <c r="D95" s="153"/>
      <c r="E95" s="153"/>
      <c r="F95" s="155"/>
      <c r="G95" s="155"/>
      <c r="H95" s="156"/>
      <c r="I95" s="156"/>
      <c r="J95" s="149"/>
      <c r="K95" s="149"/>
      <c r="L95" s="149"/>
      <c r="M95" s="149"/>
      <c r="N95" s="157">
        <v>0.39097222222222222</v>
      </c>
      <c r="O95" s="157">
        <v>0.13263888888888889</v>
      </c>
      <c r="P95" s="157">
        <v>0.42916666666666664</v>
      </c>
      <c r="Q95" s="149"/>
      <c r="R95" s="149"/>
      <c r="S95" s="149"/>
      <c r="T95" s="155"/>
      <c r="U95" s="155"/>
      <c r="V95" s="156"/>
      <c r="W95" s="156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55"/>
      <c r="AI95" s="155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  <c r="BN95" s="149"/>
      <c r="BO95" s="149"/>
      <c r="BP95" s="149"/>
      <c r="BQ95" s="149"/>
    </row>
    <row r="96" spans="1:69" ht="16.5">
      <c r="A96" s="158" t="s">
        <v>150</v>
      </c>
      <c r="B96" s="162" t="s">
        <v>198</v>
      </c>
      <c r="C96" s="159" t="s">
        <v>154</v>
      </c>
      <c r="D96" s="153"/>
      <c r="E96" s="153"/>
      <c r="F96" s="155"/>
      <c r="G96" s="155"/>
      <c r="H96" s="156"/>
      <c r="I96" s="156"/>
      <c r="J96" s="157">
        <v>0.41875000000000001</v>
      </c>
      <c r="K96" s="157">
        <v>0.17708333333333334</v>
      </c>
      <c r="L96" s="157">
        <v>0.4284722222222222</v>
      </c>
      <c r="M96" s="157">
        <v>0.16458333333333333</v>
      </c>
      <c r="N96" s="149"/>
      <c r="O96" s="149"/>
      <c r="P96" s="149"/>
      <c r="Q96" s="157">
        <v>0.18124999999999999</v>
      </c>
      <c r="R96" s="157">
        <v>0.39861111111111114</v>
      </c>
      <c r="S96" s="157">
        <v>0.21041666666666667</v>
      </c>
      <c r="T96" s="155"/>
      <c r="U96" s="155"/>
      <c r="V96" s="156"/>
      <c r="W96" s="156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55"/>
      <c r="AI96" s="155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  <c r="BN96" s="149"/>
      <c r="BO96" s="149"/>
      <c r="BP96" s="149"/>
      <c r="BQ96" s="149"/>
    </row>
    <row r="97" spans="1:69" ht="16.5">
      <c r="A97" s="158" t="s">
        <v>150</v>
      </c>
      <c r="B97" s="163" t="s">
        <v>155</v>
      </c>
      <c r="C97" s="159" t="s">
        <v>156</v>
      </c>
      <c r="D97" s="153"/>
      <c r="E97" s="153"/>
      <c r="F97" s="155"/>
      <c r="G97" s="155"/>
      <c r="H97" s="156"/>
      <c r="I97" s="156"/>
      <c r="J97" s="157">
        <v>0.40486111111111112</v>
      </c>
      <c r="K97" s="157">
        <v>0.13472222222222222</v>
      </c>
      <c r="L97" s="157">
        <v>0.40069444444444446</v>
      </c>
      <c r="M97" s="157">
        <v>0.13958333333333334</v>
      </c>
      <c r="N97" s="157">
        <v>0.39930555555555558</v>
      </c>
      <c r="O97" s="157">
        <v>0.13958333333333334</v>
      </c>
      <c r="P97" s="157">
        <v>0.40416666666666667</v>
      </c>
      <c r="Q97" s="157">
        <v>0.12916666666666668</v>
      </c>
      <c r="R97" s="157">
        <v>0.40069444444444446</v>
      </c>
      <c r="S97" s="157">
        <v>0.13541666666666666</v>
      </c>
      <c r="T97" s="155"/>
      <c r="U97" s="155"/>
      <c r="V97" s="156"/>
      <c r="W97" s="156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55"/>
      <c r="AI97" s="155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  <c r="BN97" s="149"/>
      <c r="BO97" s="149"/>
      <c r="BP97" s="149"/>
      <c r="BQ97" s="149"/>
    </row>
    <row r="98" spans="1:69" ht="16.5">
      <c r="A98" s="158" t="s">
        <v>150</v>
      </c>
      <c r="B98" s="163" t="s">
        <v>157</v>
      </c>
      <c r="C98" s="159" t="s">
        <v>158</v>
      </c>
      <c r="D98" s="153"/>
      <c r="E98" s="153"/>
      <c r="F98" s="155"/>
      <c r="G98" s="155"/>
      <c r="H98" s="156"/>
      <c r="I98" s="156"/>
      <c r="J98" s="149"/>
      <c r="K98" s="149"/>
      <c r="L98" s="157">
        <v>0.40625</v>
      </c>
      <c r="M98" s="149"/>
      <c r="N98" s="149"/>
      <c r="O98" s="157">
        <v>0.2388888888888889</v>
      </c>
      <c r="P98" s="149"/>
      <c r="Q98" s="149"/>
      <c r="R98" s="149"/>
      <c r="S98" s="157">
        <v>0.2076388888888889</v>
      </c>
      <c r="T98" s="155"/>
      <c r="U98" s="155"/>
      <c r="V98" s="156"/>
      <c r="W98" s="156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55"/>
      <c r="AI98" s="155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  <c r="BN98" s="149"/>
      <c r="BO98" s="149"/>
      <c r="BP98" s="149"/>
      <c r="BQ98" s="149"/>
    </row>
    <row r="99" spans="1:69" ht="16.5">
      <c r="A99" s="158" t="s">
        <v>150</v>
      </c>
      <c r="B99" s="163" t="s">
        <v>157</v>
      </c>
      <c r="C99" s="159" t="s">
        <v>159</v>
      </c>
      <c r="D99" s="153"/>
      <c r="E99" s="153"/>
      <c r="F99" s="155"/>
      <c r="G99" s="155"/>
      <c r="H99" s="156"/>
      <c r="I99" s="156"/>
      <c r="J99" s="157">
        <v>0.43819444444444444</v>
      </c>
      <c r="K99" s="149"/>
      <c r="L99" s="149"/>
      <c r="M99" s="149"/>
      <c r="N99" s="149"/>
      <c r="O99" s="149"/>
      <c r="P99" s="157">
        <v>0.44097222222222221</v>
      </c>
      <c r="Q99" s="149"/>
      <c r="R99" s="149"/>
      <c r="S99" s="149"/>
      <c r="T99" s="155"/>
      <c r="U99" s="155"/>
      <c r="V99" s="156"/>
      <c r="W99" s="156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55"/>
      <c r="AI99" s="155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  <c r="BN99" s="149"/>
      <c r="BO99" s="149"/>
      <c r="BP99" s="149"/>
      <c r="BQ99" s="149"/>
    </row>
    <row r="100" spans="1:69" ht="16.5">
      <c r="A100" s="158" t="s">
        <v>150</v>
      </c>
      <c r="B100" s="163" t="s">
        <v>160</v>
      </c>
      <c r="C100" s="159" t="s">
        <v>161</v>
      </c>
      <c r="D100" s="153"/>
      <c r="E100" s="153"/>
      <c r="F100" s="155"/>
      <c r="G100" s="155"/>
      <c r="H100" s="156"/>
      <c r="I100" s="156"/>
      <c r="J100" s="149"/>
      <c r="K100" s="157">
        <v>0.23819444444444443</v>
      </c>
      <c r="L100" s="157">
        <v>0.39583333333333331</v>
      </c>
      <c r="M100" s="149"/>
      <c r="N100" s="149"/>
      <c r="O100" s="157">
        <v>0.22916666666666666</v>
      </c>
      <c r="P100" s="157">
        <v>0</v>
      </c>
      <c r="Q100" s="149"/>
      <c r="R100" s="157">
        <v>0.43958333333333333</v>
      </c>
      <c r="S100" s="149"/>
      <c r="T100" s="155"/>
      <c r="U100" s="155"/>
      <c r="V100" s="156"/>
      <c r="W100" s="156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55"/>
      <c r="AI100" s="155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  <c r="BN100" s="149"/>
      <c r="BO100" s="149"/>
      <c r="BP100" s="149"/>
      <c r="BQ100" s="149"/>
    </row>
    <row r="101" spans="1:69" ht="16.5">
      <c r="A101" s="158" t="s">
        <v>150</v>
      </c>
      <c r="B101" s="163" t="s">
        <v>162</v>
      </c>
      <c r="C101" s="159" t="s">
        <v>163</v>
      </c>
      <c r="D101" s="153"/>
      <c r="E101" s="153"/>
      <c r="F101" s="155"/>
      <c r="G101" s="155"/>
      <c r="H101" s="156"/>
      <c r="I101" s="156"/>
      <c r="J101" s="157">
        <v>0.41736111111111113</v>
      </c>
      <c r="K101" s="149"/>
      <c r="L101" s="149"/>
      <c r="M101" s="157">
        <v>0.17916666666666667</v>
      </c>
      <c r="N101" s="157">
        <v>0.41805555555555557</v>
      </c>
      <c r="P101" s="149"/>
      <c r="Q101" s="157">
        <v>0.1736111111111111</v>
      </c>
      <c r="R101" s="149"/>
      <c r="S101" s="149"/>
      <c r="T101" s="155"/>
      <c r="U101" s="155"/>
      <c r="V101" s="156"/>
      <c r="W101" s="156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55"/>
      <c r="AI101" s="155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  <c r="BN101" s="149"/>
      <c r="BO101" s="149"/>
      <c r="BP101" s="149"/>
      <c r="BQ101" s="149"/>
    </row>
    <row r="102" spans="1:69" ht="16.5">
      <c r="O102" s="157"/>
    </row>
  </sheetData>
  <mergeCells count="19">
    <mergeCell ref="AH1:AI1"/>
    <mergeCell ref="V1:W1"/>
    <mergeCell ref="X1:Y1"/>
    <mergeCell ref="Z1:AA1"/>
    <mergeCell ref="AB1:AC1"/>
    <mergeCell ref="AD1:AE1"/>
    <mergeCell ref="AF1:AG1"/>
    <mergeCell ref="T1:U1"/>
    <mergeCell ref="A1:A2"/>
    <mergeCell ref="B1:B2"/>
    <mergeCell ref="C1:C2"/>
    <mergeCell ref="D1:E1"/>
    <mergeCell ref="F1:G1"/>
    <mergeCell ref="H1:I1"/>
    <mergeCell ref="J1:K1"/>
    <mergeCell ref="L1:M1"/>
    <mergeCell ref="N1:O1"/>
    <mergeCell ref="P1:Q1"/>
    <mergeCell ref="R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7A80-2B91-40B9-BE5B-355E154320CD}">
  <dimension ref="A1:BO123"/>
  <sheetViews>
    <sheetView topLeftCell="A5" workbookViewId="0">
      <selection activeCell="B62" sqref="B62"/>
    </sheetView>
  </sheetViews>
  <sheetFormatPr defaultColWidth="9.140625" defaultRowHeight="15"/>
  <cols>
    <col min="1" max="1" width="17.85546875" customWidth="1"/>
    <col min="2" max="3" width="33" customWidth="1"/>
    <col min="4" max="13" width="7.7109375" customWidth="1"/>
    <col min="14" max="14" width="6.28515625" customWidth="1"/>
    <col min="15" max="15" width="6.5703125" customWidth="1"/>
    <col min="16" max="63" width="7.7109375" customWidth="1"/>
    <col min="64" max="64" width="16.140625" customWidth="1"/>
    <col min="65" max="65" width="19.85546875" customWidth="1"/>
    <col min="66" max="66" width="17.5703125" customWidth="1"/>
    <col min="67" max="67" width="24.140625" customWidth="1"/>
  </cols>
  <sheetData>
    <row r="1" spans="1:67" ht="15" customHeight="1">
      <c r="A1" s="437" t="s">
        <v>589</v>
      </c>
      <c r="B1" s="437" t="s">
        <v>590</v>
      </c>
      <c r="C1" s="437" t="s">
        <v>591</v>
      </c>
      <c r="D1" s="438">
        <v>46174</v>
      </c>
      <c r="E1" s="439"/>
      <c r="F1" s="440">
        <v>46175</v>
      </c>
      <c r="G1" s="439"/>
      <c r="H1" s="440">
        <v>46176</v>
      </c>
      <c r="I1" s="439"/>
      <c r="J1" s="440">
        <v>46177</v>
      </c>
      <c r="K1" s="439"/>
      <c r="L1" s="440">
        <v>46178</v>
      </c>
      <c r="M1" s="439"/>
      <c r="N1" s="441">
        <v>46179</v>
      </c>
      <c r="O1" s="442"/>
      <c r="P1" s="441">
        <v>46180</v>
      </c>
      <c r="Q1" s="442"/>
      <c r="R1" s="440">
        <v>46181</v>
      </c>
      <c r="S1" s="439"/>
      <c r="T1" s="440">
        <v>46182</v>
      </c>
      <c r="U1" s="439"/>
      <c r="V1" s="440">
        <v>46183</v>
      </c>
      <c r="W1" s="439"/>
      <c r="X1" s="440">
        <v>46184</v>
      </c>
      <c r="Y1" s="439"/>
      <c r="Z1" s="440">
        <v>46185</v>
      </c>
      <c r="AA1" s="439"/>
      <c r="AB1" s="441">
        <v>46186</v>
      </c>
      <c r="AC1" s="442"/>
      <c r="AD1" s="441">
        <v>46187</v>
      </c>
      <c r="AE1" s="442"/>
      <c r="AF1" s="440">
        <v>46188</v>
      </c>
      <c r="AG1" s="439"/>
      <c r="AH1" s="440">
        <v>46189</v>
      </c>
      <c r="AI1" s="439"/>
      <c r="AJ1" s="440">
        <v>46190</v>
      </c>
      <c r="AK1" s="439"/>
      <c r="AL1" s="440">
        <v>46191</v>
      </c>
      <c r="AM1" s="439"/>
      <c r="AN1" s="440">
        <v>46192</v>
      </c>
      <c r="AO1" s="439"/>
      <c r="AP1" s="441">
        <v>46193</v>
      </c>
      <c r="AQ1" s="442"/>
      <c r="AR1" s="441">
        <v>46194</v>
      </c>
      <c r="AS1" s="442"/>
      <c r="AT1" s="440">
        <v>46195</v>
      </c>
      <c r="AU1" s="439"/>
      <c r="AV1" s="440">
        <v>46196</v>
      </c>
      <c r="AW1" s="439"/>
      <c r="AX1" s="440">
        <v>46197</v>
      </c>
      <c r="AY1" s="439"/>
      <c r="AZ1" s="440">
        <v>46198</v>
      </c>
      <c r="BA1" s="439"/>
      <c r="BB1" s="440">
        <v>46199</v>
      </c>
      <c r="BC1" s="439"/>
      <c r="BD1" s="441">
        <v>46200</v>
      </c>
      <c r="BE1" s="442"/>
      <c r="BF1" s="441">
        <v>46201</v>
      </c>
      <c r="BG1" s="442"/>
      <c r="BH1" s="440">
        <v>46202</v>
      </c>
      <c r="BI1" s="439"/>
      <c r="BJ1" s="438">
        <v>46203</v>
      </c>
      <c r="BK1" s="439"/>
      <c r="BL1" s="417" t="s">
        <v>637</v>
      </c>
      <c r="BM1" s="415" t="s">
        <v>638</v>
      </c>
      <c r="BN1" s="423" t="s">
        <v>677</v>
      </c>
      <c r="BO1" s="425" t="s">
        <v>678</v>
      </c>
    </row>
    <row r="2" spans="1:67" ht="16.5">
      <c r="A2" s="443"/>
      <c r="B2" s="443"/>
      <c r="C2" s="444"/>
      <c r="D2" s="210" t="s">
        <v>3</v>
      </c>
      <c r="E2" s="211" t="s">
        <v>4</v>
      </c>
      <c r="F2" s="211" t="s">
        <v>3</v>
      </c>
      <c r="G2" s="211" t="s">
        <v>4</v>
      </c>
      <c r="H2" s="211" t="s">
        <v>3</v>
      </c>
      <c r="I2" s="211" t="s">
        <v>4</v>
      </c>
      <c r="J2" s="211" t="s">
        <v>3</v>
      </c>
      <c r="K2" s="211" t="s">
        <v>4</v>
      </c>
      <c r="L2" s="211" t="s">
        <v>3</v>
      </c>
      <c r="M2" s="211" t="s">
        <v>4</v>
      </c>
      <c r="N2" s="212" t="s">
        <v>3</v>
      </c>
      <c r="O2" s="212" t="s">
        <v>4</v>
      </c>
      <c r="P2" s="213" t="s">
        <v>3</v>
      </c>
      <c r="Q2" s="213" t="s">
        <v>4</v>
      </c>
      <c r="R2" s="211" t="s">
        <v>3</v>
      </c>
      <c r="S2" s="211" t="s">
        <v>4</v>
      </c>
      <c r="T2" s="211" t="s">
        <v>3</v>
      </c>
      <c r="U2" s="211" t="s">
        <v>4</v>
      </c>
      <c r="V2" s="211" t="s">
        <v>3</v>
      </c>
      <c r="W2" s="211" t="s">
        <v>4</v>
      </c>
      <c r="X2" s="211" t="s">
        <v>3</v>
      </c>
      <c r="Y2" s="211" t="s">
        <v>4</v>
      </c>
      <c r="Z2" s="211" t="s">
        <v>3</v>
      </c>
      <c r="AA2" s="211" t="s">
        <v>4</v>
      </c>
      <c r="AB2" s="212" t="s">
        <v>3</v>
      </c>
      <c r="AC2" s="212" t="s">
        <v>4</v>
      </c>
      <c r="AD2" s="212" t="s">
        <v>3</v>
      </c>
      <c r="AE2" s="212" t="s">
        <v>4</v>
      </c>
      <c r="AF2" s="211" t="s">
        <v>3</v>
      </c>
      <c r="AG2" s="211" t="s">
        <v>4</v>
      </c>
      <c r="AH2" s="211" t="s">
        <v>3</v>
      </c>
      <c r="AI2" s="211" t="s">
        <v>4</v>
      </c>
      <c r="AJ2" s="211" t="s">
        <v>3</v>
      </c>
      <c r="AK2" s="211" t="s">
        <v>4</v>
      </c>
      <c r="AL2" s="211" t="s">
        <v>3</v>
      </c>
      <c r="AM2" s="211" t="s">
        <v>4</v>
      </c>
      <c r="AN2" s="211" t="s">
        <v>3</v>
      </c>
      <c r="AO2" s="211" t="s">
        <v>4</v>
      </c>
      <c r="AP2" s="212" t="s">
        <v>3</v>
      </c>
      <c r="AQ2" s="212" t="s">
        <v>4</v>
      </c>
      <c r="AR2" s="212" t="s">
        <v>3</v>
      </c>
      <c r="AS2" s="212" t="s">
        <v>4</v>
      </c>
      <c r="AT2" s="211" t="s">
        <v>3</v>
      </c>
      <c r="AU2" s="211" t="s">
        <v>4</v>
      </c>
      <c r="AV2" s="211" t="s">
        <v>3</v>
      </c>
      <c r="AW2" s="211" t="s">
        <v>4</v>
      </c>
      <c r="AX2" s="211" t="s">
        <v>3</v>
      </c>
      <c r="AY2" s="211" t="s">
        <v>4</v>
      </c>
      <c r="AZ2" s="211" t="s">
        <v>3</v>
      </c>
      <c r="BA2" s="211" t="s">
        <v>4</v>
      </c>
      <c r="BB2" s="211" t="s">
        <v>3</v>
      </c>
      <c r="BC2" s="211" t="s">
        <v>4</v>
      </c>
      <c r="BD2" s="212" t="s">
        <v>3</v>
      </c>
      <c r="BE2" s="212" t="s">
        <v>4</v>
      </c>
      <c r="BF2" s="212" t="s">
        <v>3</v>
      </c>
      <c r="BG2" s="212" t="s">
        <v>4</v>
      </c>
      <c r="BH2" s="211" t="s">
        <v>3</v>
      </c>
      <c r="BI2" s="214" t="s">
        <v>4</v>
      </c>
      <c r="BJ2" s="215" t="s">
        <v>3</v>
      </c>
      <c r="BK2" s="216" t="s">
        <v>4</v>
      </c>
      <c r="BL2" s="418"/>
      <c r="BM2" s="416"/>
      <c r="BN2" s="424"/>
      <c r="BO2" s="426"/>
    </row>
    <row r="3" spans="1:67" ht="15" customHeight="1">
      <c r="A3" s="217" t="s">
        <v>5</v>
      </c>
      <c r="B3" s="217" t="s">
        <v>6</v>
      </c>
      <c r="C3" s="218" t="s">
        <v>7</v>
      </c>
      <c r="D3" s="220">
        <v>0.35902777777777778</v>
      </c>
      <c r="E3" s="220">
        <v>0.67708333333333337</v>
      </c>
      <c r="F3" s="221" t="s">
        <v>679</v>
      </c>
      <c r="G3" s="222" t="s">
        <v>679</v>
      </c>
      <c r="H3" s="224">
        <v>0.36388888888888887</v>
      </c>
      <c r="I3" s="220">
        <v>0.7006944444444444</v>
      </c>
      <c r="J3" s="224">
        <v>0.36041666666666666</v>
      </c>
      <c r="K3" s="220">
        <v>0.68402777777777779</v>
      </c>
      <c r="L3" s="223" t="s">
        <v>679</v>
      </c>
      <c r="M3" s="220">
        <v>0.68402777777777779</v>
      </c>
      <c r="N3" s="221" t="s">
        <v>679</v>
      </c>
      <c r="O3" s="225" t="s">
        <v>679</v>
      </c>
      <c r="P3" s="226" t="s">
        <v>679</v>
      </c>
      <c r="Q3" s="227" t="s">
        <v>679</v>
      </c>
      <c r="R3" s="220">
        <v>0.35833333333333334</v>
      </c>
      <c r="S3" s="220">
        <v>0.67777777777777781</v>
      </c>
      <c r="T3" s="224">
        <v>0.37569444444444444</v>
      </c>
      <c r="U3" s="220">
        <v>0.67847222222222225</v>
      </c>
      <c r="V3" s="224">
        <v>0.35833333333333334</v>
      </c>
      <c r="W3" s="220">
        <v>0.64583333333333337</v>
      </c>
      <c r="X3" s="224">
        <v>0.3659722222222222</v>
      </c>
      <c r="Y3" s="220">
        <v>0.63055555555555554</v>
      </c>
      <c r="Z3" s="224">
        <v>0.44374999999999998</v>
      </c>
      <c r="AA3" s="228">
        <v>0.66736111111111107</v>
      </c>
      <c r="AB3" s="222" t="s">
        <v>679</v>
      </c>
      <c r="AC3" s="225" t="s">
        <v>679</v>
      </c>
      <c r="AD3" s="222" t="s">
        <v>679</v>
      </c>
      <c r="AE3" s="225" t="s">
        <v>679</v>
      </c>
      <c r="AF3" s="203">
        <v>0.35486111111111113</v>
      </c>
      <c r="AG3" s="203">
        <v>0.68125000000000002</v>
      </c>
      <c r="AH3" s="201">
        <v>0.35416666666666669</v>
      </c>
      <c r="AI3" s="203">
        <v>0.70138888888888884</v>
      </c>
      <c r="AJ3" s="201">
        <v>0.35347222222222224</v>
      </c>
      <c r="AK3" s="203">
        <v>0.67986111111111114</v>
      </c>
      <c r="AL3" s="201">
        <v>0.34722222222222221</v>
      </c>
      <c r="AM3" s="202"/>
      <c r="AN3" s="201">
        <v>0.35902777777777778</v>
      </c>
      <c r="AO3" s="209">
        <v>0.67291666666666672</v>
      </c>
      <c r="AP3" s="222" t="s">
        <v>679</v>
      </c>
      <c r="AQ3" s="225" t="s">
        <v>679</v>
      </c>
      <c r="AR3" s="222" t="s">
        <v>679</v>
      </c>
      <c r="AS3" s="225" t="s">
        <v>679</v>
      </c>
      <c r="AT3" s="203">
        <v>0.36041666666666666</v>
      </c>
      <c r="AU3" s="203">
        <v>0.67777777777777781</v>
      </c>
      <c r="AV3" s="201">
        <v>0.35555555555555557</v>
      </c>
      <c r="AW3" s="203">
        <v>0.66874999999999996</v>
      </c>
      <c r="AX3" s="201">
        <v>0.35902777777777778</v>
      </c>
      <c r="AY3" s="202"/>
      <c r="AZ3" s="201">
        <v>0.3576388888888889</v>
      </c>
      <c r="BA3" s="203">
        <v>0.66736111111111107</v>
      </c>
      <c r="BB3" s="200" t="s">
        <v>679</v>
      </c>
      <c r="BC3" s="229" t="s">
        <v>679</v>
      </c>
      <c r="BD3" s="222" t="s">
        <v>679</v>
      </c>
      <c r="BE3" s="225" t="s">
        <v>679</v>
      </c>
      <c r="BF3" s="222" t="s">
        <v>679</v>
      </c>
      <c r="BG3" s="225" t="s">
        <v>679</v>
      </c>
      <c r="BH3" s="202" t="s">
        <v>679</v>
      </c>
      <c r="BI3" s="202"/>
      <c r="BJ3" s="201">
        <v>0.3611111111111111</v>
      </c>
      <c r="BK3" s="203">
        <v>0.66597222222222219</v>
      </c>
      <c r="BL3" s="314">
        <v>18</v>
      </c>
      <c r="BM3" s="315">
        <v>17</v>
      </c>
      <c r="BN3" s="421" t="s">
        <v>680</v>
      </c>
      <c r="BO3" s="419" t="s">
        <v>681</v>
      </c>
    </row>
    <row r="4" spans="1:67" ht="17.25">
      <c r="A4" s="217" t="s">
        <v>5</v>
      </c>
      <c r="B4" s="217" t="s">
        <v>6</v>
      </c>
      <c r="C4" s="218" t="s">
        <v>8</v>
      </c>
      <c r="D4" s="230" t="s">
        <v>679</v>
      </c>
      <c r="E4" s="230" t="s">
        <v>679</v>
      </c>
      <c r="F4" s="231" t="s">
        <v>679</v>
      </c>
      <c r="G4" s="232" t="s">
        <v>679</v>
      </c>
      <c r="H4" s="233" t="s">
        <v>679</v>
      </c>
      <c r="I4" s="230" t="s">
        <v>679</v>
      </c>
      <c r="J4" s="233" t="s">
        <v>679</v>
      </c>
      <c r="K4" s="230" t="s">
        <v>679</v>
      </c>
      <c r="L4" s="233" t="s">
        <v>679</v>
      </c>
      <c r="M4" s="230" t="s">
        <v>679</v>
      </c>
      <c r="N4" s="231" t="s">
        <v>679</v>
      </c>
      <c r="O4" s="234" t="s">
        <v>679</v>
      </c>
      <c r="P4" s="232" t="s">
        <v>679</v>
      </c>
      <c r="Q4" s="234" t="s">
        <v>679</v>
      </c>
      <c r="R4" s="230" t="s">
        <v>679</v>
      </c>
      <c r="S4" s="230" t="s">
        <v>679</v>
      </c>
      <c r="T4" s="233" t="s">
        <v>679</v>
      </c>
      <c r="U4" s="230" t="s">
        <v>679</v>
      </c>
      <c r="V4" s="233" t="s">
        <v>679</v>
      </c>
      <c r="W4" s="230" t="s">
        <v>679</v>
      </c>
      <c r="X4" s="233" t="s">
        <v>679</v>
      </c>
      <c r="Y4" s="230" t="s">
        <v>679</v>
      </c>
      <c r="Z4" s="233" t="s">
        <v>679</v>
      </c>
      <c r="AA4" s="235" t="s">
        <v>679</v>
      </c>
      <c r="AB4" s="232" t="s">
        <v>679</v>
      </c>
      <c r="AC4" s="234" t="s">
        <v>679</v>
      </c>
      <c r="AD4" s="232" t="s">
        <v>679</v>
      </c>
      <c r="AE4" s="234" t="s">
        <v>679</v>
      </c>
      <c r="AF4" s="205" t="s">
        <v>679</v>
      </c>
      <c r="AG4" s="205" t="s">
        <v>679</v>
      </c>
      <c r="AH4" s="204" t="s">
        <v>679</v>
      </c>
      <c r="AI4" s="205" t="s">
        <v>679</v>
      </c>
      <c r="AJ4" s="204" t="s">
        <v>679</v>
      </c>
      <c r="AK4" s="205" t="s">
        <v>679</v>
      </c>
      <c r="AL4" s="204" t="s">
        <v>679</v>
      </c>
      <c r="AM4" s="205" t="s">
        <v>679</v>
      </c>
      <c r="AN4" s="204" t="s">
        <v>679</v>
      </c>
      <c r="AO4" s="208" t="s">
        <v>679</v>
      </c>
      <c r="AP4" s="232" t="s">
        <v>679</v>
      </c>
      <c r="AQ4" s="234" t="s">
        <v>679</v>
      </c>
      <c r="AR4" s="232" t="s">
        <v>679</v>
      </c>
      <c r="AS4" s="234" t="s">
        <v>679</v>
      </c>
      <c r="AT4" s="205" t="s">
        <v>679</v>
      </c>
      <c r="AU4" s="205" t="s">
        <v>679</v>
      </c>
      <c r="AV4" s="204" t="s">
        <v>679</v>
      </c>
      <c r="AW4" s="205" t="s">
        <v>679</v>
      </c>
      <c r="AX4" s="204" t="s">
        <v>679</v>
      </c>
      <c r="AY4" s="205" t="s">
        <v>679</v>
      </c>
      <c r="AZ4" s="204" t="s">
        <v>679</v>
      </c>
      <c r="BA4" s="205" t="s">
        <v>679</v>
      </c>
      <c r="BB4" s="204" t="s">
        <v>679</v>
      </c>
      <c r="BC4" s="208" t="s">
        <v>679</v>
      </c>
      <c r="BD4" s="232" t="s">
        <v>679</v>
      </c>
      <c r="BE4" s="234" t="s">
        <v>679</v>
      </c>
      <c r="BF4" s="232" t="s">
        <v>679</v>
      </c>
      <c r="BG4" s="234" t="s">
        <v>679</v>
      </c>
      <c r="BH4" s="205" t="s">
        <v>679</v>
      </c>
      <c r="BI4" s="205" t="s">
        <v>679</v>
      </c>
      <c r="BJ4" s="236" t="s">
        <v>679</v>
      </c>
      <c r="BK4" s="237" t="s">
        <v>679</v>
      </c>
      <c r="BL4" s="316">
        <v>18</v>
      </c>
      <c r="BM4" s="317">
        <v>17</v>
      </c>
      <c r="BN4" s="422"/>
      <c r="BO4" s="419"/>
    </row>
    <row r="5" spans="1:67" ht="15" customHeight="1">
      <c r="A5" s="238" t="s">
        <v>5</v>
      </c>
      <c r="B5" s="238" t="s">
        <v>9</v>
      </c>
      <c r="C5" s="239" t="s">
        <v>10</v>
      </c>
      <c r="D5" s="220">
        <v>0.34444444444444444</v>
      </c>
      <c r="E5" s="220">
        <v>0.68541666666666667</v>
      </c>
      <c r="F5" s="221" t="s">
        <v>679</v>
      </c>
      <c r="G5" s="222" t="s">
        <v>679</v>
      </c>
      <c r="H5" s="224">
        <v>0.32569444444444445</v>
      </c>
      <c r="I5" s="220">
        <v>0.65694444444444444</v>
      </c>
      <c r="J5" s="224">
        <v>0.34583333333333333</v>
      </c>
      <c r="K5" s="220">
        <v>0.63958333333333328</v>
      </c>
      <c r="L5" s="224">
        <v>0.34444444444444444</v>
      </c>
      <c r="M5" s="220">
        <v>0.67569444444444449</v>
      </c>
      <c r="N5" s="221" t="s">
        <v>679</v>
      </c>
      <c r="O5" s="222" t="s">
        <v>679</v>
      </c>
      <c r="P5" s="221" t="s">
        <v>679</v>
      </c>
      <c r="Q5" s="225" t="s">
        <v>679</v>
      </c>
      <c r="R5" s="220">
        <v>0.35555555555555557</v>
      </c>
      <c r="S5" s="220">
        <v>0.65972222222222221</v>
      </c>
      <c r="T5" s="224">
        <v>0.34930555555555554</v>
      </c>
      <c r="U5" s="220">
        <v>0.6694444444444444</v>
      </c>
      <c r="V5" s="224">
        <v>0.34444444444444444</v>
      </c>
      <c r="W5" s="220">
        <v>0.66111111111111109</v>
      </c>
      <c r="X5" s="224">
        <v>0.34375</v>
      </c>
      <c r="Y5" s="220">
        <v>0.63402777777777775</v>
      </c>
      <c r="Z5" s="224">
        <v>0.35972222222222222</v>
      </c>
      <c r="AA5" s="220">
        <v>0.65694444444444444</v>
      </c>
      <c r="AB5" s="221" t="s">
        <v>679</v>
      </c>
      <c r="AC5" s="225" t="s">
        <v>679</v>
      </c>
      <c r="AD5" s="222" t="s">
        <v>679</v>
      </c>
      <c r="AE5" s="225" t="s">
        <v>679</v>
      </c>
      <c r="AF5" s="203">
        <v>0.35833333333333334</v>
      </c>
      <c r="AG5" s="203">
        <v>0.65</v>
      </c>
      <c r="AH5" s="201">
        <v>0.3611111111111111</v>
      </c>
      <c r="AI5" s="203">
        <v>0.66666666666666663</v>
      </c>
      <c r="AJ5" s="201">
        <v>0.34513888888888888</v>
      </c>
      <c r="AK5" s="203">
        <v>0.67083333333333328</v>
      </c>
      <c r="AL5" s="201">
        <v>0.34375</v>
      </c>
      <c r="AM5" s="203">
        <v>0.6694444444444444</v>
      </c>
      <c r="AN5" s="201">
        <v>0.35208333333333336</v>
      </c>
      <c r="AO5" s="203">
        <v>0.66111111111111109</v>
      </c>
      <c r="AP5" s="221" t="s">
        <v>679</v>
      </c>
      <c r="AQ5" s="225" t="s">
        <v>679</v>
      </c>
      <c r="AR5" s="222" t="s">
        <v>679</v>
      </c>
      <c r="AS5" s="225" t="s">
        <v>679</v>
      </c>
      <c r="AT5" s="203">
        <v>0.36041666666666666</v>
      </c>
      <c r="AU5" s="203">
        <v>0.67986111111111114</v>
      </c>
      <c r="AV5" s="201">
        <v>0.36180555555555555</v>
      </c>
      <c r="AW5" s="203">
        <v>0.63888888888888884</v>
      </c>
      <c r="AX5" s="201">
        <v>0.34097222222222223</v>
      </c>
      <c r="AY5" s="202"/>
      <c r="AZ5" s="201">
        <v>0.36666666666666664</v>
      </c>
      <c r="BA5" s="203">
        <v>0.6791666666666667</v>
      </c>
      <c r="BB5" s="201">
        <v>0.35208333333333336</v>
      </c>
      <c r="BC5" s="203">
        <v>0.65694444444444444</v>
      </c>
      <c r="BD5" s="221" t="s">
        <v>679</v>
      </c>
      <c r="BE5" s="225" t="s">
        <v>679</v>
      </c>
      <c r="BF5" s="222" t="s">
        <v>679</v>
      </c>
      <c r="BG5" s="225" t="s">
        <v>679</v>
      </c>
      <c r="BH5" s="203">
        <v>0.34722222222222221</v>
      </c>
      <c r="BI5" s="203">
        <v>0.6333333333333333</v>
      </c>
      <c r="BJ5" s="201">
        <v>0.35694444444444445</v>
      </c>
      <c r="BK5" s="203">
        <v>0.63541666666666663</v>
      </c>
      <c r="BL5" s="314">
        <v>21</v>
      </c>
      <c r="BM5" s="315">
        <v>20</v>
      </c>
      <c r="BN5" s="421" t="s">
        <v>682</v>
      </c>
      <c r="BO5" s="419"/>
    </row>
    <row r="6" spans="1:67" ht="17.25">
      <c r="A6" s="217" t="s">
        <v>5</v>
      </c>
      <c r="B6" s="217" t="s">
        <v>9</v>
      </c>
      <c r="C6" s="218" t="s">
        <v>11</v>
      </c>
      <c r="D6" s="219"/>
      <c r="E6" s="219"/>
      <c r="F6" s="221" t="s">
        <v>679</v>
      </c>
      <c r="G6" s="222" t="s">
        <v>679</v>
      </c>
      <c r="H6" s="223" t="s">
        <v>679</v>
      </c>
      <c r="I6" s="219"/>
      <c r="J6" s="223" t="s">
        <v>679</v>
      </c>
      <c r="K6" s="219"/>
      <c r="L6" s="223" t="s">
        <v>679</v>
      </c>
      <c r="M6" s="219"/>
      <c r="N6" s="221" t="s">
        <v>679</v>
      </c>
      <c r="O6" s="222" t="s">
        <v>679</v>
      </c>
      <c r="P6" s="221" t="s">
        <v>679</v>
      </c>
      <c r="Q6" s="225" t="s">
        <v>679</v>
      </c>
      <c r="R6" s="219"/>
      <c r="S6" s="219"/>
      <c r="T6" s="223" t="s">
        <v>679</v>
      </c>
      <c r="U6" s="219"/>
      <c r="V6" s="223" t="s">
        <v>679</v>
      </c>
      <c r="W6" s="219"/>
      <c r="X6" s="223" t="s">
        <v>679</v>
      </c>
      <c r="Y6" s="219"/>
      <c r="Z6" s="223" t="s">
        <v>679</v>
      </c>
      <c r="AA6" s="219"/>
      <c r="AB6" s="221" t="s">
        <v>679</v>
      </c>
      <c r="AC6" s="225" t="s">
        <v>679</v>
      </c>
      <c r="AD6" s="222" t="s">
        <v>679</v>
      </c>
      <c r="AE6" s="225" t="s">
        <v>679</v>
      </c>
      <c r="AF6" s="202" t="s">
        <v>679</v>
      </c>
      <c r="AG6" s="202"/>
      <c r="AH6" s="200" t="s">
        <v>679</v>
      </c>
      <c r="AI6" s="202"/>
      <c r="AJ6" s="200" t="s">
        <v>679</v>
      </c>
      <c r="AK6" s="202"/>
      <c r="AL6" s="200" t="s">
        <v>679</v>
      </c>
      <c r="AM6" s="202"/>
      <c r="AN6" s="200" t="s">
        <v>679</v>
      </c>
      <c r="AO6" s="202"/>
      <c r="AP6" s="221" t="s">
        <v>679</v>
      </c>
      <c r="AQ6" s="225" t="s">
        <v>679</v>
      </c>
      <c r="AR6" s="222" t="s">
        <v>679</v>
      </c>
      <c r="AS6" s="225" t="s">
        <v>679</v>
      </c>
      <c r="AT6" s="202" t="s">
        <v>679</v>
      </c>
      <c r="AU6" s="202"/>
      <c r="AV6" s="200" t="s">
        <v>679</v>
      </c>
      <c r="AW6" s="202"/>
      <c r="AX6" s="200" t="s">
        <v>679</v>
      </c>
      <c r="AY6" s="202"/>
      <c r="AZ6" s="200" t="s">
        <v>679</v>
      </c>
      <c r="BA6" s="202"/>
      <c r="BB6" s="200" t="s">
        <v>679</v>
      </c>
      <c r="BC6" s="202"/>
      <c r="BD6" s="221" t="s">
        <v>679</v>
      </c>
      <c r="BE6" s="225" t="s">
        <v>679</v>
      </c>
      <c r="BF6" s="222" t="s">
        <v>679</v>
      </c>
      <c r="BG6" s="225" t="s">
        <v>679</v>
      </c>
      <c r="BH6" s="202" t="s">
        <v>679</v>
      </c>
      <c r="BI6" s="202"/>
      <c r="BJ6" s="200" t="s">
        <v>679</v>
      </c>
      <c r="BK6" s="202"/>
      <c r="BL6" s="314">
        <v>21</v>
      </c>
      <c r="BM6" s="315">
        <v>20</v>
      </c>
      <c r="BN6" s="421"/>
      <c r="BO6" s="419"/>
    </row>
    <row r="7" spans="1:67" ht="17.25">
      <c r="A7" s="217" t="s">
        <v>5</v>
      </c>
      <c r="B7" s="217" t="s">
        <v>9</v>
      </c>
      <c r="C7" s="218" t="s">
        <v>12</v>
      </c>
      <c r="D7" s="219"/>
      <c r="E7" s="219"/>
      <c r="F7" s="221" t="s">
        <v>679</v>
      </c>
      <c r="G7" s="222" t="s">
        <v>679</v>
      </c>
      <c r="H7" s="223" t="s">
        <v>679</v>
      </c>
      <c r="I7" s="219"/>
      <c r="J7" s="223" t="s">
        <v>679</v>
      </c>
      <c r="K7" s="219"/>
      <c r="L7" s="223" t="s">
        <v>679</v>
      </c>
      <c r="M7" s="219"/>
      <c r="N7" s="221" t="s">
        <v>679</v>
      </c>
      <c r="O7" s="222" t="s">
        <v>679</v>
      </c>
      <c r="P7" s="221" t="s">
        <v>679</v>
      </c>
      <c r="Q7" s="225" t="s">
        <v>679</v>
      </c>
      <c r="R7" s="219"/>
      <c r="S7" s="219"/>
      <c r="T7" s="223" t="s">
        <v>679</v>
      </c>
      <c r="U7" s="240" t="s">
        <v>679</v>
      </c>
      <c r="V7" s="219"/>
      <c r="W7" s="219"/>
      <c r="X7" s="223" t="s">
        <v>679</v>
      </c>
      <c r="Y7" s="219"/>
      <c r="Z7" s="223" t="s">
        <v>679</v>
      </c>
      <c r="AA7" s="219"/>
      <c r="AB7" s="221" t="s">
        <v>679</v>
      </c>
      <c r="AC7" s="225" t="s">
        <v>679</v>
      </c>
      <c r="AD7" s="222" t="s">
        <v>679</v>
      </c>
      <c r="AE7" s="225" t="s">
        <v>679</v>
      </c>
      <c r="AF7" s="202" t="s">
        <v>679</v>
      </c>
      <c r="AG7" s="202"/>
      <c r="AH7" s="200" t="s">
        <v>679</v>
      </c>
      <c r="AI7" s="202"/>
      <c r="AJ7" s="200" t="s">
        <v>679</v>
      </c>
      <c r="AK7" s="202"/>
      <c r="AL7" s="200" t="s">
        <v>679</v>
      </c>
      <c r="AM7" s="202"/>
      <c r="AN7" s="200" t="s">
        <v>679</v>
      </c>
      <c r="AO7" s="202"/>
      <c r="AP7" s="221" t="s">
        <v>679</v>
      </c>
      <c r="AQ7" s="225" t="s">
        <v>679</v>
      </c>
      <c r="AR7" s="222" t="s">
        <v>679</v>
      </c>
      <c r="AS7" s="225" t="s">
        <v>679</v>
      </c>
      <c r="AT7" s="202" t="s">
        <v>679</v>
      </c>
      <c r="AU7" s="202"/>
      <c r="AV7" s="200" t="s">
        <v>679</v>
      </c>
      <c r="AW7" s="202"/>
      <c r="AX7" s="200" t="s">
        <v>679</v>
      </c>
      <c r="AY7" s="202"/>
      <c r="AZ7" s="200" t="s">
        <v>679</v>
      </c>
      <c r="BA7" s="202"/>
      <c r="BB7" s="200" t="s">
        <v>679</v>
      </c>
      <c r="BC7" s="202"/>
      <c r="BD7" s="221" t="s">
        <v>679</v>
      </c>
      <c r="BE7" s="225" t="s">
        <v>679</v>
      </c>
      <c r="BF7" s="222" t="s">
        <v>679</v>
      </c>
      <c r="BG7" s="225" t="s">
        <v>679</v>
      </c>
      <c r="BH7" s="202" t="s">
        <v>679</v>
      </c>
      <c r="BI7" s="202"/>
      <c r="BJ7" s="200" t="s">
        <v>679</v>
      </c>
      <c r="BK7" s="202"/>
      <c r="BL7" s="314">
        <v>21</v>
      </c>
      <c r="BM7" s="315">
        <v>20</v>
      </c>
      <c r="BN7" s="421"/>
      <c r="BO7" s="419"/>
    </row>
    <row r="8" spans="1:67" ht="17.25">
      <c r="A8" s="217" t="s">
        <v>5</v>
      </c>
      <c r="B8" s="217" t="s">
        <v>9</v>
      </c>
      <c r="C8" s="218" t="s">
        <v>13</v>
      </c>
      <c r="D8" s="219"/>
      <c r="E8" s="219"/>
      <c r="F8" s="221" t="s">
        <v>679</v>
      </c>
      <c r="G8" s="222" t="s">
        <v>679</v>
      </c>
      <c r="H8" s="223" t="s">
        <v>679</v>
      </c>
      <c r="I8" s="219"/>
      <c r="J8" s="223" t="s">
        <v>679</v>
      </c>
      <c r="K8" s="219"/>
      <c r="L8" s="223" t="s">
        <v>679</v>
      </c>
      <c r="M8" s="219"/>
      <c r="N8" s="221" t="s">
        <v>679</v>
      </c>
      <c r="O8" s="222" t="s">
        <v>679</v>
      </c>
      <c r="P8" s="221" t="s">
        <v>679</v>
      </c>
      <c r="Q8" s="225" t="s">
        <v>679</v>
      </c>
      <c r="R8" s="219"/>
      <c r="S8" s="219"/>
      <c r="T8" s="223" t="s">
        <v>679</v>
      </c>
      <c r="U8" s="219"/>
      <c r="V8" s="223" t="s">
        <v>679</v>
      </c>
      <c r="W8" s="219"/>
      <c r="X8" s="223" t="s">
        <v>679</v>
      </c>
      <c r="Y8" s="219"/>
      <c r="Z8" s="223" t="s">
        <v>679</v>
      </c>
      <c r="AA8" s="219"/>
      <c r="AB8" s="221" t="s">
        <v>679</v>
      </c>
      <c r="AC8" s="225" t="s">
        <v>679</v>
      </c>
      <c r="AD8" s="222" t="s">
        <v>679</v>
      </c>
      <c r="AE8" s="225" t="s">
        <v>679</v>
      </c>
      <c r="AF8" s="202" t="s">
        <v>679</v>
      </c>
      <c r="AG8" s="202"/>
      <c r="AH8" s="200" t="s">
        <v>679</v>
      </c>
      <c r="AI8" s="202"/>
      <c r="AJ8" s="200" t="s">
        <v>679</v>
      </c>
      <c r="AK8" s="202"/>
      <c r="AL8" s="200" t="s">
        <v>679</v>
      </c>
      <c r="AM8" s="202"/>
      <c r="AN8" s="200" t="s">
        <v>679</v>
      </c>
      <c r="AO8" s="202"/>
      <c r="AP8" s="221" t="s">
        <v>679</v>
      </c>
      <c r="AQ8" s="225" t="s">
        <v>679</v>
      </c>
      <c r="AR8" s="222" t="s">
        <v>679</v>
      </c>
      <c r="AS8" s="225" t="s">
        <v>679</v>
      </c>
      <c r="AT8" s="202" t="s">
        <v>679</v>
      </c>
      <c r="AU8" s="202"/>
      <c r="AV8" s="200" t="s">
        <v>679</v>
      </c>
      <c r="AW8" s="202"/>
      <c r="AX8" s="200" t="s">
        <v>679</v>
      </c>
      <c r="AY8" s="202"/>
      <c r="AZ8" s="200" t="s">
        <v>679</v>
      </c>
      <c r="BA8" s="202"/>
      <c r="BB8" s="200" t="s">
        <v>679</v>
      </c>
      <c r="BC8" s="202"/>
      <c r="BD8" s="221" t="s">
        <v>679</v>
      </c>
      <c r="BE8" s="225" t="s">
        <v>679</v>
      </c>
      <c r="BF8" s="222" t="s">
        <v>679</v>
      </c>
      <c r="BG8" s="225" t="s">
        <v>679</v>
      </c>
      <c r="BH8" s="202" t="s">
        <v>679</v>
      </c>
      <c r="BI8" s="202"/>
      <c r="BJ8" s="200" t="s">
        <v>679</v>
      </c>
      <c r="BK8" s="202"/>
      <c r="BL8" s="314">
        <v>21</v>
      </c>
      <c r="BM8" s="315">
        <v>20</v>
      </c>
      <c r="BN8" s="421"/>
      <c r="BO8" s="419"/>
    </row>
    <row r="9" spans="1:67" ht="17.25">
      <c r="A9" s="217" t="s">
        <v>5</v>
      </c>
      <c r="B9" s="217" t="s">
        <v>9</v>
      </c>
      <c r="C9" s="218" t="s">
        <v>14</v>
      </c>
      <c r="D9" s="230" t="s">
        <v>679</v>
      </c>
      <c r="E9" s="230" t="s">
        <v>679</v>
      </c>
      <c r="F9" s="231" t="s">
        <v>679</v>
      </c>
      <c r="G9" s="232" t="s">
        <v>679</v>
      </c>
      <c r="H9" s="233" t="s">
        <v>679</v>
      </c>
      <c r="I9" s="230" t="s">
        <v>679</v>
      </c>
      <c r="J9" s="233" t="s">
        <v>679</v>
      </c>
      <c r="K9" s="230" t="s">
        <v>679</v>
      </c>
      <c r="L9" s="233" t="s">
        <v>679</v>
      </c>
      <c r="M9" s="230" t="s">
        <v>679</v>
      </c>
      <c r="N9" s="231" t="s">
        <v>679</v>
      </c>
      <c r="O9" s="232" t="s">
        <v>679</v>
      </c>
      <c r="P9" s="231" t="s">
        <v>679</v>
      </c>
      <c r="Q9" s="234" t="s">
        <v>679</v>
      </c>
      <c r="R9" s="230" t="s">
        <v>679</v>
      </c>
      <c r="S9" s="230" t="s">
        <v>679</v>
      </c>
      <c r="T9" s="233" t="s">
        <v>679</v>
      </c>
      <c r="U9" s="230" t="s">
        <v>679</v>
      </c>
      <c r="V9" s="233" t="s">
        <v>679</v>
      </c>
      <c r="W9" s="230" t="s">
        <v>679</v>
      </c>
      <c r="X9" s="233" t="s">
        <v>679</v>
      </c>
      <c r="Y9" s="230" t="s">
        <v>679</v>
      </c>
      <c r="Z9" s="233" t="s">
        <v>679</v>
      </c>
      <c r="AA9" s="230" t="s">
        <v>679</v>
      </c>
      <c r="AB9" s="231" t="s">
        <v>679</v>
      </c>
      <c r="AC9" s="234" t="s">
        <v>679</v>
      </c>
      <c r="AD9" s="232" t="s">
        <v>679</v>
      </c>
      <c r="AE9" s="234" t="s">
        <v>679</v>
      </c>
      <c r="AF9" s="205" t="s">
        <v>679</v>
      </c>
      <c r="AG9" s="205" t="s">
        <v>679</v>
      </c>
      <c r="AH9" s="204" t="s">
        <v>679</v>
      </c>
      <c r="AI9" s="205" t="s">
        <v>679</v>
      </c>
      <c r="AJ9" s="204" t="s">
        <v>679</v>
      </c>
      <c r="AK9" s="205" t="s">
        <v>679</v>
      </c>
      <c r="AL9" s="204" t="s">
        <v>679</v>
      </c>
      <c r="AM9" s="205" t="s">
        <v>679</v>
      </c>
      <c r="AN9" s="204" t="s">
        <v>679</v>
      </c>
      <c r="AO9" s="205" t="s">
        <v>679</v>
      </c>
      <c r="AP9" s="231" t="s">
        <v>679</v>
      </c>
      <c r="AQ9" s="234" t="s">
        <v>679</v>
      </c>
      <c r="AR9" s="232" t="s">
        <v>679</v>
      </c>
      <c r="AS9" s="234" t="s">
        <v>679</v>
      </c>
      <c r="AT9" s="205" t="s">
        <v>679</v>
      </c>
      <c r="AU9" s="205" t="s">
        <v>679</v>
      </c>
      <c r="AV9" s="204" t="s">
        <v>679</v>
      </c>
      <c r="AW9" s="205" t="s">
        <v>679</v>
      </c>
      <c r="AX9" s="204" t="s">
        <v>679</v>
      </c>
      <c r="AY9" s="205" t="s">
        <v>679</v>
      </c>
      <c r="AZ9" s="204" t="s">
        <v>679</v>
      </c>
      <c r="BA9" s="205" t="s">
        <v>679</v>
      </c>
      <c r="BB9" s="204" t="s">
        <v>679</v>
      </c>
      <c r="BC9" s="205" t="s">
        <v>679</v>
      </c>
      <c r="BD9" s="231" t="s">
        <v>679</v>
      </c>
      <c r="BE9" s="234" t="s">
        <v>679</v>
      </c>
      <c r="BF9" s="232" t="s">
        <v>679</v>
      </c>
      <c r="BG9" s="234" t="s">
        <v>679</v>
      </c>
      <c r="BH9" s="205" t="s">
        <v>679</v>
      </c>
      <c r="BI9" s="205" t="s">
        <v>679</v>
      </c>
      <c r="BJ9" s="204" t="s">
        <v>679</v>
      </c>
      <c r="BK9" s="205" t="s">
        <v>679</v>
      </c>
      <c r="BL9" s="316">
        <v>21</v>
      </c>
      <c r="BM9" s="317">
        <v>20</v>
      </c>
      <c r="BN9" s="422"/>
      <c r="BO9" s="419"/>
    </row>
    <row r="10" spans="1:67" ht="15" customHeight="1">
      <c r="A10" s="238" t="s">
        <v>5</v>
      </c>
      <c r="B10" s="238" t="s">
        <v>15</v>
      </c>
      <c r="C10" s="239" t="s">
        <v>16</v>
      </c>
      <c r="D10" s="219"/>
      <c r="E10" s="219"/>
      <c r="F10" s="221" t="s">
        <v>679</v>
      </c>
      <c r="G10" s="222" t="s">
        <v>679</v>
      </c>
      <c r="H10" s="224">
        <v>0.37013888888888891</v>
      </c>
      <c r="I10" s="220">
        <v>0.62569444444444444</v>
      </c>
      <c r="J10" s="224">
        <v>0.3611111111111111</v>
      </c>
      <c r="K10" s="220">
        <v>0.69027777777777777</v>
      </c>
      <c r="L10" s="224">
        <v>0.35486111111111113</v>
      </c>
      <c r="M10" s="220">
        <v>0.67638888888888893</v>
      </c>
      <c r="N10" s="221" t="s">
        <v>679</v>
      </c>
      <c r="O10" s="222" t="s">
        <v>679</v>
      </c>
      <c r="P10" s="221" t="s">
        <v>679</v>
      </c>
      <c r="Q10" s="225" t="s">
        <v>679</v>
      </c>
      <c r="R10" s="219"/>
      <c r="S10" s="219"/>
      <c r="T10" s="224">
        <v>0.37361111111111112</v>
      </c>
      <c r="U10" s="220">
        <v>0.68541666666666667</v>
      </c>
      <c r="V10" s="224">
        <v>0.36666666666666664</v>
      </c>
      <c r="W10" s="220">
        <v>0.66805555555555551</v>
      </c>
      <c r="X10" s="241">
        <v>0.35625000000000001</v>
      </c>
      <c r="Y10" s="242">
        <v>0.63055555555555554</v>
      </c>
      <c r="Z10" s="223" t="s">
        <v>679</v>
      </c>
      <c r="AA10" s="219"/>
      <c r="AB10" s="221" t="s">
        <v>679</v>
      </c>
      <c r="AC10" s="225" t="s">
        <v>679</v>
      </c>
      <c r="AD10" s="222" t="s">
        <v>679</v>
      </c>
      <c r="AE10" s="225" t="s">
        <v>679</v>
      </c>
      <c r="AF10" s="203">
        <v>0.36041666666666666</v>
      </c>
      <c r="AG10" s="203">
        <v>0.63124999999999998</v>
      </c>
      <c r="AH10" s="201">
        <v>0.36666666666666664</v>
      </c>
      <c r="AI10" s="203">
        <v>0.63263888888888886</v>
      </c>
      <c r="AJ10" s="201">
        <v>0.36666666666666664</v>
      </c>
      <c r="AK10" s="203">
        <v>0.63194444444444442</v>
      </c>
      <c r="AL10" s="201">
        <v>0.3611111111111111</v>
      </c>
      <c r="AM10" s="203">
        <v>0.65694444444444444</v>
      </c>
      <c r="AN10" s="201">
        <v>0.35555555555555557</v>
      </c>
      <c r="AO10" s="203">
        <v>0.6381944444444444</v>
      </c>
      <c r="AP10" s="221" t="s">
        <v>679</v>
      </c>
      <c r="AQ10" s="225" t="s">
        <v>679</v>
      </c>
      <c r="AR10" s="222" t="s">
        <v>679</v>
      </c>
      <c r="AS10" s="225" t="s">
        <v>679</v>
      </c>
      <c r="AT10" s="203">
        <v>0.35972222222222222</v>
      </c>
      <c r="AU10" s="203">
        <v>0.65347222222222223</v>
      </c>
      <c r="AV10" s="201">
        <v>0.36388888888888887</v>
      </c>
      <c r="AW10" s="202"/>
      <c r="AX10" s="201">
        <v>0.36458333333333331</v>
      </c>
      <c r="AY10" s="203">
        <v>0.64513888888888893</v>
      </c>
      <c r="AZ10" s="201">
        <v>0.36180555555555555</v>
      </c>
      <c r="BA10" s="203">
        <v>0.67083333333333328</v>
      </c>
      <c r="BB10" s="201">
        <v>0.3611111111111111</v>
      </c>
      <c r="BC10" s="203">
        <v>0.65277777777777779</v>
      </c>
      <c r="BD10" s="221" t="s">
        <v>679</v>
      </c>
      <c r="BE10" s="225" t="s">
        <v>679</v>
      </c>
      <c r="BF10" s="222" t="s">
        <v>679</v>
      </c>
      <c r="BG10" s="225" t="s">
        <v>679</v>
      </c>
      <c r="BH10" s="203">
        <v>0.36875000000000002</v>
      </c>
      <c r="BI10" s="203">
        <v>0.63749999999999996</v>
      </c>
      <c r="BJ10" s="201">
        <v>0.37152777777777779</v>
      </c>
      <c r="BK10" s="203">
        <v>0.65347222222222223</v>
      </c>
      <c r="BL10" s="314">
        <v>19</v>
      </c>
      <c r="BM10" s="315">
        <v>17</v>
      </c>
      <c r="BN10" s="421" t="s">
        <v>683</v>
      </c>
      <c r="BO10" s="419"/>
    </row>
    <row r="11" spans="1:67" ht="17.25">
      <c r="A11" s="217" t="s">
        <v>5</v>
      </c>
      <c r="B11" s="217" t="s">
        <v>15</v>
      </c>
      <c r="C11" s="218" t="s">
        <v>17</v>
      </c>
      <c r="D11" s="220">
        <v>0.44583333333333336</v>
      </c>
      <c r="E11" s="219" t="s">
        <v>679</v>
      </c>
      <c r="F11" s="221" t="s">
        <v>679</v>
      </c>
      <c r="G11" s="222" t="s">
        <v>679</v>
      </c>
      <c r="H11" s="223" t="s">
        <v>679</v>
      </c>
      <c r="I11" s="219"/>
      <c r="J11" s="223" t="s">
        <v>679</v>
      </c>
      <c r="K11" s="219"/>
      <c r="L11" s="223" t="s">
        <v>679</v>
      </c>
      <c r="M11" s="219"/>
      <c r="N11" s="243">
        <v>0.38055555555555554</v>
      </c>
      <c r="O11" s="222" t="s">
        <v>679</v>
      </c>
      <c r="P11" s="221" t="s">
        <v>679</v>
      </c>
      <c r="Q11" s="225" t="s">
        <v>679</v>
      </c>
      <c r="R11" s="219"/>
      <c r="S11" s="219"/>
      <c r="T11" s="223" t="s">
        <v>679</v>
      </c>
      <c r="U11" s="219"/>
      <c r="V11" s="223" t="s">
        <v>679</v>
      </c>
      <c r="W11" s="219"/>
      <c r="X11" s="223" t="s">
        <v>679</v>
      </c>
      <c r="Y11" s="219"/>
      <c r="Z11" s="223" t="s">
        <v>679</v>
      </c>
      <c r="AA11" s="219"/>
      <c r="AB11" s="221" t="s">
        <v>679</v>
      </c>
      <c r="AC11" s="225" t="s">
        <v>679</v>
      </c>
      <c r="AD11" s="222" t="s">
        <v>679</v>
      </c>
      <c r="AE11" s="225" t="s">
        <v>679</v>
      </c>
      <c r="AF11" s="202" t="s">
        <v>679</v>
      </c>
      <c r="AG11" s="202"/>
      <c r="AH11" s="200" t="s">
        <v>679</v>
      </c>
      <c r="AI11" s="202"/>
      <c r="AJ11" s="200" t="s">
        <v>679</v>
      </c>
      <c r="AK11" s="202"/>
      <c r="AL11" s="200" t="s">
        <v>679</v>
      </c>
      <c r="AM11" s="202"/>
      <c r="AN11" s="200" t="s">
        <v>679</v>
      </c>
      <c r="AO11" s="202"/>
      <c r="AP11" s="221" t="s">
        <v>679</v>
      </c>
      <c r="AQ11" s="225" t="s">
        <v>679</v>
      </c>
      <c r="AR11" s="222" t="s">
        <v>679</v>
      </c>
      <c r="AS11" s="225" t="s">
        <v>679</v>
      </c>
      <c r="AT11" s="202" t="s">
        <v>679</v>
      </c>
      <c r="AU11" s="202"/>
      <c r="AV11" s="200" t="s">
        <v>679</v>
      </c>
      <c r="AW11" s="202"/>
      <c r="AX11" s="200" t="s">
        <v>679</v>
      </c>
      <c r="AY11" s="202"/>
      <c r="AZ11" s="200" t="s">
        <v>679</v>
      </c>
      <c r="BA11" s="202"/>
      <c r="BB11" s="200" t="s">
        <v>679</v>
      </c>
      <c r="BC11" s="202"/>
      <c r="BD11" s="221" t="s">
        <v>679</v>
      </c>
      <c r="BE11" s="225" t="s">
        <v>679</v>
      </c>
      <c r="BF11" s="222" t="s">
        <v>679</v>
      </c>
      <c r="BG11" s="225" t="s">
        <v>679</v>
      </c>
      <c r="BH11" s="202" t="s">
        <v>679</v>
      </c>
      <c r="BI11" s="202"/>
      <c r="BJ11" s="200" t="s">
        <v>679</v>
      </c>
      <c r="BK11" s="202"/>
      <c r="BL11" s="314">
        <v>19</v>
      </c>
      <c r="BM11" s="315">
        <v>17</v>
      </c>
      <c r="BN11" s="421"/>
      <c r="BO11" s="419"/>
    </row>
    <row r="12" spans="1:67" ht="17.25">
      <c r="A12" s="217" t="s">
        <v>5</v>
      </c>
      <c r="B12" s="217" t="s">
        <v>15</v>
      </c>
      <c r="C12" s="218" t="s">
        <v>18</v>
      </c>
      <c r="D12" s="219"/>
      <c r="E12" s="219"/>
      <c r="F12" s="221" t="s">
        <v>679</v>
      </c>
      <c r="G12" s="222" t="s">
        <v>679</v>
      </c>
      <c r="H12" s="223" t="s">
        <v>679</v>
      </c>
      <c r="I12" s="219"/>
      <c r="J12" s="223" t="s">
        <v>679</v>
      </c>
      <c r="K12" s="219"/>
      <c r="L12" s="223" t="s">
        <v>679</v>
      </c>
      <c r="M12" s="219"/>
      <c r="N12" s="221" t="s">
        <v>679</v>
      </c>
      <c r="O12" s="222" t="s">
        <v>679</v>
      </c>
      <c r="P12" s="221" t="s">
        <v>679</v>
      </c>
      <c r="Q12" s="225" t="s">
        <v>679</v>
      </c>
      <c r="R12" s="219"/>
      <c r="S12" s="219"/>
      <c r="T12" s="223" t="s">
        <v>679</v>
      </c>
      <c r="U12" s="219"/>
      <c r="V12" s="223" t="s">
        <v>679</v>
      </c>
      <c r="W12" s="219"/>
      <c r="X12" s="223" t="s">
        <v>679</v>
      </c>
      <c r="Y12" s="219"/>
      <c r="Z12" s="223" t="s">
        <v>679</v>
      </c>
      <c r="AA12" s="219"/>
      <c r="AB12" s="221" t="s">
        <v>679</v>
      </c>
      <c r="AC12" s="225" t="s">
        <v>679</v>
      </c>
      <c r="AD12" s="222" t="s">
        <v>679</v>
      </c>
      <c r="AE12" s="225" t="s">
        <v>679</v>
      </c>
      <c r="AF12" s="202" t="s">
        <v>679</v>
      </c>
      <c r="AG12" s="202"/>
      <c r="AH12" s="200" t="s">
        <v>679</v>
      </c>
      <c r="AI12" s="202"/>
      <c r="AJ12" s="200" t="s">
        <v>679</v>
      </c>
      <c r="AK12" s="202"/>
      <c r="AL12" s="200" t="s">
        <v>679</v>
      </c>
      <c r="AM12" s="202"/>
      <c r="AN12" s="200" t="s">
        <v>679</v>
      </c>
      <c r="AO12" s="202"/>
      <c r="AP12" s="221" t="s">
        <v>679</v>
      </c>
      <c r="AQ12" s="225" t="s">
        <v>679</v>
      </c>
      <c r="AR12" s="222" t="s">
        <v>679</v>
      </c>
      <c r="AS12" s="225" t="s">
        <v>679</v>
      </c>
      <c r="AT12" s="202" t="s">
        <v>679</v>
      </c>
      <c r="AU12" s="202"/>
      <c r="AV12" s="200" t="s">
        <v>679</v>
      </c>
      <c r="AW12" s="202"/>
      <c r="AX12" s="200" t="s">
        <v>679</v>
      </c>
      <c r="AY12" s="202"/>
      <c r="AZ12" s="200" t="s">
        <v>679</v>
      </c>
      <c r="BA12" s="202"/>
      <c r="BB12" s="200" t="s">
        <v>679</v>
      </c>
      <c r="BC12" s="202"/>
      <c r="BD12" s="221" t="s">
        <v>679</v>
      </c>
      <c r="BE12" s="225" t="s">
        <v>679</v>
      </c>
      <c r="BF12" s="222" t="s">
        <v>679</v>
      </c>
      <c r="BG12" s="225" t="s">
        <v>679</v>
      </c>
      <c r="BH12" s="202" t="s">
        <v>679</v>
      </c>
      <c r="BI12" s="202"/>
      <c r="BJ12" s="200" t="s">
        <v>679</v>
      </c>
      <c r="BK12" s="202"/>
      <c r="BL12" s="314">
        <v>19</v>
      </c>
      <c r="BM12" s="315">
        <v>17</v>
      </c>
      <c r="BN12" s="421"/>
      <c r="BO12" s="419"/>
    </row>
    <row r="13" spans="1:67" ht="17.25">
      <c r="A13" s="217" t="s">
        <v>5</v>
      </c>
      <c r="B13" s="217" t="s">
        <v>15</v>
      </c>
      <c r="C13" s="218" t="s">
        <v>19</v>
      </c>
      <c r="D13" s="219"/>
      <c r="E13" s="219"/>
      <c r="F13" s="221" t="s">
        <v>679</v>
      </c>
      <c r="G13" s="222" t="s">
        <v>679</v>
      </c>
      <c r="H13" s="223" t="s">
        <v>679</v>
      </c>
      <c r="I13" s="219"/>
      <c r="J13" s="223" t="s">
        <v>679</v>
      </c>
      <c r="K13" s="219"/>
      <c r="L13" s="223" t="s">
        <v>679</v>
      </c>
      <c r="M13" s="219"/>
      <c r="N13" s="221" t="s">
        <v>679</v>
      </c>
      <c r="O13" s="222" t="s">
        <v>679</v>
      </c>
      <c r="P13" s="221" t="s">
        <v>679</v>
      </c>
      <c r="Q13" s="225" t="s">
        <v>679</v>
      </c>
      <c r="R13" s="219"/>
      <c r="S13" s="219"/>
      <c r="T13" s="223" t="s">
        <v>679</v>
      </c>
      <c r="U13" s="219"/>
      <c r="V13" s="223" t="s">
        <v>679</v>
      </c>
      <c r="W13" s="219"/>
      <c r="X13" s="223" t="s">
        <v>679</v>
      </c>
      <c r="Y13" s="219"/>
      <c r="Z13" s="223" t="s">
        <v>679</v>
      </c>
      <c r="AA13" s="219"/>
      <c r="AB13" s="221" t="s">
        <v>679</v>
      </c>
      <c r="AC13" s="225" t="s">
        <v>679</v>
      </c>
      <c r="AD13" s="222" t="s">
        <v>679</v>
      </c>
      <c r="AE13" s="225" t="s">
        <v>679</v>
      </c>
      <c r="AF13" s="202" t="s">
        <v>679</v>
      </c>
      <c r="AG13" s="202"/>
      <c r="AH13" s="200" t="s">
        <v>679</v>
      </c>
      <c r="AI13" s="202"/>
      <c r="AJ13" s="200" t="s">
        <v>679</v>
      </c>
      <c r="AK13" s="202"/>
      <c r="AL13" s="200" t="s">
        <v>679</v>
      </c>
      <c r="AM13" s="202"/>
      <c r="AN13" s="200" t="s">
        <v>679</v>
      </c>
      <c r="AO13" s="202"/>
      <c r="AP13" s="221" t="s">
        <v>679</v>
      </c>
      <c r="AQ13" s="225" t="s">
        <v>679</v>
      </c>
      <c r="AR13" s="222" t="s">
        <v>679</v>
      </c>
      <c r="AS13" s="225" t="s">
        <v>679</v>
      </c>
      <c r="AT13" s="202" t="s">
        <v>679</v>
      </c>
      <c r="AU13" s="202"/>
      <c r="AV13" s="200" t="s">
        <v>679</v>
      </c>
      <c r="AW13" s="202"/>
      <c r="AX13" s="200" t="s">
        <v>679</v>
      </c>
      <c r="AY13" s="202"/>
      <c r="AZ13" s="200" t="s">
        <v>679</v>
      </c>
      <c r="BA13" s="202"/>
      <c r="BB13" s="200" t="s">
        <v>679</v>
      </c>
      <c r="BC13" s="202"/>
      <c r="BD13" s="221" t="s">
        <v>679</v>
      </c>
      <c r="BE13" s="225" t="s">
        <v>679</v>
      </c>
      <c r="BF13" s="222" t="s">
        <v>679</v>
      </c>
      <c r="BG13" s="225" t="s">
        <v>679</v>
      </c>
      <c r="BH13" s="202" t="s">
        <v>679</v>
      </c>
      <c r="BI13" s="202"/>
      <c r="BJ13" s="200" t="s">
        <v>679</v>
      </c>
      <c r="BK13" s="202"/>
      <c r="BL13" s="314">
        <v>19</v>
      </c>
      <c r="BM13" s="315">
        <v>17</v>
      </c>
      <c r="BN13" s="421"/>
      <c r="BO13" s="419"/>
    </row>
    <row r="14" spans="1:67" ht="17.25">
      <c r="A14" s="217" t="s">
        <v>5</v>
      </c>
      <c r="B14" s="217" t="s">
        <v>15</v>
      </c>
      <c r="C14" s="218" t="s">
        <v>20</v>
      </c>
      <c r="D14" s="219"/>
      <c r="E14" s="219"/>
      <c r="F14" s="221" t="s">
        <v>679</v>
      </c>
      <c r="G14" s="222" t="s">
        <v>679</v>
      </c>
      <c r="H14" s="223" t="s">
        <v>679</v>
      </c>
      <c r="I14" s="219"/>
      <c r="J14" s="223" t="s">
        <v>679</v>
      </c>
      <c r="K14" s="219"/>
      <c r="L14" s="223" t="s">
        <v>679</v>
      </c>
      <c r="M14" s="219"/>
      <c r="N14" s="221" t="s">
        <v>679</v>
      </c>
      <c r="O14" s="222" t="s">
        <v>679</v>
      </c>
      <c r="P14" s="221" t="s">
        <v>679</v>
      </c>
      <c r="Q14" s="225" t="s">
        <v>679</v>
      </c>
      <c r="R14" s="219"/>
      <c r="S14" s="219"/>
      <c r="T14" s="223" t="s">
        <v>679</v>
      </c>
      <c r="U14" s="219"/>
      <c r="V14" s="223" t="s">
        <v>679</v>
      </c>
      <c r="W14" s="219"/>
      <c r="X14" s="223" t="s">
        <v>679</v>
      </c>
      <c r="Y14" s="219"/>
      <c r="Z14" s="223" t="s">
        <v>679</v>
      </c>
      <c r="AA14" s="219"/>
      <c r="AB14" s="221" t="s">
        <v>679</v>
      </c>
      <c r="AC14" s="225" t="s">
        <v>679</v>
      </c>
      <c r="AD14" s="222" t="s">
        <v>679</v>
      </c>
      <c r="AE14" s="225" t="s">
        <v>679</v>
      </c>
      <c r="AF14" s="202" t="s">
        <v>679</v>
      </c>
      <c r="AG14" s="202"/>
      <c r="AH14" s="200" t="s">
        <v>679</v>
      </c>
      <c r="AI14" s="202"/>
      <c r="AJ14" s="200" t="s">
        <v>679</v>
      </c>
      <c r="AK14" s="202"/>
      <c r="AL14" s="200" t="s">
        <v>679</v>
      </c>
      <c r="AM14" s="202"/>
      <c r="AN14" s="200" t="s">
        <v>679</v>
      </c>
      <c r="AO14" s="202"/>
      <c r="AP14" s="221" t="s">
        <v>679</v>
      </c>
      <c r="AQ14" s="225" t="s">
        <v>679</v>
      </c>
      <c r="AR14" s="222" t="s">
        <v>679</v>
      </c>
      <c r="AS14" s="225" t="s">
        <v>679</v>
      </c>
      <c r="AT14" s="202" t="s">
        <v>679</v>
      </c>
      <c r="AU14" s="202"/>
      <c r="AV14" s="200" t="s">
        <v>679</v>
      </c>
      <c r="AW14" s="202"/>
      <c r="AX14" s="200" t="s">
        <v>679</v>
      </c>
      <c r="AY14" s="202"/>
      <c r="AZ14" s="200" t="s">
        <v>679</v>
      </c>
      <c r="BA14" s="202"/>
      <c r="BB14" s="200" t="s">
        <v>679</v>
      </c>
      <c r="BC14" s="202"/>
      <c r="BD14" s="221" t="s">
        <v>679</v>
      </c>
      <c r="BE14" s="225" t="s">
        <v>679</v>
      </c>
      <c r="BF14" s="222" t="s">
        <v>679</v>
      </c>
      <c r="BG14" s="225" t="s">
        <v>679</v>
      </c>
      <c r="BH14" s="202" t="s">
        <v>679</v>
      </c>
      <c r="BI14" s="202"/>
      <c r="BJ14" s="200" t="s">
        <v>679</v>
      </c>
      <c r="BK14" s="202"/>
      <c r="BL14" s="314">
        <v>19</v>
      </c>
      <c r="BM14" s="315">
        <v>17</v>
      </c>
      <c r="BN14" s="421"/>
      <c r="BO14" s="419"/>
    </row>
    <row r="15" spans="1:67" ht="17.25">
      <c r="A15" s="217" t="s">
        <v>5</v>
      </c>
      <c r="B15" s="217" t="s">
        <v>15</v>
      </c>
      <c r="C15" s="218" t="s">
        <v>21</v>
      </c>
      <c r="D15" s="230" t="s">
        <v>679</v>
      </c>
      <c r="E15" s="230" t="s">
        <v>679</v>
      </c>
      <c r="F15" s="231" t="s">
        <v>679</v>
      </c>
      <c r="G15" s="232" t="s">
        <v>679</v>
      </c>
      <c r="H15" s="233" t="s">
        <v>679</v>
      </c>
      <c r="I15" s="230" t="s">
        <v>679</v>
      </c>
      <c r="J15" s="233" t="s">
        <v>679</v>
      </c>
      <c r="K15" s="230" t="s">
        <v>679</v>
      </c>
      <c r="L15" s="233" t="s">
        <v>679</v>
      </c>
      <c r="M15" s="230" t="s">
        <v>679</v>
      </c>
      <c r="N15" s="231" t="s">
        <v>679</v>
      </c>
      <c r="O15" s="232" t="s">
        <v>679</v>
      </c>
      <c r="P15" s="231" t="s">
        <v>679</v>
      </c>
      <c r="Q15" s="234" t="s">
        <v>679</v>
      </c>
      <c r="R15" s="230" t="s">
        <v>679</v>
      </c>
      <c r="S15" s="230" t="s">
        <v>679</v>
      </c>
      <c r="T15" s="233" t="s">
        <v>679</v>
      </c>
      <c r="U15" s="230" t="s">
        <v>679</v>
      </c>
      <c r="V15" s="233" t="s">
        <v>679</v>
      </c>
      <c r="W15" s="230" t="s">
        <v>679</v>
      </c>
      <c r="X15" s="233" t="s">
        <v>679</v>
      </c>
      <c r="Y15" s="230" t="s">
        <v>679</v>
      </c>
      <c r="Z15" s="233" t="s">
        <v>679</v>
      </c>
      <c r="AA15" s="230" t="s">
        <v>679</v>
      </c>
      <c r="AB15" s="231" t="s">
        <v>679</v>
      </c>
      <c r="AC15" s="234" t="s">
        <v>679</v>
      </c>
      <c r="AD15" s="232" t="s">
        <v>679</v>
      </c>
      <c r="AE15" s="234" t="s">
        <v>679</v>
      </c>
      <c r="AF15" s="205" t="s">
        <v>679</v>
      </c>
      <c r="AG15" s="205" t="s">
        <v>679</v>
      </c>
      <c r="AH15" s="204" t="s">
        <v>679</v>
      </c>
      <c r="AI15" s="205" t="s">
        <v>679</v>
      </c>
      <c r="AJ15" s="204" t="s">
        <v>679</v>
      </c>
      <c r="AK15" s="205" t="s">
        <v>679</v>
      </c>
      <c r="AL15" s="204" t="s">
        <v>679</v>
      </c>
      <c r="AM15" s="205" t="s">
        <v>679</v>
      </c>
      <c r="AN15" s="204" t="s">
        <v>679</v>
      </c>
      <c r="AO15" s="205" t="s">
        <v>679</v>
      </c>
      <c r="AP15" s="231" t="s">
        <v>679</v>
      </c>
      <c r="AQ15" s="234" t="s">
        <v>679</v>
      </c>
      <c r="AR15" s="232" t="s">
        <v>679</v>
      </c>
      <c r="AS15" s="234" t="s">
        <v>679</v>
      </c>
      <c r="AT15" s="205" t="s">
        <v>679</v>
      </c>
      <c r="AU15" s="205" t="s">
        <v>679</v>
      </c>
      <c r="AV15" s="204" t="s">
        <v>679</v>
      </c>
      <c r="AW15" s="205" t="s">
        <v>679</v>
      </c>
      <c r="AX15" s="204" t="s">
        <v>679</v>
      </c>
      <c r="AY15" s="205" t="s">
        <v>679</v>
      </c>
      <c r="AZ15" s="204" t="s">
        <v>679</v>
      </c>
      <c r="BA15" s="205" t="s">
        <v>679</v>
      </c>
      <c r="BB15" s="204" t="s">
        <v>679</v>
      </c>
      <c r="BC15" s="205" t="s">
        <v>679</v>
      </c>
      <c r="BD15" s="231" t="s">
        <v>679</v>
      </c>
      <c r="BE15" s="234" t="s">
        <v>679</v>
      </c>
      <c r="BF15" s="232" t="s">
        <v>679</v>
      </c>
      <c r="BG15" s="234" t="s">
        <v>679</v>
      </c>
      <c r="BH15" s="205" t="s">
        <v>679</v>
      </c>
      <c r="BI15" s="205" t="s">
        <v>679</v>
      </c>
      <c r="BJ15" s="204" t="s">
        <v>679</v>
      </c>
      <c r="BK15" s="205" t="s">
        <v>679</v>
      </c>
      <c r="BL15" s="316">
        <v>19</v>
      </c>
      <c r="BM15" s="317">
        <v>17</v>
      </c>
      <c r="BN15" s="422"/>
      <c r="BO15" s="419"/>
    </row>
    <row r="16" spans="1:67" ht="15" customHeight="1">
      <c r="A16" s="238" t="s">
        <v>5</v>
      </c>
      <c r="B16" s="238" t="s">
        <v>22</v>
      </c>
      <c r="C16" s="239" t="s">
        <v>23</v>
      </c>
      <c r="D16" s="220">
        <v>0.34027777777777779</v>
      </c>
      <c r="E16" s="220">
        <v>0.66041666666666665</v>
      </c>
      <c r="F16" s="221" t="s">
        <v>679</v>
      </c>
      <c r="G16" s="244">
        <v>0.75902777777777775</v>
      </c>
      <c r="H16" s="224">
        <v>0.34652777777777777</v>
      </c>
      <c r="I16" s="220">
        <v>0.70277777777777772</v>
      </c>
      <c r="J16" s="224">
        <v>0.33541666666666664</v>
      </c>
      <c r="K16" s="220">
        <v>0.67777777777777781</v>
      </c>
      <c r="L16" s="224">
        <v>0.3923611111111111</v>
      </c>
      <c r="M16" s="220">
        <v>0.69305555555555554</v>
      </c>
      <c r="N16" s="243">
        <v>0.34166666666666667</v>
      </c>
      <c r="O16" s="244">
        <v>0.50277777777777777</v>
      </c>
      <c r="P16" s="221" t="s">
        <v>679</v>
      </c>
      <c r="Q16" s="225" t="s">
        <v>679</v>
      </c>
      <c r="R16" s="219"/>
      <c r="S16" s="220">
        <v>0.72083333333333333</v>
      </c>
      <c r="T16" s="224">
        <v>0.35486111111111113</v>
      </c>
      <c r="U16" s="220">
        <v>0.67777777777777781</v>
      </c>
      <c r="V16" s="224">
        <v>0.35208333333333336</v>
      </c>
      <c r="W16" s="220">
        <v>0.64444444444444449</v>
      </c>
      <c r="X16" s="224">
        <v>0.34097222222222223</v>
      </c>
      <c r="Y16" s="220">
        <v>0.62708333333333333</v>
      </c>
      <c r="Z16" s="224">
        <v>0.34444444444444444</v>
      </c>
      <c r="AA16" s="220">
        <v>0.64097222222222228</v>
      </c>
      <c r="AB16" s="221" t="s">
        <v>679</v>
      </c>
      <c r="AC16" s="225" t="s">
        <v>679</v>
      </c>
      <c r="AD16" s="222" t="s">
        <v>679</v>
      </c>
      <c r="AE16" s="225" t="s">
        <v>679</v>
      </c>
      <c r="AF16" s="203">
        <v>0.36041666666666666</v>
      </c>
      <c r="AG16" s="203">
        <v>0.70486111111111116</v>
      </c>
      <c r="AH16" s="201">
        <v>0.35069444444444442</v>
      </c>
      <c r="AI16" s="203">
        <v>0.67500000000000004</v>
      </c>
      <c r="AJ16" s="201">
        <v>0.3611111111111111</v>
      </c>
      <c r="AK16" s="203">
        <v>0.63611111111111107</v>
      </c>
      <c r="AL16" s="201">
        <v>0.34513888888888888</v>
      </c>
      <c r="AM16" s="203">
        <v>0.65625</v>
      </c>
      <c r="AN16" s="200" t="s">
        <v>679</v>
      </c>
      <c r="AO16" s="202"/>
      <c r="AP16" s="221" t="s">
        <v>679</v>
      </c>
      <c r="AQ16" s="225" t="s">
        <v>679</v>
      </c>
      <c r="AR16" s="222" t="s">
        <v>679</v>
      </c>
      <c r="AS16" s="225" t="s">
        <v>679</v>
      </c>
      <c r="AT16" s="203">
        <v>0.34722222222222221</v>
      </c>
      <c r="AU16" s="203">
        <v>0.65625</v>
      </c>
      <c r="AV16" s="201">
        <v>0.35069444444444442</v>
      </c>
      <c r="AW16" s="203">
        <v>0.66666666666666663</v>
      </c>
      <c r="AX16" s="201">
        <v>0.32569444444444445</v>
      </c>
      <c r="AY16" s="203">
        <v>0.71111111111111114</v>
      </c>
      <c r="AZ16" s="201">
        <v>0.34305555555555556</v>
      </c>
      <c r="BA16" s="203">
        <v>0.62916666666666665</v>
      </c>
      <c r="BB16" s="201">
        <v>0.34722222222222221</v>
      </c>
      <c r="BC16" s="203">
        <v>0.68958333333333333</v>
      </c>
      <c r="BD16" s="221" t="s">
        <v>679</v>
      </c>
      <c r="BE16" s="225" t="s">
        <v>679</v>
      </c>
      <c r="BF16" s="222" t="s">
        <v>679</v>
      </c>
      <c r="BG16" s="225" t="s">
        <v>679</v>
      </c>
      <c r="BH16" s="203">
        <v>0.34791666666666665</v>
      </c>
      <c r="BI16" s="203">
        <v>0.63541666666666663</v>
      </c>
      <c r="BJ16" s="201">
        <v>0.35902777777777778</v>
      </c>
      <c r="BK16" s="203">
        <v>0.66666666666666663</v>
      </c>
      <c r="BL16" s="314">
        <v>19</v>
      </c>
      <c r="BM16" s="315">
        <v>21</v>
      </c>
      <c r="BN16" s="421" t="s">
        <v>684</v>
      </c>
      <c r="BO16" s="419"/>
    </row>
    <row r="17" spans="1:67" ht="17.25">
      <c r="A17" s="217" t="s">
        <v>5</v>
      </c>
      <c r="B17" s="217" t="s">
        <v>22</v>
      </c>
      <c r="C17" s="218" t="s">
        <v>24</v>
      </c>
      <c r="D17" s="219"/>
      <c r="E17" s="219"/>
      <c r="F17" s="221" t="s">
        <v>679</v>
      </c>
      <c r="G17" s="222" t="s">
        <v>679</v>
      </c>
      <c r="H17" s="223" t="s">
        <v>679</v>
      </c>
      <c r="I17" s="219"/>
      <c r="J17" s="223" t="s">
        <v>679</v>
      </c>
      <c r="K17" s="219"/>
      <c r="L17" s="223" t="s">
        <v>679</v>
      </c>
      <c r="M17" s="219"/>
      <c r="N17" s="221" t="s">
        <v>679</v>
      </c>
      <c r="O17" s="222" t="s">
        <v>679</v>
      </c>
      <c r="P17" s="221" t="s">
        <v>679</v>
      </c>
      <c r="Q17" s="225" t="s">
        <v>679</v>
      </c>
      <c r="R17" s="219"/>
      <c r="S17" s="219"/>
      <c r="T17" s="223" t="s">
        <v>679</v>
      </c>
      <c r="U17" s="219"/>
      <c r="V17" s="223" t="s">
        <v>679</v>
      </c>
      <c r="W17" s="219"/>
      <c r="X17" s="223" t="s">
        <v>679</v>
      </c>
      <c r="Y17" s="219"/>
      <c r="Z17" s="223" t="s">
        <v>679</v>
      </c>
      <c r="AA17" s="219"/>
      <c r="AB17" s="221" t="s">
        <v>679</v>
      </c>
      <c r="AC17" s="225" t="s">
        <v>679</v>
      </c>
      <c r="AD17" s="222" t="s">
        <v>679</v>
      </c>
      <c r="AE17" s="225" t="s">
        <v>679</v>
      </c>
      <c r="AF17" s="202" t="s">
        <v>679</v>
      </c>
      <c r="AG17" s="202"/>
      <c r="AH17" s="200" t="s">
        <v>679</v>
      </c>
      <c r="AI17" s="202"/>
      <c r="AJ17" s="200" t="s">
        <v>679</v>
      </c>
      <c r="AK17" s="202"/>
      <c r="AL17" s="200" t="s">
        <v>679</v>
      </c>
      <c r="AM17" s="202"/>
      <c r="AN17" s="200" t="s">
        <v>679</v>
      </c>
      <c r="AO17" s="202"/>
      <c r="AP17" s="221" t="s">
        <v>679</v>
      </c>
      <c r="AQ17" s="225" t="s">
        <v>679</v>
      </c>
      <c r="AR17" s="222" t="s">
        <v>679</v>
      </c>
      <c r="AS17" s="225" t="s">
        <v>679</v>
      </c>
      <c r="AT17" s="202" t="s">
        <v>679</v>
      </c>
      <c r="AU17" s="202"/>
      <c r="AV17" s="200" t="s">
        <v>679</v>
      </c>
      <c r="AW17" s="202"/>
      <c r="AX17" s="200" t="s">
        <v>679</v>
      </c>
      <c r="AY17" s="202"/>
      <c r="AZ17" s="200" t="s">
        <v>679</v>
      </c>
      <c r="BA17" s="202"/>
      <c r="BB17" s="200" t="s">
        <v>679</v>
      </c>
      <c r="BC17" s="202"/>
      <c r="BD17" s="221" t="s">
        <v>679</v>
      </c>
      <c r="BE17" s="225" t="s">
        <v>679</v>
      </c>
      <c r="BF17" s="222" t="s">
        <v>679</v>
      </c>
      <c r="BG17" s="225" t="s">
        <v>679</v>
      </c>
      <c r="BH17" s="202" t="s">
        <v>679</v>
      </c>
      <c r="BI17" s="202"/>
      <c r="BJ17" s="200" t="s">
        <v>679</v>
      </c>
      <c r="BK17" s="202"/>
      <c r="BL17" s="314">
        <v>19</v>
      </c>
      <c r="BM17" s="315">
        <v>21</v>
      </c>
      <c r="BN17" s="421"/>
      <c r="BO17" s="419"/>
    </row>
    <row r="18" spans="1:67" ht="17.25">
      <c r="A18" s="217" t="s">
        <v>5</v>
      </c>
      <c r="B18" s="217" t="s">
        <v>22</v>
      </c>
      <c r="C18" s="218" t="s">
        <v>25</v>
      </c>
      <c r="D18" s="230" t="s">
        <v>679</v>
      </c>
      <c r="E18" s="230" t="s">
        <v>679</v>
      </c>
      <c r="F18" s="231" t="s">
        <v>679</v>
      </c>
      <c r="G18" s="232" t="s">
        <v>679</v>
      </c>
      <c r="H18" s="233" t="s">
        <v>679</v>
      </c>
      <c r="I18" s="230" t="s">
        <v>679</v>
      </c>
      <c r="J18" s="233" t="s">
        <v>679</v>
      </c>
      <c r="K18" s="230" t="s">
        <v>679</v>
      </c>
      <c r="L18" s="233" t="s">
        <v>679</v>
      </c>
      <c r="M18" s="230" t="s">
        <v>679</v>
      </c>
      <c r="N18" s="231" t="s">
        <v>679</v>
      </c>
      <c r="O18" s="232" t="s">
        <v>679</v>
      </c>
      <c r="P18" s="231" t="s">
        <v>679</v>
      </c>
      <c r="Q18" s="234" t="s">
        <v>679</v>
      </c>
      <c r="R18" s="230" t="s">
        <v>679</v>
      </c>
      <c r="S18" s="230" t="s">
        <v>679</v>
      </c>
      <c r="T18" s="233" t="s">
        <v>679</v>
      </c>
      <c r="U18" s="230" t="s">
        <v>679</v>
      </c>
      <c r="V18" s="233" t="s">
        <v>679</v>
      </c>
      <c r="W18" s="230" t="s">
        <v>679</v>
      </c>
      <c r="X18" s="233" t="s">
        <v>679</v>
      </c>
      <c r="Y18" s="230" t="s">
        <v>679</v>
      </c>
      <c r="Z18" s="233" t="s">
        <v>679</v>
      </c>
      <c r="AA18" s="230" t="s">
        <v>679</v>
      </c>
      <c r="AB18" s="231" t="s">
        <v>679</v>
      </c>
      <c r="AC18" s="234" t="s">
        <v>679</v>
      </c>
      <c r="AD18" s="232" t="s">
        <v>679</v>
      </c>
      <c r="AE18" s="234" t="s">
        <v>679</v>
      </c>
      <c r="AF18" s="205" t="s">
        <v>679</v>
      </c>
      <c r="AG18" s="205" t="s">
        <v>679</v>
      </c>
      <c r="AH18" s="204" t="s">
        <v>679</v>
      </c>
      <c r="AI18" s="205" t="s">
        <v>679</v>
      </c>
      <c r="AJ18" s="204" t="s">
        <v>679</v>
      </c>
      <c r="AK18" s="205" t="s">
        <v>679</v>
      </c>
      <c r="AL18" s="204" t="s">
        <v>679</v>
      </c>
      <c r="AM18" s="205" t="s">
        <v>679</v>
      </c>
      <c r="AN18" s="204" t="s">
        <v>679</v>
      </c>
      <c r="AO18" s="205" t="s">
        <v>679</v>
      </c>
      <c r="AP18" s="231" t="s">
        <v>679</v>
      </c>
      <c r="AQ18" s="234" t="s">
        <v>679</v>
      </c>
      <c r="AR18" s="232" t="s">
        <v>679</v>
      </c>
      <c r="AS18" s="234" t="s">
        <v>679</v>
      </c>
      <c r="AT18" s="205" t="s">
        <v>679</v>
      </c>
      <c r="AU18" s="205" t="s">
        <v>679</v>
      </c>
      <c r="AV18" s="204" t="s">
        <v>679</v>
      </c>
      <c r="AW18" s="205" t="s">
        <v>679</v>
      </c>
      <c r="AX18" s="204" t="s">
        <v>679</v>
      </c>
      <c r="AY18" s="205" t="s">
        <v>679</v>
      </c>
      <c r="AZ18" s="204" t="s">
        <v>679</v>
      </c>
      <c r="BA18" s="205" t="s">
        <v>679</v>
      </c>
      <c r="BB18" s="204" t="s">
        <v>679</v>
      </c>
      <c r="BC18" s="205" t="s">
        <v>679</v>
      </c>
      <c r="BD18" s="231" t="s">
        <v>679</v>
      </c>
      <c r="BE18" s="234" t="s">
        <v>679</v>
      </c>
      <c r="BF18" s="232" t="s">
        <v>679</v>
      </c>
      <c r="BG18" s="234" t="s">
        <v>679</v>
      </c>
      <c r="BH18" s="205" t="s">
        <v>679</v>
      </c>
      <c r="BI18" s="205" t="s">
        <v>679</v>
      </c>
      <c r="BJ18" s="204" t="s">
        <v>679</v>
      </c>
      <c r="BK18" s="237" t="s">
        <v>679</v>
      </c>
      <c r="BL18" s="316">
        <v>19</v>
      </c>
      <c r="BM18" s="317">
        <v>21</v>
      </c>
      <c r="BN18" s="422"/>
      <c r="BO18" s="427"/>
    </row>
    <row r="19" spans="1:67" ht="15" customHeight="1">
      <c r="A19" s="238" t="s">
        <v>26</v>
      </c>
      <c r="B19" s="238" t="s">
        <v>27</v>
      </c>
      <c r="C19" s="239" t="s">
        <v>28</v>
      </c>
      <c r="D19" s="245">
        <v>0.36388888888888887</v>
      </c>
      <c r="E19" s="246">
        <v>0.63888888888888884</v>
      </c>
      <c r="F19" s="231" t="s">
        <v>679</v>
      </c>
      <c r="G19" s="232" t="s">
        <v>679</v>
      </c>
      <c r="H19" s="247">
        <v>0.37569444444444444</v>
      </c>
      <c r="I19" s="246">
        <v>0.6333333333333333</v>
      </c>
      <c r="J19" s="247">
        <v>0.37291666666666667</v>
      </c>
      <c r="K19" s="246">
        <v>0.62638888888888888</v>
      </c>
      <c r="L19" s="247">
        <v>0.38541666666666669</v>
      </c>
      <c r="M19" s="230" t="s">
        <v>679</v>
      </c>
      <c r="N19" s="248">
        <v>0.38750000000000001</v>
      </c>
      <c r="O19" s="232" t="s">
        <v>679</v>
      </c>
      <c r="P19" s="231" t="s">
        <v>679</v>
      </c>
      <c r="Q19" s="234" t="s">
        <v>679</v>
      </c>
      <c r="R19" s="245">
        <v>0.36527777777777776</v>
      </c>
      <c r="S19" s="246">
        <v>0.64166666666666672</v>
      </c>
      <c r="T19" s="247">
        <v>0.3840277777777778</v>
      </c>
      <c r="U19" s="246">
        <v>0.65763888888888888</v>
      </c>
      <c r="V19" s="247">
        <v>0.37152777777777779</v>
      </c>
      <c r="W19" s="246">
        <v>0.6381944444444444</v>
      </c>
      <c r="X19" s="247">
        <v>0.36249999999999999</v>
      </c>
      <c r="Y19" s="246">
        <v>0.62777777777777777</v>
      </c>
      <c r="Z19" s="247">
        <v>0.36458333333333331</v>
      </c>
      <c r="AA19" s="246">
        <v>0.65763888888888888</v>
      </c>
      <c r="AB19" s="231" t="s">
        <v>679</v>
      </c>
      <c r="AC19" s="234" t="s">
        <v>679</v>
      </c>
      <c r="AD19" s="232" t="s">
        <v>679</v>
      </c>
      <c r="AE19" s="234" t="s">
        <v>679</v>
      </c>
      <c r="AF19" s="207">
        <v>0.36875000000000002</v>
      </c>
      <c r="AG19" s="207">
        <v>0.63263888888888886</v>
      </c>
      <c r="AH19" s="206">
        <v>0.37430555555555556</v>
      </c>
      <c r="AI19" s="207">
        <v>0.64166666666666672</v>
      </c>
      <c r="AJ19" s="206">
        <v>0.36875000000000002</v>
      </c>
      <c r="AK19" s="207">
        <v>0.63472222222222219</v>
      </c>
      <c r="AL19" s="206">
        <v>0.37430555555555556</v>
      </c>
      <c r="AM19" s="207">
        <v>0.6381944444444444</v>
      </c>
      <c r="AN19" s="206">
        <v>0.375</v>
      </c>
      <c r="AO19" s="207">
        <v>0.63055555555555554</v>
      </c>
      <c r="AP19" s="231" t="s">
        <v>679</v>
      </c>
      <c r="AQ19" s="234" t="s">
        <v>679</v>
      </c>
      <c r="AR19" s="232" t="s">
        <v>679</v>
      </c>
      <c r="AS19" s="234" t="s">
        <v>679</v>
      </c>
      <c r="AT19" s="207">
        <v>0.36805555555555558</v>
      </c>
      <c r="AU19" s="207">
        <v>0.61597222222222225</v>
      </c>
      <c r="AV19" s="206">
        <v>0.36805555555555558</v>
      </c>
      <c r="AW19" s="207">
        <v>0.60069444444444442</v>
      </c>
      <c r="AX19" s="206">
        <v>0.36319444444444443</v>
      </c>
      <c r="AY19" s="207">
        <v>0.64444444444444449</v>
      </c>
      <c r="AZ19" s="206">
        <v>0.37222222222222223</v>
      </c>
      <c r="BA19" s="207">
        <v>0.63472222222222219</v>
      </c>
      <c r="BB19" s="206">
        <v>0.36805555555555558</v>
      </c>
      <c r="BC19" s="207">
        <v>0.64236111111111116</v>
      </c>
      <c r="BD19" s="231" t="s">
        <v>679</v>
      </c>
      <c r="BE19" s="234" t="s">
        <v>679</v>
      </c>
      <c r="BF19" s="232" t="s">
        <v>679</v>
      </c>
      <c r="BG19" s="234" t="s">
        <v>679</v>
      </c>
      <c r="BH19" s="207">
        <v>0.37013888888888891</v>
      </c>
      <c r="BI19" s="207">
        <v>0.65555555555555556</v>
      </c>
      <c r="BJ19" s="249">
        <v>0.3659722222222222</v>
      </c>
      <c r="BK19" s="250">
        <v>0.67013888888888884</v>
      </c>
      <c r="BL19" s="316">
        <v>21</v>
      </c>
      <c r="BM19" s="317">
        <v>20</v>
      </c>
      <c r="BN19" s="319" t="s">
        <v>682</v>
      </c>
      <c r="BO19" s="332" t="s">
        <v>685</v>
      </c>
    </row>
    <row r="20" spans="1:67" ht="15" customHeight="1">
      <c r="A20" s="238" t="s">
        <v>26</v>
      </c>
      <c r="B20" s="253" t="s">
        <v>89</v>
      </c>
      <c r="C20" s="254" t="s">
        <v>90</v>
      </c>
      <c r="D20" s="246">
        <v>0.38124999999999998</v>
      </c>
      <c r="E20" s="246">
        <v>0.65694444444444444</v>
      </c>
      <c r="F20" s="231" t="s">
        <v>679</v>
      </c>
      <c r="G20" s="232" t="s">
        <v>679</v>
      </c>
      <c r="H20" s="247">
        <v>0.38194444444444442</v>
      </c>
      <c r="I20" s="246">
        <v>0.66805555555555551</v>
      </c>
      <c r="J20" s="247">
        <v>0.37986111111111109</v>
      </c>
      <c r="K20" s="246">
        <v>0.65069444444444446</v>
      </c>
      <c r="L20" s="247">
        <v>0.37847222222222221</v>
      </c>
      <c r="M20" s="246">
        <v>0.65347222222222223</v>
      </c>
      <c r="N20" s="248">
        <v>0.38611111111111113</v>
      </c>
      <c r="O20" s="251">
        <v>0.51249999999999996</v>
      </c>
      <c r="P20" s="231" t="s">
        <v>679</v>
      </c>
      <c r="Q20" s="234" t="s">
        <v>679</v>
      </c>
      <c r="R20" s="296">
        <v>0.40416666666666667</v>
      </c>
      <c r="S20" s="230" t="s">
        <v>679</v>
      </c>
      <c r="T20" s="247">
        <v>0.3923611111111111</v>
      </c>
      <c r="U20" s="294">
        <v>0.67847222222222225</v>
      </c>
      <c r="V20" s="247">
        <v>0.39374999999999999</v>
      </c>
      <c r="W20" s="246">
        <v>0.66319444444444442</v>
      </c>
      <c r="X20" s="247">
        <v>0.38819444444444445</v>
      </c>
      <c r="Y20" s="246">
        <v>0.62638888888888888</v>
      </c>
      <c r="Z20" s="247">
        <v>0.38750000000000001</v>
      </c>
      <c r="AA20" s="246">
        <v>0.66111111111111109</v>
      </c>
      <c r="AB20" s="231" t="s">
        <v>679</v>
      </c>
      <c r="AC20" s="234" t="s">
        <v>679</v>
      </c>
      <c r="AD20" s="232" t="s">
        <v>679</v>
      </c>
      <c r="AE20" s="234" t="s">
        <v>679</v>
      </c>
      <c r="AF20" s="207">
        <v>0.39374999999999999</v>
      </c>
      <c r="AG20" s="207">
        <v>0.6743055555555556</v>
      </c>
      <c r="AH20" s="206">
        <v>0.37916666666666665</v>
      </c>
      <c r="AI20" s="207">
        <v>0.66041666666666665</v>
      </c>
      <c r="AJ20" s="206">
        <v>0.38680555555555557</v>
      </c>
      <c r="AK20" s="207">
        <v>0.67222222222222228</v>
      </c>
      <c r="AL20" s="206">
        <v>0.38194444444444442</v>
      </c>
      <c r="AM20" s="207">
        <v>0.66180555555555554</v>
      </c>
      <c r="AN20" s="206">
        <v>0.39791666666666664</v>
      </c>
      <c r="AO20" s="207">
        <v>0.65763888888888888</v>
      </c>
      <c r="AP20" s="231" t="s">
        <v>679</v>
      </c>
      <c r="AQ20" s="234" t="s">
        <v>679</v>
      </c>
      <c r="AR20" s="232" t="s">
        <v>679</v>
      </c>
      <c r="AS20" s="234" t="s">
        <v>679</v>
      </c>
      <c r="AT20" s="207">
        <v>0.39652777777777776</v>
      </c>
      <c r="AU20" s="207">
        <v>0.68125000000000002</v>
      </c>
      <c r="AV20" s="206">
        <v>0.39027777777777778</v>
      </c>
      <c r="AW20" s="207">
        <v>0.67708333333333337</v>
      </c>
      <c r="AX20" s="206">
        <v>0.39166666666666666</v>
      </c>
      <c r="AY20" s="207">
        <v>0.67777777777777781</v>
      </c>
      <c r="AZ20" s="206">
        <v>0.40208333333333335</v>
      </c>
      <c r="BA20" s="207">
        <v>0.67847222222222225</v>
      </c>
      <c r="BB20" s="206">
        <v>0.37708333333333333</v>
      </c>
      <c r="BC20" s="207">
        <v>0.67500000000000004</v>
      </c>
      <c r="BD20" s="231" t="s">
        <v>679</v>
      </c>
      <c r="BE20" s="234" t="s">
        <v>679</v>
      </c>
      <c r="BF20" s="232" t="s">
        <v>679</v>
      </c>
      <c r="BG20" s="234" t="s">
        <v>679</v>
      </c>
      <c r="BH20" s="207">
        <v>0.38958333333333334</v>
      </c>
      <c r="BI20" s="207">
        <v>0.66805555555555551</v>
      </c>
      <c r="BJ20" s="206">
        <v>0.37361111111111112</v>
      </c>
      <c r="BK20" s="207">
        <v>0.68402777777777779</v>
      </c>
      <c r="BL20" s="316">
        <v>21</v>
      </c>
      <c r="BM20" s="317">
        <v>20</v>
      </c>
      <c r="BN20" s="319" t="s">
        <v>682</v>
      </c>
      <c r="BO20" s="332"/>
    </row>
    <row r="21" spans="1:67" ht="17.25">
      <c r="A21" s="238" t="s">
        <v>26</v>
      </c>
      <c r="B21" s="238" t="s">
        <v>29</v>
      </c>
      <c r="C21" s="239" t="s">
        <v>30</v>
      </c>
      <c r="D21" s="246">
        <v>0.35555555555555557</v>
      </c>
      <c r="E21" s="246">
        <v>0.63958333333333328</v>
      </c>
      <c r="F21" s="248">
        <v>0.32916666666666666</v>
      </c>
      <c r="G21" s="251">
        <v>0.60902777777777772</v>
      </c>
      <c r="H21" s="247">
        <v>0.3527777777777778</v>
      </c>
      <c r="I21" s="246">
        <v>0.63124999999999998</v>
      </c>
      <c r="J21" s="247">
        <v>0.34513888888888888</v>
      </c>
      <c r="K21" s="246">
        <v>0.62916666666666665</v>
      </c>
      <c r="L21" s="247">
        <v>0.34027777777777779</v>
      </c>
      <c r="M21" s="246">
        <v>0.62430555555555556</v>
      </c>
      <c r="N21" s="248">
        <v>0.29722222222222222</v>
      </c>
      <c r="O21" s="232" t="s">
        <v>679</v>
      </c>
      <c r="P21" s="231" t="s">
        <v>679</v>
      </c>
      <c r="Q21" s="234" t="s">
        <v>679</v>
      </c>
      <c r="R21" s="246">
        <v>0.34861111111111109</v>
      </c>
      <c r="S21" s="246">
        <v>0.62847222222222221</v>
      </c>
      <c r="T21" s="252">
        <v>0.37083333333333335</v>
      </c>
      <c r="U21" s="246">
        <v>0.62569444444444444</v>
      </c>
      <c r="V21" s="247">
        <v>0.36180555555555555</v>
      </c>
      <c r="W21" s="246">
        <v>0.62569444444444444</v>
      </c>
      <c r="X21" s="247">
        <v>0.33402777777777776</v>
      </c>
      <c r="Y21" s="246">
        <v>0.6333333333333333</v>
      </c>
      <c r="Z21" s="247">
        <v>0.3527777777777778</v>
      </c>
      <c r="AA21" s="246">
        <v>0.625</v>
      </c>
      <c r="AB21" s="231" t="s">
        <v>679</v>
      </c>
      <c r="AC21" s="234" t="s">
        <v>679</v>
      </c>
      <c r="AD21" s="232" t="s">
        <v>679</v>
      </c>
      <c r="AE21" s="234" t="s">
        <v>679</v>
      </c>
      <c r="AF21" s="207">
        <v>0.34861111111111109</v>
      </c>
      <c r="AG21" s="207">
        <v>0.62083333333333335</v>
      </c>
      <c r="AH21" s="206">
        <v>0.34583333333333333</v>
      </c>
      <c r="AI21" s="207">
        <v>0.64861111111111114</v>
      </c>
      <c r="AJ21" s="206">
        <v>0.33819444444444446</v>
      </c>
      <c r="AK21" s="207">
        <v>0.60416666666666663</v>
      </c>
      <c r="AL21" s="206">
        <v>0.34444444444444444</v>
      </c>
      <c r="AM21" s="207">
        <v>0.62083333333333335</v>
      </c>
      <c r="AN21" s="206">
        <v>0.34166666666666667</v>
      </c>
      <c r="AO21" s="207">
        <v>0.6166666666666667</v>
      </c>
      <c r="AP21" s="231" t="s">
        <v>679</v>
      </c>
      <c r="AQ21" s="234" t="s">
        <v>679</v>
      </c>
      <c r="AR21" s="232" t="s">
        <v>679</v>
      </c>
      <c r="AS21" s="234" t="s">
        <v>679</v>
      </c>
      <c r="AT21" s="205" t="s">
        <v>679</v>
      </c>
      <c r="AU21" s="205" t="s">
        <v>679</v>
      </c>
      <c r="AV21" s="204" t="s">
        <v>679</v>
      </c>
      <c r="AW21" s="205" t="s">
        <v>679</v>
      </c>
      <c r="AX21" s="204" t="s">
        <v>679</v>
      </c>
      <c r="AY21" s="205" t="s">
        <v>679</v>
      </c>
      <c r="AZ21" s="204" t="s">
        <v>679</v>
      </c>
      <c r="BA21" s="205" t="s">
        <v>679</v>
      </c>
      <c r="BB21" s="204" t="s">
        <v>679</v>
      </c>
      <c r="BC21" s="205" t="s">
        <v>679</v>
      </c>
      <c r="BD21" s="231" t="s">
        <v>679</v>
      </c>
      <c r="BE21" s="234" t="s">
        <v>679</v>
      </c>
      <c r="BF21" s="232" t="s">
        <v>679</v>
      </c>
      <c r="BG21" s="234" t="s">
        <v>679</v>
      </c>
      <c r="BH21" s="205" t="s">
        <v>679</v>
      </c>
      <c r="BI21" s="205" t="s">
        <v>679</v>
      </c>
      <c r="BJ21" s="204" t="s">
        <v>679</v>
      </c>
      <c r="BK21" s="205" t="s">
        <v>679</v>
      </c>
      <c r="BL21" s="316">
        <v>15</v>
      </c>
      <c r="BM21" s="317">
        <v>15</v>
      </c>
      <c r="BN21" s="319" t="s">
        <v>686</v>
      </c>
      <c r="BO21" s="332"/>
    </row>
    <row r="22" spans="1:67" ht="15" customHeight="1">
      <c r="A22" s="238" t="s">
        <v>26</v>
      </c>
      <c r="B22" s="238" t="s">
        <v>31</v>
      </c>
      <c r="C22" s="239" t="s">
        <v>32</v>
      </c>
      <c r="D22" s="220">
        <v>0.36388888888888887</v>
      </c>
      <c r="E22" s="219" t="s">
        <v>679</v>
      </c>
      <c r="F22" s="221" t="s">
        <v>679</v>
      </c>
      <c r="G22" s="222" t="s">
        <v>679</v>
      </c>
      <c r="H22" s="224">
        <v>0.40138888888888891</v>
      </c>
      <c r="I22" s="219"/>
      <c r="J22" s="224">
        <v>0.35972222222222222</v>
      </c>
      <c r="K22" s="219"/>
      <c r="L22" s="223" t="s">
        <v>679</v>
      </c>
      <c r="M22" s="219"/>
      <c r="N22" s="243">
        <v>0.49861111111111112</v>
      </c>
      <c r="O22" s="222" t="s">
        <v>679</v>
      </c>
      <c r="P22" s="221" t="s">
        <v>679</v>
      </c>
      <c r="Q22" s="225" t="s">
        <v>679</v>
      </c>
      <c r="R22" s="220">
        <v>0.37430555555555556</v>
      </c>
      <c r="S22" s="220">
        <v>0.67638888888888893</v>
      </c>
      <c r="T22" s="224">
        <v>0.40833333333333333</v>
      </c>
      <c r="U22" s="219"/>
      <c r="V22" s="224">
        <v>0.37777777777777777</v>
      </c>
      <c r="W22" s="220">
        <v>0.64722222222222225</v>
      </c>
      <c r="X22" s="223" t="s">
        <v>679</v>
      </c>
      <c r="Y22" s="220">
        <v>0.63749999999999996</v>
      </c>
      <c r="Z22" s="223" t="s">
        <v>679</v>
      </c>
      <c r="AA22" s="219"/>
      <c r="AB22" s="221" t="s">
        <v>679</v>
      </c>
      <c r="AC22" s="225" t="s">
        <v>679</v>
      </c>
      <c r="AD22" s="222" t="s">
        <v>679</v>
      </c>
      <c r="AE22" s="225" t="s">
        <v>679</v>
      </c>
      <c r="AF22" s="203">
        <v>0.37152777777777779</v>
      </c>
      <c r="AG22" s="203">
        <v>0.66249999999999998</v>
      </c>
      <c r="AH22" s="201">
        <v>0.35416666666666669</v>
      </c>
      <c r="AI22" s="203">
        <v>0.67083333333333328</v>
      </c>
      <c r="AJ22" s="201">
        <v>0.37638888888888888</v>
      </c>
      <c r="AK22" s="203">
        <v>0.70763888888888893</v>
      </c>
      <c r="AL22" s="201">
        <v>0.35208333333333336</v>
      </c>
      <c r="AM22" s="203">
        <v>0.66805555555555551</v>
      </c>
      <c r="AN22" s="201">
        <v>0.34722222222222221</v>
      </c>
      <c r="AO22" s="203">
        <v>0.64444444444444449</v>
      </c>
      <c r="AP22" s="221" t="s">
        <v>679</v>
      </c>
      <c r="AQ22" s="225" t="s">
        <v>679</v>
      </c>
      <c r="AR22" s="222" t="s">
        <v>679</v>
      </c>
      <c r="AS22" s="225" t="s">
        <v>679</v>
      </c>
      <c r="AT22" s="203">
        <v>0.36180555555555555</v>
      </c>
      <c r="AU22" s="203">
        <v>0.65416666666666667</v>
      </c>
      <c r="AV22" s="200" t="s">
        <v>679</v>
      </c>
      <c r="AW22" s="202"/>
      <c r="AX22" s="201">
        <v>0.34861111111111109</v>
      </c>
      <c r="AY22" s="203">
        <v>0.68888888888888888</v>
      </c>
      <c r="AZ22" s="201">
        <v>0.37291666666666667</v>
      </c>
      <c r="BA22" s="203">
        <v>0.66874999999999996</v>
      </c>
      <c r="BB22" s="201">
        <v>0.34652777777777777</v>
      </c>
      <c r="BC22" s="203">
        <v>0.68611111111111112</v>
      </c>
      <c r="BD22" s="221" t="s">
        <v>679</v>
      </c>
      <c r="BE22" s="225" t="s">
        <v>679</v>
      </c>
      <c r="BF22" s="222" t="s">
        <v>679</v>
      </c>
      <c r="BG22" s="225" t="s">
        <v>679</v>
      </c>
      <c r="BH22" s="203">
        <v>0.34791666666666665</v>
      </c>
      <c r="BI22" s="203">
        <v>0.65138888888888891</v>
      </c>
      <c r="BJ22" s="201">
        <v>0.37569444444444444</v>
      </c>
      <c r="BK22" s="203">
        <v>0.69861111111111107</v>
      </c>
      <c r="BL22" s="314">
        <v>18</v>
      </c>
      <c r="BM22" s="315">
        <v>15</v>
      </c>
      <c r="BN22" s="333" t="s">
        <v>687</v>
      </c>
      <c r="BO22" s="332"/>
    </row>
    <row r="23" spans="1:67" ht="17.25">
      <c r="A23" s="217" t="s">
        <v>26</v>
      </c>
      <c r="B23" s="217" t="s">
        <v>31</v>
      </c>
      <c r="C23" s="218" t="s">
        <v>33</v>
      </c>
      <c r="D23" s="219"/>
      <c r="E23" s="219"/>
      <c r="F23" s="221" t="s">
        <v>679</v>
      </c>
      <c r="G23" s="222" t="s">
        <v>679</v>
      </c>
      <c r="H23" s="223" t="s">
        <v>679</v>
      </c>
      <c r="I23" s="219"/>
      <c r="J23" s="223" t="s">
        <v>679</v>
      </c>
      <c r="K23" s="219"/>
      <c r="L23" s="223" t="s">
        <v>679</v>
      </c>
      <c r="M23" s="219"/>
      <c r="N23" s="221" t="s">
        <v>679</v>
      </c>
      <c r="O23" s="222" t="s">
        <v>679</v>
      </c>
      <c r="P23" s="221" t="s">
        <v>679</v>
      </c>
      <c r="Q23" s="225" t="s">
        <v>679</v>
      </c>
      <c r="R23" s="219"/>
      <c r="S23" s="219"/>
      <c r="T23" s="223" t="s">
        <v>679</v>
      </c>
      <c r="U23" s="219"/>
      <c r="V23" s="223" t="s">
        <v>679</v>
      </c>
      <c r="W23" s="219"/>
      <c r="X23" s="223" t="s">
        <v>679</v>
      </c>
      <c r="Y23" s="219"/>
      <c r="Z23" s="223" t="s">
        <v>679</v>
      </c>
      <c r="AA23" s="219"/>
      <c r="AB23" s="221" t="s">
        <v>679</v>
      </c>
      <c r="AC23" s="225" t="s">
        <v>679</v>
      </c>
      <c r="AD23" s="222" t="s">
        <v>679</v>
      </c>
      <c r="AE23" s="225" t="s">
        <v>679</v>
      </c>
      <c r="AF23" s="202" t="s">
        <v>679</v>
      </c>
      <c r="AG23" s="202"/>
      <c r="AH23" s="200" t="s">
        <v>679</v>
      </c>
      <c r="AI23" s="202"/>
      <c r="AJ23" s="200" t="s">
        <v>679</v>
      </c>
      <c r="AK23" s="202"/>
      <c r="AL23" s="200" t="s">
        <v>679</v>
      </c>
      <c r="AM23" s="202"/>
      <c r="AN23" s="200" t="s">
        <v>679</v>
      </c>
      <c r="AO23" s="202"/>
      <c r="AP23" s="221" t="s">
        <v>679</v>
      </c>
      <c r="AQ23" s="225" t="s">
        <v>679</v>
      </c>
      <c r="AR23" s="222" t="s">
        <v>679</v>
      </c>
      <c r="AS23" s="225" t="s">
        <v>679</v>
      </c>
      <c r="AT23" s="202" t="s">
        <v>679</v>
      </c>
      <c r="AU23" s="202"/>
      <c r="AV23" s="200" t="s">
        <v>679</v>
      </c>
      <c r="AW23" s="202"/>
      <c r="AX23" s="200" t="s">
        <v>679</v>
      </c>
      <c r="AY23" s="202"/>
      <c r="AZ23" s="200" t="s">
        <v>679</v>
      </c>
      <c r="BA23" s="202"/>
      <c r="BB23" s="200" t="s">
        <v>679</v>
      </c>
      <c r="BC23" s="202"/>
      <c r="BD23" s="221" t="s">
        <v>679</v>
      </c>
      <c r="BE23" s="225" t="s">
        <v>679</v>
      </c>
      <c r="BF23" s="222" t="s">
        <v>679</v>
      </c>
      <c r="BG23" s="225" t="s">
        <v>679</v>
      </c>
      <c r="BH23" s="202" t="s">
        <v>679</v>
      </c>
      <c r="BI23" s="202"/>
      <c r="BJ23" s="200" t="s">
        <v>679</v>
      </c>
      <c r="BK23" s="202"/>
      <c r="BL23" s="314">
        <v>18</v>
      </c>
      <c r="BM23" s="315">
        <v>15</v>
      </c>
      <c r="BN23" s="333"/>
      <c r="BO23" s="332"/>
    </row>
    <row r="24" spans="1:67" ht="17.25">
      <c r="A24" s="217" t="s">
        <v>26</v>
      </c>
      <c r="B24" s="217" t="s">
        <v>31</v>
      </c>
      <c r="C24" s="218" t="s">
        <v>34</v>
      </c>
      <c r="D24" s="219"/>
      <c r="E24" s="219"/>
      <c r="F24" s="221" t="s">
        <v>679</v>
      </c>
      <c r="G24" s="222" t="s">
        <v>679</v>
      </c>
      <c r="H24" s="223" t="s">
        <v>679</v>
      </c>
      <c r="I24" s="219"/>
      <c r="J24" s="223" t="s">
        <v>679</v>
      </c>
      <c r="K24" s="219"/>
      <c r="L24" s="223" t="s">
        <v>679</v>
      </c>
      <c r="M24" s="219"/>
      <c r="N24" s="221" t="s">
        <v>679</v>
      </c>
      <c r="O24" s="222" t="s">
        <v>679</v>
      </c>
      <c r="P24" s="221" t="s">
        <v>679</v>
      </c>
      <c r="Q24" s="225" t="s">
        <v>679</v>
      </c>
      <c r="R24" s="219"/>
      <c r="S24" s="219"/>
      <c r="T24" s="223" t="s">
        <v>679</v>
      </c>
      <c r="U24" s="219"/>
      <c r="V24" s="223" t="s">
        <v>679</v>
      </c>
      <c r="W24" s="219"/>
      <c r="X24" s="224">
        <v>0.34444444444444444</v>
      </c>
      <c r="Y24" s="219"/>
      <c r="Z24" s="223" t="s">
        <v>679</v>
      </c>
      <c r="AA24" s="219"/>
      <c r="AB24" s="221" t="s">
        <v>679</v>
      </c>
      <c r="AC24" s="225" t="s">
        <v>679</v>
      </c>
      <c r="AD24" s="222" t="s">
        <v>679</v>
      </c>
      <c r="AE24" s="225" t="s">
        <v>679</v>
      </c>
      <c r="AF24" s="202" t="s">
        <v>679</v>
      </c>
      <c r="AG24" s="202"/>
      <c r="AH24" s="200" t="s">
        <v>679</v>
      </c>
      <c r="AI24" s="202"/>
      <c r="AJ24" s="200" t="s">
        <v>679</v>
      </c>
      <c r="AK24" s="202"/>
      <c r="AL24" s="200" t="s">
        <v>679</v>
      </c>
      <c r="AM24" s="202"/>
      <c r="AN24" s="200" t="s">
        <v>679</v>
      </c>
      <c r="AO24" s="202"/>
      <c r="AP24" s="221" t="s">
        <v>679</v>
      </c>
      <c r="AQ24" s="225" t="s">
        <v>679</v>
      </c>
      <c r="AR24" s="222" t="s">
        <v>679</v>
      </c>
      <c r="AS24" s="225" t="s">
        <v>679</v>
      </c>
      <c r="AT24" s="202" t="s">
        <v>679</v>
      </c>
      <c r="AU24" s="202"/>
      <c r="AV24" s="200" t="s">
        <v>679</v>
      </c>
      <c r="AW24" s="202"/>
      <c r="AX24" s="200" t="s">
        <v>679</v>
      </c>
      <c r="AY24" s="202"/>
      <c r="AZ24" s="200" t="s">
        <v>679</v>
      </c>
      <c r="BA24" s="202"/>
      <c r="BB24" s="200" t="s">
        <v>679</v>
      </c>
      <c r="BC24" s="202"/>
      <c r="BD24" s="221" t="s">
        <v>679</v>
      </c>
      <c r="BE24" s="225" t="s">
        <v>679</v>
      </c>
      <c r="BF24" s="222" t="s">
        <v>679</v>
      </c>
      <c r="BG24" s="225" t="s">
        <v>679</v>
      </c>
      <c r="BH24" s="202" t="s">
        <v>679</v>
      </c>
      <c r="BI24" s="202"/>
      <c r="BJ24" s="200" t="s">
        <v>679</v>
      </c>
      <c r="BK24" s="202"/>
      <c r="BL24" s="314">
        <v>18</v>
      </c>
      <c r="BM24" s="315">
        <v>15</v>
      </c>
      <c r="BN24" s="333"/>
      <c r="BO24" s="332"/>
    </row>
    <row r="25" spans="1:67" ht="17.25">
      <c r="A25" s="217" t="s">
        <v>26</v>
      </c>
      <c r="B25" s="217" t="s">
        <v>31</v>
      </c>
      <c r="C25" s="218" t="s">
        <v>35</v>
      </c>
      <c r="D25" s="219"/>
      <c r="E25" s="219"/>
      <c r="F25" s="221" t="s">
        <v>679</v>
      </c>
      <c r="G25" s="222" t="s">
        <v>679</v>
      </c>
      <c r="H25" s="223" t="s">
        <v>679</v>
      </c>
      <c r="I25" s="219"/>
      <c r="J25" s="223" t="s">
        <v>679</v>
      </c>
      <c r="K25" s="219"/>
      <c r="L25" s="223" t="s">
        <v>679</v>
      </c>
      <c r="M25" s="219"/>
      <c r="N25" s="221" t="s">
        <v>679</v>
      </c>
      <c r="O25" s="222" t="s">
        <v>679</v>
      </c>
      <c r="P25" s="221" t="s">
        <v>679</v>
      </c>
      <c r="Q25" s="225" t="s">
        <v>679</v>
      </c>
      <c r="R25" s="219"/>
      <c r="S25" s="219"/>
      <c r="T25" s="223" t="s">
        <v>679</v>
      </c>
      <c r="U25" s="219"/>
      <c r="V25" s="223" t="s">
        <v>679</v>
      </c>
      <c r="W25" s="219"/>
      <c r="X25" s="223" t="s">
        <v>679</v>
      </c>
      <c r="Y25" s="219"/>
      <c r="Z25" s="223" t="s">
        <v>679</v>
      </c>
      <c r="AA25" s="219"/>
      <c r="AB25" s="221" t="s">
        <v>679</v>
      </c>
      <c r="AC25" s="225" t="s">
        <v>679</v>
      </c>
      <c r="AD25" s="222" t="s">
        <v>679</v>
      </c>
      <c r="AE25" s="225" t="s">
        <v>679</v>
      </c>
      <c r="AF25" s="202" t="s">
        <v>679</v>
      </c>
      <c r="AG25" s="202"/>
      <c r="AH25" s="200" t="s">
        <v>679</v>
      </c>
      <c r="AI25" s="202"/>
      <c r="AJ25" s="200" t="s">
        <v>679</v>
      </c>
      <c r="AK25" s="202"/>
      <c r="AL25" s="200" t="s">
        <v>679</v>
      </c>
      <c r="AM25" s="202"/>
      <c r="AN25" s="200" t="s">
        <v>679</v>
      </c>
      <c r="AO25" s="202"/>
      <c r="AP25" s="221" t="s">
        <v>679</v>
      </c>
      <c r="AQ25" s="225" t="s">
        <v>679</v>
      </c>
      <c r="AR25" s="222" t="s">
        <v>679</v>
      </c>
      <c r="AS25" s="225" t="s">
        <v>679</v>
      </c>
      <c r="AT25" s="202" t="s">
        <v>679</v>
      </c>
      <c r="AU25" s="202"/>
      <c r="AV25" s="200" t="s">
        <v>679</v>
      </c>
      <c r="AW25" s="202"/>
      <c r="AX25" s="200" t="s">
        <v>679</v>
      </c>
      <c r="AY25" s="202"/>
      <c r="AZ25" s="200" t="s">
        <v>679</v>
      </c>
      <c r="BA25" s="202"/>
      <c r="BB25" s="200" t="s">
        <v>679</v>
      </c>
      <c r="BC25" s="202"/>
      <c r="BD25" s="221" t="s">
        <v>679</v>
      </c>
      <c r="BE25" s="225" t="s">
        <v>679</v>
      </c>
      <c r="BF25" s="222" t="s">
        <v>679</v>
      </c>
      <c r="BG25" s="225" t="s">
        <v>679</v>
      </c>
      <c r="BH25" s="202" t="s">
        <v>679</v>
      </c>
      <c r="BI25" s="202"/>
      <c r="BJ25" s="200" t="s">
        <v>679</v>
      </c>
      <c r="BK25" s="202"/>
      <c r="BL25" s="314">
        <v>18</v>
      </c>
      <c r="BM25" s="315">
        <v>15</v>
      </c>
      <c r="BN25" s="333"/>
      <c r="BO25" s="332"/>
    </row>
    <row r="26" spans="1:67" ht="17.25">
      <c r="A26" s="217" t="s">
        <v>26</v>
      </c>
      <c r="B26" s="217" t="s">
        <v>31</v>
      </c>
      <c r="C26" s="218" t="s">
        <v>36</v>
      </c>
      <c r="D26" s="219"/>
      <c r="E26" s="219"/>
      <c r="F26" s="221" t="s">
        <v>679</v>
      </c>
      <c r="G26" s="222" t="s">
        <v>679</v>
      </c>
      <c r="H26" s="223" t="s">
        <v>679</v>
      </c>
      <c r="I26" s="219"/>
      <c r="J26" s="223" t="s">
        <v>679</v>
      </c>
      <c r="K26" s="219"/>
      <c r="L26" s="223" t="s">
        <v>679</v>
      </c>
      <c r="M26" s="219"/>
      <c r="N26" s="221" t="s">
        <v>679</v>
      </c>
      <c r="O26" s="222" t="s">
        <v>679</v>
      </c>
      <c r="P26" s="221" t="s">
        <v>679</v>
      </c>
      <c r="Q26" s="225" t="s">
        <v>679</v>
      </c>
      <c r="R26" s="219"/>
      <c r="S26" s="219"/>
      <c r="T26" s="223" t="s">
        <v>679</v>
      </c>
      <c r="U26" s="219"/>
      <c r="V26" s="223" t="s">
        <v>679</v>
      </c>
      <c r="W26" s="219"/>
      <c r="X26" s="223" t="s">
        <v>679</v>
      </c>
      <c r="Y26" s="219"/>
      <c r="Z26" s="223" t="s">
        <v>679</v>
      </c>
      <c r="AA26" s="219"/>
      <c r="AB26" s="221" t="s">
        <v>679</v>
      </c>
      <c r="AC26" s="225" t="s">
        <v>679</v>
      </c>
      <c r="AD26" s="222" t="s">
        <v>679</v>
      </c>
      <c r="AE26" s="225" t="s">
        <v>679</v>
      </c>
      <c r="AF26" s="202" t="s">
        <v>679</v>
      </c>
      <c r="AG26" s="202"/>
      <c r="AH26" s="200" t="s">
        <v>679</v>
      </c>
      <c r="AI26" s="202"/>
      <c r="AJ26" s="200" t="s">
        <v>679</v>
      </c>
      <c r="AK26" s="202"/>
      <c r="AL26" s="200" t="s">
        <v>679</v>
      </c>
      <c r="AM26" s="202"/>
      <c r="AN26" s="200" t="s">
        <v>679</v>
      </c>
      <c r="AO26" s="202"/>
      <c r="AP26" s="221" t="s">
        <v>679</v>
      </c>
      <c r="AQ26" s="225" t="s">
        <v>679</v>
      </c>
      <c r="AR26" s="222" t="s">
        <v>679</v>
      </c>
      <c r="AS26" s="225" t="s">
        <v>679</v>
      </c>
      <c r="AT26" s="202" t="s">
        <v>679</v>
      </c>
      <c r="AU26" s="202"/>
      <c r="AV26" s="200" t="s">
        <v>679</v>
      </c>
      <c r="AW26" s="202"/>
      <c r="AX26" s="200" t="s">
        <v>679</v>
      </c>
      <c r="AY26" s="202"/>
      <c r="AZ26" s="200" t="s">
        <v>679</v>
      </c>
      <c r="BA26" s="202"/>
      <c r="BB26" s="200" t="s">
        <v>679</v>
      </c>
      <c r="BC26" s="202"/>
      <c r="BD26" s="221" t="s">
        <v>679</v>
      </c>
      <c r="BE26" s="225" t="s">
        <v>679</v>
      </c>
      <c r="BF26" s="222" t="s">
        <v>679</v>
      </c>
      <c r="BG26" s="225" t="s">
        <v>679</v>
      </c>
      <c r="BH26" s="202" t="s">
        <v>679</v>
      </c>
      <c r="BI26" s="202"/>
      <c r="BJ26" s="200" t="s">
        <v>679</v>
      </c>
      <c r="BK26" s="202"/>
      <c r="BL26" s="314">
        <v>18</v>
      </c>
      <c r="BM26" s="315">
        <v>15</v>
      </c>
      <c r="BN26" s="333"/>
      <c r="BO26" s="332"/>
    </row>
    <row r="27" spans="1:67" ht="17.25">
      <c r="A27" s="217" t="s">
        <v>26</v>
      </c>
      <c r="B27" s="217" t="s">
        <v>31</v>
      </c>
      <c r="C27" s="218" t="s">
        <v>37</v>
      </c>
      <c r="D27" s="219"/>
      <c r="E27" s="219"/>
      <c r="F27" s="221" t="s">
        <v>679</v>
      </c>
      <c r="G27" s="222" t="s">
        <v>679</v>
      </c>
      <c r="H27" s="223" t="s">
        <v>679</v>
      </c>
      <c r="I27" s="219"/>
      <c r="J27" s="223" t="s">
        <v>679</v>
      </c>
      <c r="K27" s="219"/>
      <c r="L27" s="223" t="s">
        <v>679</v>
      </c>
      <c r="M27" s="220">
        <v>0.68680555555555556</v>
      </c>
      <c r="N27" s="221" t="s">
        <v>679</v>
      </c>
      <c r="O27" s="222" t="s">
        <v>679</v>
      </c>
      <c r="P27" s="221" t="s">
        <v>679</v>
      </c>
      <c r="Q27" s="225" t="s">
        <v>679</v>
      </c>
      <c r="R27" s="219"/>
      <c r="S27" s="219"/>
      <c r="T27" s="223" t="s">
        <v>679</v>
      </c>
      <c r="U27" s="219"/>
      <c r="V27" s="223" t="s">
        <v>679</v>
      </c>
      <c r="W27" s="219"/>
      <c r="X27" s="223" t="s">
        <v>679</v>
      </c>
      <c r="Y27" s="219"/>
      <c r="Z27" s="223" t="s">
        <v>679</v>
      </c>
      <c r="AA27" s="219"/>
      <c r="AB27" s="221" t="s">
        <v>679</v>
      </c>
      <c r="AC27" s="225" t="s">
        <v>679</v>
      </c>
      <c r="AD27" s="222" t="s">
        <v>679</v>
      </c>
      <c r="AE27" s="225" t="s">
        <v>679</v>
      </c>
      <c r="AF27" s="202" t="s">
        <v>679</v>
      </c>
      <c r="AG27" s="202"/>
      <c r="AH27" s="200" t="s">
        <v>679</v>
      </c>
      <c r="AI27" s="202"/>
      <c r="AJ27" s="200" t="s">
        <v>679</v>
      </c>
      <c r="AK27" s="202"/>
      <c r="AL27" s="200" t="s">
        <v>679</v>
      </c>
      <c r="AM27" s="202"/>
      <c r="AN27" s="200" t="s">
        <v>679</v>
      </c>
      <c r="AO27" s="202"/>
      <c r="AP27" s="221" t="s">
        <v>679</v>
      </c>
      <c r="AQ27" s="225" t="s">
        <v>679</v>
      </c>
      <c r="AR27" s="222" t="s">
        <v>679</v>
      </c>
      <c r="AS27" s="225" t="s">
        <v>679</v>
      </c>
      <c r="AT27" s="202" t="s">
        <v>679</v>
      </c>
      <c r="AU27" s="202"/>
      <c r="AV27" s="200" t="s">
        <v>679</v>
      </c>
      <c r="AW27" s="202"/>
      <c r="AX27" s="200" t="s">
        <v>679</v>
      </c>
      <c r="AY27" s="202"/>
      <c r="AZ27" s="200" t="s">
        <v>679</v>
      </c>
      <c r="BA27" s="202"/>
      <c r="BB27" s="200" t="s">
        <v>679</v>
      </c>
      <c r="BC27" s="202"/>
      <c r="BD27" s="221" t="s">
        <v>679</v>
      </c>
      <c r="BE27" s="225" t="s">
        <v>679</v>
      </c>
      <c r="BF27" s="222" t="s">
        <v>679</v>
      </c>
      <c r="BG27" s="225" t="s">
        <v>679</v>
      </c>
      <c r="BH27" s="202" t="s">
        <v>679</v>
      </c>
      <c r="BI27" s="202"/>
      <c r="BJ27" s="200" t="s">
        <v>679</v>
      </c>
      <c r="BK27" s="202"/>
      <c r="BL27" s="314">
        <v>18</v>
      </c>
      <c r="BM27" s="315">
        <v>15</v>
      </c>
      <c r="BN27" s="333"/>
      <c r="BO27" s="332"/>
    </row>
    <row r="28" spans="1:67" ht="17.25">
      <c r="A28" s="217" t="s">
        <v>26</v>
      </c>
      <c r="B28" s="217" t="s">
        <v>31</v>
      </c>
      <c r="C28" s="218" t="s">
        <v>38</v>
      </c>
      <c r="D28" s="230" t="s">
        <v>679</v>
      </c>
      <c r="E28" s="230" t="s">
        <v>679</v>
      </c>
      <c r="F28" s="231" t="s">
        <v>679</v>
      </c>
      <c r="G28" s="232" t="s">
        <v>679</v>
      </c>
      <c r="H28" s="233" t="s">
        <v>679</v>
      </c>
      <c r="I28" s="230" t="s">
        <v>679</v>
      </c>
      <c r="J28" s="233" t="s">
        <v>679</v>
      </c>
      <c r="K28" s="230" t="s">
        <v>679</v>
      </c>
      <c r="L28" s="233" t="s">
        <v>679</v>
      </c>
      <c r="M28" s="230" t="s">
        <v>679</v>
      </c>
      <c r="N28" s="231" t="s">
        <v>679</v>
      </c>
      <c r="O28" s="232" t="s">
        <v>679</v>
      </c>
      <c r="P28" s="231" t="s">
        <v>679</v>
      </c>
      <c r="Q28" s="234" t="s">
        <v>679</v>
      </c>
      <c r="R28" s="230" t="s">
        <v>679</v>
      </c>
      <c r="S28" s="230" t="s">
        <v>679</v>
      </c>
      <c r="T28" s="233" t="s">
        <v>679</v>
      </c>
      <c r="U28" s="230" t="s">
        <v>679</v>
      </c>
      <c r="V28" s="233" t="s">
        <v>679</v>
      </c>
      <c r="W28" s="230" t="s">
        <v>679</v>
      </c>
      <c r="X28" s="233" t="s">
        <v>679</v>
      </c>
      <c r="Y28" s="230" t="s">
        <v>679</v>
      </c>
      <c r="Z28" s="233" t="s">
        <v>679</v>
      </c>
      <c r="AA28" s="230" t="s">
        <v>679</v>
      </c>
      <c r="AB28" s="231" t="s">
        <v>679</v>
      </c>
      <c r="AC28" s="234" t="s">
        <v>679</v>
      </c>
      <c r="AD28" s="232" t="s">
        <v>679</v>
      </c>
      <c r="AE28" s="234" t="s">
        <v>679</v>
      </c>
      <c r="AF28" s="205" t="s">
        <v>679</v>
      </c>
      <c r="AG28" s="205" t="s">
        <v>679</v>
      </c>
      <c r="AH28" s="204" t="s">
        <v>679</v>
      </c>
      <c r="AI28" s="205" t="s">
        <v>679</v>
      </c>
      <c r="AJ28" s="204" t="s">
        <v>679</v>
      </c>
      <c r="AK28" s="205" t="s">
        <v>679</v>
      </c>
      <c r="AL28" s="204" t="s">
        <v>679</v>
      </c>
      <c r="AM28" s="205" t="s">
        <v>679</v>
      </c>
      <c r="AN28" s="204" t="s">
        <v>679</v>
      </c>
      <c r="AO28" s="205" t="s">
        <v>679</v>
      </c>
      <c r="AP28" s="231" t="s">
        <v>679</v>
      </c>
      <c r="AQ28" s="234" t="s">
        <v>679</v>
      </c>
      <c r="AR28" s="232" t="s">
        <v>679</v>
      </c>
      <c r="AS28" s="234" t="s">
        <v>679</v>
      </c>
      <c r="AT28" s="205" t="s">
        <v>679</v>
      </c>
      <c r="AU28" s="205" t="s">
        <v>679</v>
      </c>
      <c r="AV28" s="204" t="s">
        <v>679</v>
      </c>
      <c r="AW28" s="205" t="s">
        <v>679</v>
      </c>
      <c r="AX28" s="204" t="s">
        <v>679</v>
      </c>
      <c r="AY28" s="205" t="s">
        <v>679</v>
      </c>
      <c r="AZ28" s="204" t="s">
        <v>679</v>
      </c>
      <c r="BA28" s="205" t="s">
        <v>679</v>
      </c>
      <c r="BB28" s="204" t="s">
        <v>679</v>
      </c>
      <c r="BC28" s="205" t="s">
        <v>679</v>
      </c>
      <c r="BD28" s="231" t="s">
        <v>679</v>
      </c>
      <c r="BE28" s="234" t="s">
        <v>679</v>
      </c>
      <c r="BF28" s="232" t="s">
        <v>679</v>
      </c>
      <c r="BG28" s="234" t="s">
        <v>679</v>
      </c>
      <c r="BH28" s="205" t="s">
        <v>679</v>
      </c>
      <c r="BI28" s="205" t="s">
        <v>679</v>
      </c>
      <c r="BJ28" s="204" t="s">
        <v>679</v>
      </c>
      <c r="BK28" s="205" t="s">
        <v>679</v>
      </c>
      <c r="BL28" s="316">
        <v>18</v>
      </c>
      <c r="BM28" s="317">
        <v>15</v>
      </c>
      <c r="BN28" s="334"/>
      <c r="BO28" s="332"/>
    </row>
    <row r="29" spans="1:67" ht="17.25">
      <c r="A29" s="253" t="s">
        <v>26</v>
      </c>
      <c r="B29" s="253" t="s">
        <v>39</v>
      </c>
      <c r="C29" s="254" t="s">
        <v>40</v>
      </c>
      <c r="D29" s="246">
        <v>0.38333333333333336</v>
      </c>
      <c r="E29" s="255">
        <v>0.66874999999999996</v>
      </c>
      <c r="F29" s="231" t="s">
        <v>679</v>
      </c>
      <c r="G29" s="232" t="s">
        <v>679</v>
      </c>
      <c r="H29" s="247">
        <v>0.39097222222222222</v>
      </c>
      <c r="I29" s="245">
        <v>0.6743055555555556</v>
      </c>
      <c r="J29" s="256">
        <v>0.38333333333333336</v>
      </c>
      <c r="K29" s="245">
        <v>0.64583333333333337</v>
      </c>
      <c r="L29" s="247">
        <v>0.38819444444444445</v>
      </c>
      <c r="M29" s="246">
        <v>0.68541666666666667</v>
      </c>
      <c r="N29" s="231" t="s">
        <v>679</v>
      </c>
      <c r="O29" s="232" t="s">
        <v>679</v>
      </c>
      <c r="P29" s="231" t="s">
        <v>679</v>
      </c>
      <c r="Q29" s="234" t="s">
        <v>679</v>
      </c>
      <c r="R29" s="246">
        <v>0.39305555555555555</v>
      </c>
      <c r="S29" s="255">
        <v>0.63055555555555554</v>
      </c>
      <c r="T29" s="247">
        <v>0.39513888888888887</v>
      </c>
      <c r="U29" s="246">
        <v>0.65138888888888891</v>
      </c>
      <c r="V29" s="247">
        <v>0.39097222222222222</v>
      </c>
      <c r="W29" s="245">
        <v>0.64722222222222225</v>
      </c>
      <c r="X29" s="257">
        <v>0.38263888888888886</v>
      </c>
      <c r="Y29" s="258">
        <v>0.6694444444444444</v>
      </c>
      <c r="Z29" s="247">
        <v>0.41458333333333336</v>
      </c>
      <c r="AA29" s="230" t="s">
        <v>679</v>
      </c>
      <c r="AB29" s="231" t="s">
        <v>679</v>
      </c>
      <c r="AC29" s="234" t="s">
        <v>679</v>
      </c>
      <c r="AD29" s="232" t="s">
        <v>679</v>
      </c>
      <c r="AE29" s="234" t="s">
        <v>679</v>
      </c>
      <c r="AF29" s="207">
        <v>0.38333333333333336</v>
      </c>
      <c r="AG29" s="207">
        <v>0.63749999999999996</v>
      </c>
      <c r="AH29" s="206">
        <v>0.38680555555555557</v>
      </c>
      <c r="AI29" s="207">
        <v>0.65138888888888891</v>
      </c>
      <c r="AJ29" s="206">
        <v>0.38819444444444445</v>
      </c>
      <c r="AK29" s="207">
        <v>0.65902777777777777</v>
      </c>
      <c r="AL29" s="206">
        <v>0.38333333333333336</v>
      </c>
      <c r="AM29" s="207">
        <v>0.64722222222222225</v>
      </c>
      <c r="AN29" s="206">
        <v>0.39444444444444443</v>
      </c>
      <c r="AO29" s="207">
        <v>0.65555555555555556</v>
      </c>
      <c r="AP29" s="231" t="s">
        <v>679</v>
      </c>
      <c r="AQ29" s="234" t="s">
        <v>679</v>
      </c>
      <c r="AR29" s="232" t="s">
        <v>679</v>
      </c>
      <c r="AS29" s="234" t="s">
        <v>679</v>
      </c>
      <c r="AT29" s="207">
        <v>0.38819444444444445</v>
      </c>
      <c r="AU29" s="207">
        <v>0.62708333333333333</v>
      </c>
      <c r="AV29" s="206">
        <v>0.38819444444444445</v>
      </c>
      <c r="AW29" s="207">
        <v>0.62638888888888888</v>
      </c>
      <c r="AX29" s="206">
        <v>0.39166666666666666</v>
      </c>
      <c r="AY29" s="207">
        <v>0.67777777777777781</v>
      </c>
      <c r="AZ29" s="206">
        <v>0.39097222222222222</v>
      </c>
      <c r="BA29" s="207">
        <v>0.72152777777777777</v>
      </c>
      <c r="BB29" s="204" t="s">
        <v>679</v>
      </c>
      <c r="BC29" s="205" t="s">
        <v>679</v>
      </c>
      <c r="BD29" s="231" t="s">
        <v>679</v>
      </c>
      <c r="BE29" s="234" t="s">
        <v>679</v>
      </c>
      <c r="BF29" s="232" t="s">
        <v>679</v>
      </c>
      <c r="BG29" s="234" t="s">
        <v>679</v>
      </c>
      <c r="BH29" s="205" t="s">
        <v>679</v>
      </c>
      <c r="BI29" s="205" t="s">
        <v>679</v>
      </c>
      <c r="BJ29" s="206">
        <v>0.3923611111111111</v>
      </c>
      <c r="BK29" s="250">
        <v>0.6479166666666667</v>
      </c>
      <c r="BL29" s="316">
        <v>19</v>
      </c>
      <c r="BM29" s="317">
        <v>18</v>
      </c>
      <c r="BN29" s="319" t="s">
        <v>688</v>
      </c>
      <c r="BO29" s="332"/>
    </row>
    <row r="30" spans="1:67" ht="17.25">
      <c r="A30" s="259" t="s">
        <v>26</v>
      </c>
      <c r="B30" s="259" t="s">
        <v>41</v>
      </c>
      <c r="C30" s="260" t="s">
        <v>42</v>
      </c>
      <c r="D30" s="246">
        <v>0.3527777777777778</v>
      </c>
      <c r="E30" s="246">
        <v>0.65</v>
      </c>
      <c r="F30" s="231" t="s">
        <v>679</v>
      </c>
      <c r="G30" s="232" t="s">
        <v>679</v>
      </c>
      <c r="H30" s="256">
        <v>0.35972222222222222</v>
      </c>
      <c r="I30" s="230" t="s">
        <v>679</v>
      </c>
      <c r="J30" s="247">
        <v>0.37291666666666667</v>
      </c>
      <c r="K30" s="246">
        <v>0.65833333333333333</v>
      </c>
      <c r="L30" s="233" t="s">
        <v>679</v>
      </c>
      <c r="M30" s="230" t="s">
        <v>679</v>
      </c>
      <c r="N30" s="231" t="s">
        <v>679</v>
      </c>
      <c r="O30" s="232" t="s">
        <v>679</v>
      </c>
      <c r="P30" s="231" t="s">
        <v>679</v>
      </c>
      <c r="Q30" s="234" t="s">
        <v>679</v>
      </c>
      <c r="R30" s="246">
        <v>0.38055555555555554</v>
      </c>
      <c r="S30" s="246">
        <v>0.65972222222222221</v>
      </c>
      <c r="T30" s="233" t="s">
        <v>679</v>
      </c>
      <c r="U30" s="230" t="s">
        <v>679</v>
      </c>
      <c r="V30" s="256">
        <v>0.38333333333333336</v>
      </c>
      <c r="W30" s="246">
        <v>0.65416666666666667</v>
      </c>
      <c r="X30" s="247">
        <v>0.36319444444444443</v>
      </c>
      <c r="Y30" s="246">
        <v>0.63124999999999998</v>
      </c>
      <c r="Z30" s="247">
        <v>0.34861111111111109</v>
      </c>
      <c r="AA30" s="246">
        <v>0.6381944444444444</v>
      </c>
      <c r="AB30" s="231" t="s">
        <v>679</v>
      </c>
      <c r="AC30" s="234" t="s">
        <v>679</v>
      </c>
      <c r="AD30" s="232" t="s">
        <v>679</v>
      </c>
      <c r="AE30" s="234" t="s">
        <v>679</v>
      </c>
      <c r="AF30" s="207">
        <v>0.37638888888888888</v>
      </c>
      <c r="AG30" s="207">
        <v>0.65902777777777777</v>
      </c>
      <c r="AH30" s="206">
        <v>0.34652777777777777</v>
      </c>
      <c r="AI30" s="207">
        <v>0.6645833333333333</v>
      </c>
      <c r="AJ30" s="206">
        <v>0.37152777777777779</v>
      </c>
      <c r="AK30" s="207">
        <v>0.64513888888888893</v>
      </c>
      <c r="AL30" s="206">
        <v>0.35902777777777778</v>
      </c>
      <c r="AM30" s="207">
        <v>0.64583333333333337</v>
      </c>
      <c r="AN30" s="206">
        <v>0.36527777777777776</v>
      </c>
      <c r="AO30" s="207">
        <v>0.66736111111111107</v>
      </c>
      <c r="AP30" s="231" t="s">
        <v>679</v>
      </c>
      <c r="AQ30" s="234" t="s">
        <v>679</v>
      </c>
      <c r="AR30" s="232" t="s">
        <v>679</v>
      </c>
      <c r="AS30" s="234" t="s">
        <v>679</v>
      </c>
      <c r="AT30" s="207">
        <v>0.36666666666666664</v>
      </c>
      <c r="AU30" s="207">
        <v>0.63055555555555554</v>
      </c>
      <c r="AV30" s="206">
        <v>0.35694444444444445</v>
      </c>
      <c r="AW30" s="207">
        <v>0.6645833333333333</v>
      </c>
      <c r="AX30" s="206">
        <v>0.3576388888888889</v>
      </c>
      <c r="AY30" s="207">
        <v>0.64930555555555558</v>
      </c>
      <c r="AZ30" s="206">
        <v>0.39791666666666664</v>
      </c>
      <c r="BA30" s="205" t="s">
        <v>679</v>
      </c>
      <c r="BB30" s="206">
        <v>0.40208333333333335</v>
      </c>
      <c r="BC30" s="207">
        <v>0.6694444444444444</v>
      </c>
      <c r="BD30" s="231" t="s">
        <v>679</v>
      </c>
      <c r="BE30" s="234" t="s">
        <v>679</v>
      </c>
      <c r="BF30" s="232" t="s">
        <v>679</v>
      </c>
      <c r="BG30" s="234" t="s">
        <v>679</v>
      </c>
      <c r="BH30" s="207">
        <v>0.36527777777777776</v>
      </c>
      <c r="BI30" s="207">
        <v>0.66249999999999998</v>
      </c>
      <c r="BJ30" s="206">
        <v>0.37847222222222221</v>
      </c>
      <c r="BK30" s="250">
        <v>0.63958333333333328</v>
      </c>
      <c r="BL30" s="316">
        <v>19</v>
      </c>
      <c r="BM30" s="317">
        <v>17</v>
      </c>
      <c r="BN30" s="319" t="s">
        <v>683</v>
      </c>
      <c r="BO30" s="318"/>
    </row>
    <row r="31" spans="1:67" ht="15" customHeight="1">
      <c r="A31" s="259" t="s">
        <v>43</v>
      </c>
      <c r="B31" s="259" t="s">
        <v>44</v>
      </c>
      <c r="C31" s="260" t="s">
        <v>45</v>
      </c>
      <c r="D31" s="246">
        <v>0.35694444444444445</v>
      </c>
      <c r="E31" s="246">
        <v>0.6430555555555556</v>
      </c>
      <c r="F31" s="231" t="s">
        <v>679</v>
      </c>
      <c r="G31" s="232" t="s">
        <v>679</v>
      </c>
      <c r="H31" s="247">
        <v>0.36041666666666666</v>
      </c>
      <c r="I31" s="246">
        <v>0.66666666666666663</v>
      </c>
      <c r="J31" s="247">
        <v>0.34722222222222221</v>
      </c>
      <c r="K31" s="246">
        <v>0.6069444444444444</v>
      </c>
      <c r="L31" s="247">
        <v>0.39097222222222222</v>
      </c>
      <c r="M31" s="246">
        <v>0.68333333333333335</v>
      </c>
      <c r="N31" s="231" t="s">
        <v>679</v>
      </c>
      <c r="O31" s="232" t="s">
        <v>679</v>
      </c>
      <c r="P31" s="231" t="s">
        <v>679</v>
      </c>
      <c r="Q31" s="234" t="s">
        <v>679</v>
      </c>
      <c r="R31" s="261">
        <v>0.38333333333333336</v>
      </c>
      <c r="S31" s="246">
        <v>0.62986111111111109</v>
      </c>
      <c r="T31" s="247">
        <v>0.35625000000000001</v>
      </c>
      <c r="U31" s="246">
        <v>0.65416666666666667</v>
      </c>
      <c r="V31" s="247">
        <v>0.35555555555555557</v>
      </c>
      <c r="W31" s="246">
        <v>0.65694444444444444</v>
      </c>
      <c r="X31" s="247">
        <v>0.35</v>
      </c>
      <c r="Y31" s="246">
        <v>0.63263888888888886</v>
      </c>
      <c r="Z31" s="247">
        <v>0.36875000000000002</v>
      </c>
      <c r="AA31" s="258">
        <v>0.65763888888888888</v>
      </c>
      <c r="AB31" s="231" t="s">
        <v>679</v>
      </c>
      <c r="AC31" s="234" t="s">
        <v>679</v>
      </c>
      <c r="AD31" s="232" t="s">
        <v>679</v>
      </c>
      <c r="AE31" s="234" t="s">
        <v>679</v>
      </c>
      <c r="AF31" s="207">
        <v>0.36041666666666666</v>
      </c>
      <c r="AG31" s="207">
        <v>0.64513888888888893</v>
      </c>
      <c r="AH31" s="206">
        <v>0.36249999999999999</v>
      </c>
      <c r="AI31" s="207">
        <v>0.63611111111111107</v>
      </c>
      <c r="AJ31" s="206">
        <v>0.36319444444444443</v>
      </c>
      <c r="AK31" s="207">
        <v>0.62708333333333333</v>
      </c>
      <c r="AL31" s="206">
        <v>0.36666666666666664</v>
      </c>
      <c r="AM31" s="207">
        <v>0.62569444444444444</v>
      </c>
      <c r="AN31" s="206">
        <v>0.35138888888888886</v>
      </c>
      <c r="AO31" s="207">
        <v>0.63124999999999998</v>
      </c>
      <c r="AP31" s="231" t="s">
        <v>679</v>
      </c>
      <c r="AQ31" s="234" t="s">
        <v>679</v>
      </c>
      <c r="AR31" s="232" t="s">
        <v>679</v>
      </c>
      <c r="AS31" s="234" t="s">
        <v>679</v>
      </c>
      <c r="AT31" s="207">
        <v>0.37152777777777779</v>
      </c>
      <c r="AU31" s="207">
        <v>0.61597222222222225</v>
      </c>
      <c r="AV31" s="206">
        <v>0.37708333333333333</v>
      </c>
      <c r="AW31" s="207">
        <v>0.61944444444444446</v>
      </c>
      <c r="AX31" s="206">
        <v>0.5</v>
      </c>
      <c r="AY31" s="207">
        <v>0.64236111111111116</v>
      </c>
      <c r="AZ31" s="206">
        <v>0.35694444444444445</v>
      </c>
      <c r="BA31" s="207">
        <v>0.64166666666666672</v>
      </c>
      <c r="BB31" s="206">
        <v>0.35069444444444442</v>
      </c>
      <c r="BC31" s="207">
        <v>0.62916666666666665</v>
      </c>
      <c r="BD31" s="231" t="s">
        <v>679</v>
      </c>
      <c r="BE31" s="234" t="s">
        <v>679</v>
      </c>
      <c r="BF31" s="232" t="s">
        <v>679</v>
      </c>
      <c r="BG31" s="234" t="s">
        <v>679</v>
      </c>
      <c r="BH31" s="207">
        <v>0.36319444444444443</v>
      </c>
      <c r="BI31" s="207">
        <v>0.53333333333333333</v>
      </c>
      <c r="BJ31" s="206">
        <v>0.36666666666666664</v>
      </c>
      <c r="BK31" s="262">
        <v>0.62708333333333333</v>
      </c>
      <c r="BL31" s="320">
        <v>21</v>
      </c>
      <c r="BM31" s="320">
        <v>21</v>
      </c>
      <c r="BN31" s="319" t="s">
        <v>689</v>
      </c>
      <c r="BO31" s="419" t="s">
        <v>690</v>
      </c>
    </row>
    <row r="32" spans="1:67" ht="17.25">
      <c r="A32" s="259" t="s">
        <v>43</v>
      </c>
      <c r="B32" s="259" t="s">
        <v>46</v>
      </c>
      <c r="C32" s="260" t="s">
        <v>47</v>
      </c>
      <c r="D32" s="220">
        <v>0.35833333333333334</v>
      </c>
      <c r="E32" s="220">
        <v>0.64027777777777772</v>
      </c>
      <c r="F32" s="231" t="s">
        <v>679</v>
      </c>
      <c r="G32" s="232" t="s">
        <v>679</v>
      </c>
      <c r="H32" s="224">
        <v>0.36249999999999999</v>
      </c>
      <c r="I32" s="220">
        <v>0.64236111111111116</v>
      </c>
      <c r="J32" s="247">
        <v>0.35902777777777778</v>
      </c>
      <c r="K32" s="246">
        <v>0.6166666666666667</v>
      </c>
      <c r="L32" s="247">
        <v>0.35972222222222222</v>
      </c>
      <c r="M32" s="246">
        <v>0.62291666666666667</v>
      </c>
      <c r="N32" s="231" t="s">
        <v>679</v>
      </c>
      <c r="O32" s="232" t="s">
        <v>679</v>
      </c>
      <c r="P32" s="231" t="s">
        <v>679</v>
      </c>
      <c r="Q32" s="234" t="s">
        <v>679</v>
      </c>
      <c r="R32" s="246">
        <v>0.37291666666666667</v>
      </c>
      <c r="S32" s="246">
        <v>0.63055555555555554</v>
      </c>
      <c r="T32" s="247">
        <v>0.36458333333333331</v>
      </c>
      <c r="U32" s="246">
        <v>0.6430555555555556</v>
      </c>
      <c r="V32" s="247">
        <v>0.36388888888888887</v>
      </c>
      <c r="W32" s="246">
        <v>0.63888888888888884</v>
      </c>
      <c r="X32" s="247">
        <v>0.36875000000000002</v>
      </c>
      <c r="Y32" s="246">
        <v>0.62986111111111109</v>
      </c>
      <c r="Z32" s="247">
        <v>0.36388888888888887</v>
      </c>
      <c r="AA32" s="246">
        <v>0.64583333333333337</v>
      </c>
      <c r="AB32" s="231" t="s">
        <v>679</v>
      </c>
      <c r="AC32" s="234" t="s">
        <v>679</v>
      </c>
      <c r="AD32" s="232" t="s">
        <v>679</v>
      </c>
      <c r="AE32" s="234" t="s">
        <v>679</v>
      </c>
      <c r="AF32" s="207">
        <v>0.36458333333333331</v>
      </c>
      <c r="AG32" s="207">
        <v>0.62361111111111112</v>
      </c>
      <c r="AH32" s="206">
        <v>0.36527777777777776</v>
      </c>
      <c r="AI32" s="207">
        <v>0.63194444444444442</v>
      </c>
      <c r="AJ32" s="206">
        <v>0.36041666666666666</v>
      </c>
      <c r="AK32" s="207">
        <v>0.63680555555555551</v>
      </c>
      <c r="AL32" s="206">
        <v>0.36041666666666666</v>
      </c>
      <c r="AM32" s="207">
        <v>0.63124999999999998</v>
      </c>
      <c r="AN32" s="206">
        <v>0.375</v>
      </c>
      <c r="AO32" s="207">
        <v>0.62916666666666665</v>
      </c>
      <c r="AP32" s="231" t="s">
        <v>679</v>
      </c>
      <c r="AQ32" s="234" t="s">
        <v>679</v>
      </c>
      <c r="AR32" s="232" t="s">
        <v>679</v>
      </c>
      <c r="AS32" s="234" t="s">
        <v>679</v>
      </c>
      <c r="AT32" s="205" t="s">
        <v>679</v>
      </c>
      <c r="AU32" s="205" t="s">
        <v>679</v>
      </c>
      <c r="AV32" s="206">
        <v>0.37847222222222221</v>
      </c>
      <c r="AW32" s="207">
        <v>0.6333333333333333</v>
      </c>
      <c r="AX32" s="206">
        <v>0.36458333333333331</v>
      </c>
      <c r="AY32" s="207">
        <v>0.64861111111111114</v>
      </c>
      <c r="AZ32" s="206">
        <v>0.36041666666666666</v>
      </c>
      <c r="BA32" s="207">
        <v>0.62430555555555556</v>
      </c>
      <c r="BB32" s="206">
        <v>0.36736111111111114</v>
      </c>
      <c r="BC32" s="207">
        <v>0.61319444444444449</v>
      </c>
      <c r="BD32" s="231" t="s">
        <v>679</v>
      </c>
      <c r="BE32" s="234" t="s">
        <v>679</v>
      </c>
      <c r="BF32" s="232" t="s">
        <v>679</v>
      </c>
      <c r="BG32" s="234" t="s">
        <v>679</v>
      </c>
      <c r="BH32" s="207">
        <v>0.3611111111111111</v>
      </c>
      <c r="BI32" s="207">
        <v>0.64375000000000004</v>
      </c>
      <c r="BJ32" s="206">
        <v>0.36388888888888887</v>
      </c>
      <c r="BK32" s="262">
        <v>0.61736111111111114</v>
      </c>
      <c r="BL32" s="320">
        <v>20</v>
      </c>
      <c r="BM32" s="320">
        <v>20</v>
      </c>
      <c r="BN32" s="319" t="s">
        <v>684</v>
      </c>
      <c r="BO32" s="419"/>
    </row>
    <row r="33" spans="1:67" ht="15" customHeight="1">
      <c r="A33" s="217" t="s">
        <v>43</v>
      </c>
      <c r="B33" s="217" t="s">
        <v>48</v>
      </c>
      <c r="C33" s="217" t="s">
        <v>49</v>
      </c>
      <c r="D33" s="263">
        <v>0.36249999999999999</v>
      </c>
      <c r="E33" s="264">
        <v>0.67986111111111114</v>
      </c>
      <c r="F33" s="222" t="s">
        <v>679</v>
      </c>
      <c r="G33" s="222" t="s">
        <v>679</v>
      </c>
      <c r="H33" s="263">
        <v>0.40555555555555556</v>
      </c>
      <c r="I33" s="264">
        <v>0.67361111111111116</v>
      </c>
      <c r="J33" s="220">
        <v>0.36875000000000002</v>
      </c>
      <c r="K33" s="220">
        <v>0.6694444444444444</v>
      </c>
      <c r="L33" s="224">
        <v>0.37777777777777777</v>
      </c>
      <c r="M33" s="220">
        <v>0.6791666666666667</v>
      </c>
      <c r="N33" s="243">
        <v>0.3611111111111111</v>
      </c>
      <c r="O33" s="244">
        <v>0.74097222222222225</v>
      </c>
      <c r="P33" s="221" t="s">
        <v>679</v>
      </c>
      <c r="Q33" s="225" t="s">
        <v>679</v>
      </c>
      <c r="R33" s="220">
        <v>0.37777777777777777</v>
      </c>
      <c r="S33" s="220">
        <v>0.70277777777777772</v>
      </c>
      <c r="T33" s="265">
        <v>0.4152777777777778</v>
      </c>
      <c r="U33" s="219"/>
      <c r="V33" s="224">
        <v>0.37222222222222223</v>
      </c>
      <c r="W33" s="220">
        <v>0.6743055555555556</v>
      </c>
      <c r="X33" s="224">
        <v>0.38333333333333336</v>
      </c>
      <c r="Y33" s="220">
        <v>0.64097222222222228</v>
      </c>
      <c r="Z33" s="224">
        <v>0.36180555555555555</v>
      </c>
      <c r="AA33" s="220">
        <v>0.66041666666666665</v>
      </c>
      <c r="AB33" s="221" t="s">
        <v>679</v>
      </c>
      <c r="AC33" s="225" t="s">
        <v>679</v>
      </c>
      <c r="AD33" s="222" t="s">
        <v>679</v>
      </c>
      <c r="AE33" s="225" t="s">
        <v>679</v>
      </c>
      <c r="AF33" s="203">
        <v>0.37430555555555556</v>
      </c>
      <c r="AG33" s="203">
        <v>0.65972222222222221</v>
      </c>
      <c r="AH33" s="201">
        <v>0.35625000000000001</v>
      </c>
      <c r="AI33" s="203">
        <v>0.65555555555555556</v>
      </c>
      <c r="AJ33" s="201">
        <v>0.36875000000000002</v>
      </c>
      <c r="AK33" s="203">
        <v>0.63611111111111107</v>
      </c>
      <c r="AL33" s="201">
        <v>0.36458333333333331</v>
      </c>
      <c r="AM33" s="203">
        <v>0.68055555555555558</v>
      </c>
      <c r="AN33" s="201">
        <v>0.36805555555555558</v>
      </c>
      <c r="AO33" s="203">
        <v>0.66666666666666663</v>
      </c>
      <c r="AP33" s="221" t="s">
        <v>679</v>
      </c>
      <c r="AQ33" s="225" t="s">
        <v>679</v>
      </c>
      <c r="AR33" s="222" t="s">
        <v>679</v>
      </c>
      <c r="AS33" s="225" t="s">
        <v>679</v>
      </c>
      <c r="AT33" s="202" t="s">
        <v>679</v>
      </c>
      <c r="AU33" s="202"/>
      <c r="AV33" s="201">
        <v>0.38680555555555557</v>
      </c>
      <c r="AW33" s="203">
        <v>0.65</v>
      </c>
      <c r="AX33" s="201">
        <v>0.36875000000000002</v>
      </c>
      <c r="AY33" s="203">
        <v>0.67152777777777772</v>
      </c>
      <c r="AZ33" s="201">
        <v>0.37777777777777777</v>
      </c>
      <c r="BA33" s="203">
        <v>0.65555555555555556</v>
      </c>
      <c r="BB33" s="201">
        <v>0.37777777777777777</v>
      </c>
      <c r="BC33" s="203">
        <v>0.65763888888888888</v>
      </c>
      <c r="BD33" s="221" t="s">
        <v>679</v>
      </c>
      <c r="BE33" s="225" t="s">
        <v>679</v>
      </c>
      <c r="BF33" s="222" t="s">
        <v>679</v>
      </c>
      <c r="BG33" s="225" t="s">
        <v>679</v>
      </c>
      <c r="BH33" s="203">
        <v>0.38263888888888886</v>
      </c>
      <c r="BI33" s="203">
        <v>0.6743055555555556</v>
      </c>
      <c r="BJ33" s="201">
        <v>0.39930555555555558</v>
      </c>
      <c r="BK33" s="203">
        <v>0.68263888888888891</v>
      </c>
      <c r="BL33" s="314">
        <v>20</v>
      </c>
      <c r="BM33" s="315">
        <v>19</v>
      </c>
      <c r="BN33" s="421" t="s">
        <v>691</v>
      </c>
      <c r="BO33" s="419"/>
    </row>
    <row r="34" spans="1:67" ht="17.25">
      <c r="A34" s="259" t="s">
        <v>43</v>
      </c>
      <c r="B34" s="259" t="s">
        <v>48</v>
      </c>
      <c r="C34" s="259" t="s">
        <v>50</v>
      </c>
      <c r="D34" s="233" t="s">
        <v>679</v>
      </c>
      <c r="E34" s="235" t="s">
        <v>679</v>
      </c>
      <c r="F34" s="232" t="s">
        <v>679</v>
      </c>
      <c r="G34" s="232" t="s">
        <v>679</v>
      </c>
      <c r="H34" s="233" t="s">
        <v>679</v>
      </c>
      <c r="I34" s="235" t="s">
        <v>679</v>
      </c>
      <c r="J34" s="230" t="s">
        <v>679</v>
      </c>
      <c r="K34" s="230" t="s">
        <v>679</v>
      </c>
      <c r="L34" s="233" t="s">
        <v>679</v>
      </c>
      <c r="M34" s="230" t="s">
        <v>679</v>
      </c>
      <c r="N34" s="231" t="s">
        <v>679</v>
      </c>
      <c r="O34" s="232" t="s">
        <v>679</v>
      </c>
      <c r="P34" s="231" t="s">
        <v>679</v>
      </c>
      <c r="Q34" s="234" t="s">
        <v>679</v>
      </c>
      <c r="R34" s="230" t="s">
        <v>679</v>
      </c>
      <c r="S34" s="230" t="s">
        <v>679</v>
      </c>
      <c r="T34" s="233" t="s">
        <v>679</v>
      </c>
      <c r="U34" s="230" t="s">
        <v>679</v>
      </c>
      <c r="V34" s="233" t="s">
        <v>679</v>
      </c>
      <c r="W34" s="230" t="s">
        <v>679</v>
      </c>
      <c r="X34" s="233" t="s">
        <v>679</v>
      </c>
      <c r="Y34" s="230" t="s">
        <v>679</v>
      </c>
      <c r="Z34" s="233" t="s">
        <v>679</v>
      </c>
      <c r="AA34" s="230" t="s">
        <v>679</v>
      </c>
      <c r="AB34" s="231" t="s">
        <v>679</v>
      </c>
      <c r="AC34" s="234" t="s">
        <v>679</v>
      </c>
      <c r="AD34" s="232" t="s">
        <v>679</v>
      </c>
      <c r="AE34" s="234" t="s">
        <v>679</v>
      </c>
      <c r="AF34" s="205" t="s">
        <v>679</v>
      </c>
      <c r="AG34" s="205" t="s">
        <v>679</v>
      </c>
      <c r="AH34" s="204" t="s">
        <v>679</v>
      </c>
      <c r="AI34" s="205" t="s">
        <v>679</v>
      </c>
      <c r="AJ34" s="204" t="s">
        <v>679</v>
      </c>
      <c r="AK34" s="205" t="s">
        <v>679</v>
      </c>
      <c r="AL34" s="204" t="s">
        <v>679</v>
      </c>
      <c r="AM34" s="205" t="s">
        <v>679</v>
      </c>
      <c r="AN34" s="204" t="s">
        <v>679</v>
      </c>
      <c r="AO34" s="205" t="s">
        <v>679</v>
      </c>
      <c r="AP34" s="231" t="s">
        <v>679</v>
      </c>
      <c r="AQ34" s="234" t="s">
        <v>679</v>
      </c>
      <c r="AR34" s="232" t="s">
        <v>679</v>
      </c>
      <c r="AS34" s="234" t="s">
        <v>679</v>
      </c>
      <c r="AT34" s="205" t="s">
        <v>679</v>
      </c>
      <c r="AU34" s="205" t="s">
        <v>679</v>
      </c>
      <c r="AV34" s="204" t="s">
        <v>679</v>
      </c>
      <c r="AW34" s="205" t="s">
        <v>679</v>
      </c>
      <c r="AX34" s="204" t="s">
        <v>679</v>
      </c>
      <c r="AY34" s="205" t="s">
        <v>679</v>
      </c>
      <c r="AZ34" s="204" t="s">
        <v>679</v>
      </c>
      <c r="BA34" s="205" t="s">
        <v>679</v>
      </c>
      <c r="BB34" s="204" t="s">
        <v>679</v>
      </c>
      <c r="BC34" s="205" t="s">
        <v>679</v>
      </c>
      <c r="BD34" s="231" t="s">
        <v>679</v>
      </c>
      <c r="BE34" s="234" t="s">
        <v>679</v>
      </c>
      <c r="BF34" s="232" t="s">
        <v>679</v>
      </c>
      <c r="BG34" s="234" t="s">
        <v>679</v>
      </c>
      <c r="BH34" s="205" t="s">
        <v>679</v>
      </c>
      <c r="BI34" s="205" t="s">
        <v>679</v>
      </c>
      <c r="BJ34" s="204" t="s">
        <v>679</v>
      </c>
      <c r="BK34" s="205" t="s">
        <v>679</v>
      </c>
      <c r="BL34" s="316">
        <v>20</v>
      </c>
      <c r="BM34" s="317">
        <v>19</v>
      </c>
      <c r="BN34" s="422"/>
      <c r="BO34" s="419"/>
    </row>
    <row r="35" spans="1:67" ht="15" customHeight="1">
      <c r="A35" s="217" t="s">
        <v>43</v>
      </c>
      <c r="B35" s="217" t="s">
        <v>51</v>
      </c>
      <c r="C35" s="218" t="s">
        <v>52</v>
      </c>
      <c r="D35" s="219"/>
      <c r="E35" s="220">
        <v>0.65902777777777777</v>
      </c>
      <c r="F35" s="221" t="s">
        <v>679</v>
      </c>
      <c r="G35" s="222" t="s">
        <v>679</v>
      </c>
      <c r="H35" s="223" t="s">
        <v>679</v>
      </c>
      <c r="I35" s="220">
        <v>0.64027777777777772</v>
      </c>
      <c r="J35" s="223" t="s">
        <v>679</v>
      </c>
      <c r="K35" s="220">
        <v>0.61944444444444446</v>
      </c>
      <c r="L35" s="223" t="s">
        <v>679</v>
      </c>
      <c r="M35" s="219"/>
      <c r="N35" s="221" t="s">
        <v>679</v>
      </c>
      <c r="O35" s="222" t="s">
        <v>679</v>
      </c>
      <c r="P35" s="221" t="s">
        <v>679</v>
      </c>
      <c r="Q35" s="225" t="s">
        <v>679</v>
      </c>
      <c r="R35" s="219"/>
      <c r="S35" s="220">
        <v>0.64166666666666672</v>
      </c>
      <c r="T35" s="223" t="s">
        <v>679</v>
      </c>
      <c r="U35" s="220">
        <v>0.64166666666666672</v>
      </c>
      <c r="V35" s="223" t="s">
        <v>679</v>
      </c>
      <c r="W35" s="242">
        <v>0.65069444444444446</v>
      </c>
      <c r="X35" s="266">
        <v>0.36666666666666664</v>
      </c>
      <c r="Y35" s="267">
        <v>0.63263888888888886</v>
      </c>
      <c r="Z35" s="266">
        <v>0.36736111111111114</v>
      </c>
      <c r="AA35" s="219"/>
      <c r="AB35" s="221" t="s">
        <v>679</v>
      </c>
      <c r="AC35" s="225" t="s">
        <v>679</v>
      </c>
      <c r="AD35" s="222" t="s">
        <v>679</v>
      </c>
      <c r="AE35" s="225" t="s">
        <v>679</v>
      </c>
      <c r="AF35" s="268">
        <v>0.37708333333333333</v>
      </c>
      <c r="AG35" s="268">
        <v>0.65833333333333333</v>
      </c>
      <c r="AH35" s="201">
        <v>0.36388888888888887</v>
      </c>
      <c r="AI35" s="203">
        <v>0.62361111111111112</v>
      </c>
      <c r="AJ35" s="201">
        <v>0.35555555555555557</v>
      </c>
      <c r="AK35" s="203">
        <v>0.52500000000000002</v>
      </c>
      <c r="AL35" s="201">
        <v>0.36666666666666664</v>
      </c>
      <c r="AM35" s="203">
        <v>0.64722222222222225</v>
      </c>
      <c r="AN35" s="201">
        <v>0.35902777777777778</v>
      </c>
      <c r="AO35" s="203">
        <v>0.62083333333333335</v>
      </c>
      <c r="AP35" s="221" t="s">
        <v>679</v>
      </c>
      <c r="AQ35" s="225" t="s">
        <v>679</v>
      </c>
      <c r="AR35" s="222" t="s">
        <v>679</v>
      </c>
      <c r="AS35" s="225" t="s">
        <v>679</v>
      </c>
      <c r="AT35" s="203">
        <v>0.34791666666666665</v>
      </c>
      <c r="AU35" s="203">
        <v>0.62569444444444444</v>
      </c>
      <c r="AV35" s="201">
        <v>0.35555555555555557</v>
      </c>
      <c r="AW35" s="203">
        <v>0.66180555555555554</v>
      </c>
      <c r="AX35" s="201">
        <v>0.35208333333333336</v>
      </c>
      <c r="AY35" s="202"/>
      <c r="AZ35" s="201">
        <v>0.35486111111111113</v>
      </c>
      <c r="BA35" s="203">
        <v>0.625</v>
      </c>
      <c r="BB35" s="201">
        <v>0.35208333333333336</v>
      </c>
      <c r="BC35" s="203">
        <v>0.62291666666666667</v>
      </c>
      <c r="BD35" s="221" t="s">
        <v>679</v>
      </c>
      <c r="BE35" s="225" t="s">
        <v>679</v>
      </c>
      <c r="BF35" s="222" t="s">
        <v>679</v>
      </c>
      <c r="BG35" s="225" t="s">
        <v>679</v>
      </c>
      <c r="BH35" s="203">
        <v>0.35416666666666669</v>
      </c>
      <c r="BI35" s="203">
        <v>0.73263888888888884</v>
      </c>
      <c r="BJ35" s="200" t="s">
        <v>679</v>
      </c>
      <c r="BK35" s="203">
        <v>0.62152777777777779</v>
      </c>
      <c r="BL35" s="314">
        <v>18</v>
      </c>
      <c r="BM35" s="315">
        <v>19</v>
      </c>
      <c r="BN35" s="421" t="s">
        <v>688</v>
      </c>
      <c r="BO35" s="419"/>
    </row>
    <row r="36" spans="1:67" ht="17.25">
      <c r="A36" s="259" t="s">
        <v>43</v>
      </c>
      <c r="B36" s="259" t="s">
        <v>51</v>
      </c>
      <c r="C36" s="260" t="s">
        <v>53</v>
      </c>
      <c r="D36" s="246">
        <v>0.35555555555555557</v>
      </c>
      <c r="E36" s="230" t="s">
        <v>679</v>
      </c>
      <c r="F36" s="231" t="s">
        <v>679</v>
      </c>
      <c r="G36" s="232" t="s">
        <v>679</v>
      </c>
      <c r="H36" s="247">
        <v>0.3576388888888889</v>
      </c>
      <c r="I36" s="230" t="s">
        <v>679</v>
      </c>
      <c r="J36" s="247">
        <v>0.34722222222222221</v>
      </c>
      <c r="K36" s="230" t="s">
        <v>679</v>
      </c>
      <c r="L36" s="247">
        <v>0.34861111111111109</v>
      </c>
      <c r="M36" s="246">
        <v>0.66319444444444442</v>
      </c>
      <c r="N36" s="231" t="s">
        <v>679</v>
      </c>
      <c r="O36" s="232" t="s">
        <v>679</v>
      </c>
      <c r="P36" s="231" t="s">
        <v>679</v>
      </c>
      <c r="Q36" s="234" t="s">
        <v>679</v>
      </c>
      <c r="R36" s="246">
        <v>0.37777777777777777</v>
      </c>
      <c r="S36" s="230" t="s">
        <v>679</v>
      </c>
      <c r="T36" s="233" t="s">
        <v>679</v>
      </c>
      <c r="U36" s="230" t="s">
        <v>679</v>
      </c>
      <c r="V36" s="233" t="s">
        <v>679</v>
      </c>
      <c r="W36" s="230" t="s">
        <v>679</v>
      </c>
      <c r="X36" s="233" t="s">
        <v>679</v>
      </c>
      <c r="Y36" s="230" t="s">
        <v>679</v>
      </c>
      <c r="Z36" s="233" t="s">
        <v>679</v>
      </c>
      <c r="AA36" s="230" t="s">
        <v>679</v>
      </c>
      <c r="AB36" s="231" t="s">
        <v>679</v>
      </c>
      <c r="AC36" s="234" t="s">
        <v>679</v>
      </c>
      <c r="AD36" s="232" t="s">
        <v>679</v>
      </c>
      <c r="AE36" s="234" t="s">
        <v>679</v>
      </c>
      <c r="AF36" s="207">
        <v>0.44930555555555557</v>
      </c>
      <c r="AG36" s="207">
        <v>0.65833333333333333</v>
      </c>
      <c r="AH36" s="206">
        <v>0.36388888888888887</v>
      </c>
      <c r="AI36" s="207">
        <v>0.62361111111111112</v>
      </c>
      <c r="AJ36" s="206">
        <v>0.35555555555555557</v>
      </c>
      <c r="AK36" s="207">
        <v>0.52500000000000002</v>
      </c>
      <c r="AL36" s="206">
        <v>0.36666666666666664</v>
      </c>
      <c r="AM36" s="207">
        <v>0.64722222222222225</v>
      </c>
      <c r="AN36" s="206">
        <v>0.35902777777777778</v>
      </c>
      <c r="AO36" s="207">
        <v>0.62083333333333335</v>
      </c>
      <c r="AP36" s="231" t="s">
        <v>679</v>
      </c>
      <c r="AQ36" s="234" t="s">
        <v>679</v>
      </c>
      <c r="AR36" s="232" t="s">
        <v>679</v>
      </c>
      <c r="AS36" s="234" t="s">
        <v>679</v>
      </c>
      <c r="AT36" s="207">
        <v>0.34791666666666665</v>
      </c>
      <c r="AU36" s="207">
        <v>0.62569444444444444</v>
      </c>
      <c r="AV36" s="206">
        <v>0.35555555555555557</v>
      </c>
      <c r="AW36" s="207">
        <v>0.66180555555555554</v>
      </c>
      <c r="AX36" s="206">
        <v>0.35208333333333336</v>
      </c>
      <c r="AY36" s="205" t="s">
        <v>679</v>
      </c>
      <c r="AZ36" s="206">
        <v>0.35486111111111113</v>
      </c>
      <c r="BA36" s="207">
        <v>0.625</v>
      </c>
      <c r="BB36" s="206">
        <v>0.35208333333333336</v>
      </c>
      <c r="BC36" s="207">
        <v>0.62291666666666667</v>
      </c>
      <c r="BD36" s="231" t="s">
        <v>679</v>
      </c>
      <c r="BE36" s="234" t="s">
        <v>679</v>
      </c>
      <c r="BF36" s="232" t="s">
        <v>679</v>
      </c>
      <c r="BG36" s="234" t="s">
        <v>679</v>
      </c>
      <c r="BH36" s="207">
        <v>0.35416666666666669</v>
      </c>
      <c r="BI36" s="207">
        <v>0.73263888888888884</v>
      </c>
      <c r="BJ36" s="204" t="s">
        <v>679</v>
      </c>
      <c r="BK36" s="207">
        <v>0.62152777777777779</v>
      </c>
      <c r="BL36" s="316">
        <v>18</v>
      </c>
      <c r="BM36" s="317">
        <v>19</v>
      </c>
      <c r="BN36" s="422"/>
      <c r="BO36" s="419"/>
    </row>
    <row r="37" spans="1:67" ht="17.25">
      <c r="A37" s="259" t="s">
        <v>43</v>
      </c>
      <c r="B37" s="259" t="s">
        <v>54</v>
      </c>
      <c r="C37" s="260" t="s">
        <v>55</v>
      </c>
      <c r="D37" s="246">
        <v>0.33333333333333331</v>
      </c>
      <c r="E37" s="246">
        <v>0.6333333333333333</v>
      </c>
      <c r="F37" s="231" t="s">
        <v>679</v>
      </c>
      <c r="G37" s="232" t="s">
        <v>679</v>
      </c>
      <c r="H37" s="247">
        <v>0.34097222222222223</v>
      </c>
      <c r="I37" s="246">
        <v>0.66874999999999996</v>
      </c>
      <c r="J37" s="247">
        <v>0.34027777777777779</v>
      </c>
      <c r="K37" s="246">
        <v>0.64930555555555558</v>
      </c>
      <c r="L37" s="247">
        <v>0.35694444444444445</v>
      </c>
      <c r="M37" s="230" t="s">
        <v>679</v>
      </c>
      <c r="N37" s="248">
        <v>0.3659722222222222</v>
      </c>
      <c r="O37" s="232" t="s">
        <v>679</v>
      </c>
      <c r="P37" s="231" t="s">
        <v>679</v>
      </c>
      <c r="Q37" s="234" t="s">
        <v>679</v>
      </c>
      <c r="R37" s="246">
        <v>0.34444444444444444</v>
      </c>
      <c r="S37" s="246">
        <v>0.63611111111111107</v>
      </c>
      <c r="T37" s="247">
        <v>0.34097222222222223</v>
      </c>
      <c r="U37" s="246">
        <v>0.62916666666666665</v>
      </c>
      <c r="V37" s="247">
        <v>0.36944444444444446</v>
      </c>
      <c r="W37" s="246">
        <v>0.62916666666666665</v>
      </c>
      <c r="X37" s="247">
        <v>0.33888888888888891</v>
      </c>
      <c r="Y37" s="246">
        <v>0.62847222222222221</v>
      </c>
      <c r="Z37" s="247">
        <v>0.33402777777777776</v>
      </c>
      <c r="AA37" s="246">
        <v>0.63124999999999998</v>
      </c>
      <c r="AB37" s="231" t="s">
        <v>679</v>
      </c>
      <c r="AC37" s="234" t="s">
        <v>679</v>
      </c>
      <c r="AD37" s="232" t="s">
        <v>679</v>
      </c>
      <c r="AE37" s="234" t="s">
        <v>679</v>
      </c>
      <c r="AF37" s="207">
        <v>0.35138888888888886</v>
      </c>
      <c r="AG37" s="207">
        <v>0.63541666666666663</v>
      </c>
      <c r="AH37" s="206">
        <v>0.34027777777777779</v>
      </c>
      <c r="AI37" s="207">
        <v>0.61527777777777781</v>
      </c>
      <c r="AJ37" s="206">
        <v>0.33680555555555558</v>
      </c>
      <c r="AK37" s="207">
        <v>0.62083333333333335</v>
      </c>
      <c r="AL37" s="206">
        <v>0.35833333333333334</v>
      </c>
      <c r="AM37" s="207">
        <v>0.63958333333333328</v>
      </c>
      <c r="AN37" s="206">
        <v>0.3347222222222222</v>
      </c>
      <c r="AO37" s="207">
        <v>0.62847222222222221</v>
      </c>
      <c r="AP37" s="231" t="s">
        <v>679</v>
      </c>
      <c r="AQ37" s="234" t="s">
        <v>679</v>
      </c>
      <c r="AR37" s="232" t="s">
        <v>679</v>
      </c>
      <c r="AS37" s="234" t="s">
        <v>679</v>
      </c>
      <c r="AT37" s="207">
        <v>0.35486111111111113</v>
      </c>
      <c r="AU37" s="207">
        <v>0.65277777777777779</v>
      </c>
      <c r="AV37" s="206">
        <v>0.33819444444444446</v>
      </c>
      <c r="AW37" s="207">
        <v>0.62222222222222223</v>
      </c>
      <c r="AX37" s="206">
        <v>0.35416666666666669</v>
      </c>
      <c r="AY37" s="207">
        <v>0.73958333333333337</v>
      </c>
      <c r="AZ37" s="206">
        <v>0.33611111111111114</v>
      </c>
      <c r="BA37" s="207">
        <v>0.63958333333333328</v>
      </c>
      <c r="BB37" s="206">
        <v>0.33680555555555558</v>
      </c>
      <c r="BC37" s="207">
        <v>0.60972222222222228</v>
      </c>
      <c r="BD37" s="231" t="s">
        <v>679</v>
      </c>
      <c r="BE37" s="234" t="s">
        <v>679</v>
      </c>
      <c r="BF37" s="232" t="s">
        <v>679</v>
      </c>
      <c r="BG37" s="234" t="s">
        <v>679</v>
      </c>
      <c r="BH37" s="207">
        <v>0.34722222222222221</v>
      </c>
      <c r="BI37" s="207">
        <v>0.62222222222222223</v>
      </c>
      <c r="BJ37" s="206">
        <v>0.34375</v>
      </c>
      <c r="BK37" s="207">
        <v>0.60486111111111107</v>
      </c>
      <c r="BL37" s="321">
        <v>21</v>
      </c>
      <c r="BM37" s="320">
        <v>20</v>
      </c>
      <c r="BN37" s="319" t="s">
        <v>682</v>
      </c>
      <c r="BO37" s="420"/>
    </row>
    <row r="38" spans="1:67" ht="15" customHeight="1">
      <c r="A38" s="217" t="s">
        <v>56</v>
      </c>
      <c r="B38" s="217" t="s">
        <v>57</v>
      </c>
      <c r="C38" s="218" t="s">
        <v>58</v>
      </c>
      <c r="D38" s="269">
        <v>0.40625</v>
      </c>
      <c r="E38" s="220">
        <v>0.68263888888888891</v>
      </c>
      <c r="F38" s="221" t="s">
        <v>679</v>
      </c>
      <c r="G38" s="222" t="s">
        <v>679</v>
      </c>
      <c r="H38" s="223" t="s">
        <v>679</v>
      </c>
      <c r="I38" s="220">
        <v>0.64375000000000004</v>
      </c>
      <c r="J38" s="224">
        <v>0.4</v>
      </c>
      <c r="K38" s="220">
        <v>0.63124999999999998</v>
      </c>
      <c r="L38" s="223" t="s">
        <v>679</v>
      </c>
      <c r="M38" s="220">
        <v>0.63263888888888886</v>
      </c>
      <c r="N38" s="243">
        <v>0.44374999999999998</v>
      </c>
      <c r="O38" s="222" t="s">
        <v>679</v>
      </c>
      <c r="P38" s="221" t="s">
        <v>679</v>
      </c>
      <c r="Q38" s="225" t="s">
        <v>679</v>
      </c>
      <c r="R38" s="219"/>
      <c r="S38" s="219"/>
      <c r="T38" s="224">
        <v>0.43055555555555558</v>
      </c>
      <c r="U38" s="220">
        <v>0.64375000000000004</v>
      </c>
      <c r="V38" s="224">
        <v>0.43402777777777779</v>
      </c>
      <c r="W38" s="220">
        <v>0.67638888888888893</v>
      </c>
      <c r="X38" s="224">
        <v>0.35833333333333334</v>
      </c>
      <c r="Y38" s="220">
        <v>0.6333333333333333</v>
      </c>
      <c r="Z38" s="224">
        <v>0.4513888888888889</v>
      </c>
      <c r="AA38" s="220">
        <v>0.64583333333333337</v>
      </c>
      <c r="AB38" s="221" t="s">
        <v>679</v>
      </c>
      <c r="AC38" s="225" t="s">
        <v>679</v>
      </c>
      <c r="AD38" s="222" t="s">
        <v>679</v>
      </c>
      <c r="AE38" s="225" t="s">
        <v>679</v>
      </c>
      <c r="AF38" s="203">
        <v>0.35833333333333334</v>
      </c>
      <c r="AG38" s="203">
        <v>0.63888888888888884</v>
      </c>
      <c r="AH38" s="201">
        <v>0.36249999999999999</v>
      </c>
      <c r="AI38" s="203">
        <v>0.6743055555555556</v>
      </c>
      <c r="AJ38" s="201">
        <v>0.36666666666666664</v>
      </c>
      <c r="AK38" s="203">
        <v>0.63472222222222219</v>
      </c>
      <c r="AL38" s="201">
        <v>0.36458333333333331</v>
      </c>
      <c r="AM38" s="203">
        <v>0.63124999999999998</v>
      </c>
      <c r="AN38" s="201">
        <v>0.36875000000000002</v>
      </c>
      <c r="AO38" s="203">
        <v>0.62361111111111112</v>
      </c>
      <c r="AP38" s="221" t="s">
        <v>679</v>
      </c>
      <c r="AQ38" s="225" t="s">
        <v>679</v>
      </c>
      <c r="AR38" s="222" t="s">
        <v>679</v>
      </c>
      <c r="AS38" s="225" t="s">
        <v>679</v>
      </c>
      <c r="AT38" s="203">
        <v>0.43194444444444446</v>
      </c>
      <c r="AU38" s="203">
        <v>0.66180555555555554</v>
      </c>
      <c r="AV38" s="201">
        <v>0.41249999999999998</v>
      </c>
      <c r="AW38" s="203">
        <v>0.65833333333333333</v>
      </c>
      <c r="AX38" s="201">
        <v>0.41944444444444445</v>
      </c>
      <c r="AY38" s="203">
        <v>0.63680555555555551</v>
      </c>
      <c r="AZ38" s="201">
        <v>0.4548611111111111</v>
      </c>
      <c r="BA38" s="203">
        <v>0.66597222222222219</v>
      </c>
      <c r="BB38" s="200" t="s">
        <v>679</v>
      </c>
      <c r="BC38" s="202"/>
      <c r="BD38" s="221" t="s">
        <v>679</v>
      </c>
      <c r="BE38" s="225" t="s">
        <v>679</v>
      </c>
      <c r="BF38" s="222" t="s">
        <v>679</v>
      </c>
      <c r="BG38" s="225" t="s">
        <v>679</v>
      </c>
      <c r="BH38" s="203">
        <v>0.43263888888888891</v>
      </c>
      <c r="BI38" s="203">
        <v>0.69374999999999998</v>
      </c>
      <c r="BJ38" s="201">
        <v>0.42083333333333334</v>
      </c>
      <c r="BK38" s="203">
        <v>0.69374999999999998</v>
      </c>
      <c r="BL38" s="314">
        <v>17</v>
      </c>
      <c r="BM38" s="315">
        <v>19</v>
      </c>
      <c r="BN38" s="421" t="s">
        <v>683</v>
      </c>
      <c r="BO38" s="419" t="s">
        <v>692</v>
      </c>
    </row>
    <row r="39" spans="1:67" ht="17.25">
      <c r="A39" s="259" t="s">
        <v>56</v>
      </c>
      <c r="B39" s="259" t="s">
        <v>57</v>
      </c>
      <c r="C39" s="260" t="s">
        <v>59</v>
      </c>
      <c r="D39" s="230" t="s">
        <v>679</v>
      </c>
      <c r="E39" s="230" t="s">
        <v>679</v>
      </c>
      <c r="F39" s="231" t="s">
        <v>679</v>
      </c>
      <c r="G39" s="232" t="s">
        <v>679</v>
      </c>
      <c r="H39" s="233" t="s">
        <v>679</v>
      </c>
      <c r="I39" s="230" t="s">
        <v>679</v>
      </c>
      <c r="J39" s="233" t="s">
        <v>679</v>
      </c>
      <c r="K39" s="230" t="s">
        <v>679</v>
      </c>
      <c r="L39" s="233" t="s">
        <v>679</v>
      </c>
      <c r="M39" s="230" t="s">
        <v>679</v>
      </c>
      <c r="N39" s="231" t="s">
        <v>679</v>
      </c>
      <c r="O39" s="232" t="s">
        <v>679</v>
      </c>
      <c r="P39" s="231" t="s">
        <v>679</v>
      </c>
      <c r="Q39" s="234" t="s">
        <v>679</v>
      </c>
      <c r="R39" s="230" t="s">
        <v>679</v>
      </c>
      <c r="S39" s="230" t="s">
        <v>679</v>
      </c>
      <c r="T39" s="233" t="s">
        <v>679</v>
      </c>
      <c r="U39" s="230" t="s">
        <v>679</v>
      </c>
      <c r="V39" s="233" t="s">
        <v>679</v>
      </c>
      <c r="W39" s="230" t="s">
        <v>679</v>
      </c>
      <c r="X39" s="233" t="s">
        <v>679</v>
      </c>
      <c r="Y39" s="230" t="s">
        <v>679</v>
      </c>
      <c r="Z39" s="233" t="s">
        <v>679</v>
      </c>
      <c r="AA39" s="230" t="s">
        <v>679</v>
      </c>
      <c r="AB39" s="231" t="s">
        <v>679</v>
      </c>
      <c r="AC39" s="234" t="s">
        <v>679</v>
      </c>
      <c r="AD39" s="232" t="s">
        <v>679</v>
      </c>
      <c r="AE39" s="234" t="s">
        <v>679</v>
      </c>
      <c r="AF39" s="207">
        <v>0.35833333333333334</v>
      </c>
      <c r="AG39" s="205" t="s">
        <v>679</v>
      </c>
      <c r="AH39" s="204" t="s">
        <v>679</v>
      </c>
      <c r="AI39" s="205" t="s">
        <v>679</v>
      </c>
      <c r="AJ39" s="204" t="s">
        <v>679</v>
      </c>
      <c r="AK39" s="205" t="s">
        <v>679</v>
      </c>
      <c r="AL39" s="204" t="s">
        <v>679</v>
      </c>
      <c r="AM39" s="205" t="s">
        <v>679</v>
      </c>
      <c r="AN39" s="204" t="s">
        <v>679</v>
      </c>
      <c r="AO39" s="205" t="s">
        <v>679</v>
      </c>
      <c r="AP39" s="231" t="s">
        <v>679</v>
      </c>
      <c r="AQ39" s="234" t="s">
        <v>679</v>
      </c>
      <c r="AR39" s="232" t="s">
        <v>679</v>
      </c>
      <c r="AS39" s="234" t="s">
        <v>679</v>
      </c>
      <c r="AT39" s="205" t="s">
        <v>679</v>
      </c>
      <c r="AU39" s="205" t="s">
        <v>679</v>
      </c>
      <c r="AV39" s="204" t="s">
        <v>679</v>
      </c>
      <c r="AW39" s="205" t="s">
        <v>679</v>
      </c>
      <c r="AX39" s="204" t="s">
        <v>679</v>
      </c>
      <c r="AY39" s="205" t="s">
        <v>679</v>
      </c>
      <c r="AZ39" s="204" t="s">
        <v>679</v>
      </c>
      <c r="BA39" s="205" t="s">
        <v>679</v>
      </c>
      <c r="BB39" s="204" t="s">
        <v>679</v>
      </c>
      <c r="BC39" s="205" t="s">
        <v>679</v>
      </c>
      <c r="BD39" s="231" t="s">
        <v>679</v>
      </c>
      <c r="BE39" s="234" t="s">
        <v>679</v>
      </c>
      <c r="BF39" s="232" t="s">
        <v>679</v>
      </c>
      <c r="BG39" s="234" t="s">
        <v>679</v>
      </c>
      <c r="BH39" s="205" t="s">
        <v>679</v>
      </c>
      <c r="BI39" s="205" t="s">
        <v>679</v>
      </c>
      <c r="BJ39" s="204" t="s">
        <v>679</v>
      </c>
      <c r="BK39" s="205" t="s">
        <v>679</v>
      </c>
      <c r="BL39" s="316">
        <v>17</v>
      </c>
      <c r="BM39" s="317">
        <v>19</v>
      </c>
      <c r="BN39" s="422"/>
      <c r="BO39" s="419"/>
    </row>
    <row r="40" spans="1:67" ht="17.25">
      <c r="A40" s="217" t="s">
        <v>56</v>
      </c>
      <c r="B40" s="217" t="s">
        <v>60</v>
      </c>
      <c r="C40" s="218" t="s">
        <v>61</v>
      </c>
      <c r="D40" s="220">
        <v>0.375</v>
      </c>
      <c r="E40" s="220">
        <v>0.66388888888888886</v>
      </c>
      <c r="F40" s="221" t="s">
        <v>679</v>
      </c>
      <c r="G40" s="222" t="s">
        <v>679</v>
      </c>
      <c r="H40" s="223" t="s">
        <v>679</v>
      </c>
      <c r="I40" s="220">
        <v>0.66319444444444442</v>
      </c>
      <c r="J40" s="224">
        <v>0.37361111111111112</v>
      </c>
      <c r="K40" s="220">
        <v>0.66111111111111109</v>
      </c>
      <c r="L40" s="223" t="s">
        <v>679</v>
      </c>
      <c r="M40" s="219"/>
      <c r="N40" s="221" t="s">
        <v>679</v>
      </c>
      <c r="O40" s="222" t="s">
        <v>679</v>
      </c>
      <c r="P40" s="221" t="s">
        <v>679</v>
      </c>
      <c r="Q40" s="225" t="s">
        <v>679</v>
      </c>
      <c r="R40" s="220">
        <v>0.37708333333333333</v>
      </c>
      <c r="S40" s="220">
        <v>0.62777777777777777</v>
      </c>
      <c r="T40" s="270" t="s">
        <v>679</v>
      </c>
      <c r="U40" s="271">
        <v>0.64236111111111116</v>
      </c>
      <c r="V40" s="270" t="s">
        <v>679</v>
      </c>
      <c r="W40" s="272" t="s">
        <v>679</v>
      </c>
      <c r="X40" s="273">
        <v>0.34444444444444444</v>
      </c>
      <c r="Y40" s="274">
        <v>0.63888888888888884</v>
      </c>
      <c r="Z40" s="270" t="s">
        <v>679</v>
      </c>
      <c r="AA40" s="272" t="s">
        <v>679</v>
      </c>
      <c r="AB40" s="221" t="s">
        <v>679</v>
      </c>
      <c r="AC40" s="225" t="s">
        <v>679</v>
      </c>
      <c r="AD40" s="222" t="s">
        <v>679</v>
      </c>
      <c r="AE40" s="225" t="s">
        <v>679</v>
      </c>
      <c r="AF40" s="276">
        <v>0.34722222222222221</v>
      </c>
      <c r="AG40" s="275" t="s">
        <v>679</v>
      </c>
      <c r="AH40" s="277" t="s">
        <v>679</v>
      </c>
      <c r="AI40" s="275" t="s">
        <v>679</v>
      </c>
      <c r="AJ40" s="277" t="s">
        <v>679</v>
      </c>
      <c r="AK40" s="275" t="s">
        <v>679</v>
      </c>
      <c r="AL40" s="278">
        <v>0.38263888888888886</v>
      </c>
      <c r="AM40" s="276">
        <v>0.65486111111111112</v>
      </c>
      <c r="AN40" s="278">
        <v>0.38750000000000001</v>
      </c>
      <c r="AO40" s="276">
        <v>0.64097222222222228</v>
      </c>
      <c r="AP40" s="221" t="s">
        <v>679</v>
      </c>
      <c r="AQ40" s="225" t="s">
        <v>679</v>
      </c>
      <c r="AR40" s="222" t="s">
        <v>679</v>
      </c>
      <c r="AS40" s="225" t="s">
        <v>679</v>
      </c>
      <c r="AT40" s="276">
        <v>0.38541666666666669</v>
      </c>
      <c r="AU40" s="276">
        <v>0.66874999999999996</v>
      </c>
      <c r="AV40" s="278">
        <v>0.37708333333333333</v>
      </c>
      <c r="AW40" s="276">
        <v>0.81736111111111109</v>
      </c>
      <c r="AX40" s="278">
        <v>0.50138888888888888</v>
      </c>
      <c r="AY40" s="276">
        <v>0.6645833333333333</v>
      </c>
      <c r="AZ40" s="278">
        <v>0.3888888888888889</v>
      </c>
      <c r="BA40" s="276">
        <v>0.67361111111111116</v>
      </c>
      <c r="BB40" s="278">
        <v>0.39166666666666666</v>
      </c>
      <c r="BC40" s="276">
        <v>0.67222222222222228</v>
      </c>
      <c r="BD40" s="221" t="s">
        <v>679</v>
      </c>
      <c r="BE40" s="225" t="s">
        <v>679</v>
      </c>
      <c r="BF40" s="222" t="s">
        <v>679</v>
      </c>
      <c r="BG40" s="225" t="s">
        <v>679</v>
      </c>
      <c r="BH40" s="276">
        <v>0.39166666666666666</v>
      </c>
      <c r="BI40" s="276">
        <v>0.68125000000000002</v>
      </c>
      <c r="BJ40" s="278">
        <v>0.39444444444444443</v>
      </c>
      <c r="BK40" s="276">
        <v>0.68402777777777779</v>
      </c>
      <c r="BL40" s="314">
        <v>18</v>
      </c>
      <c r="BM40" s="315">
        <v>18</v>
      </c>
      <c r="BN40" s="322" t="s">
        <v>683</v>
      </c>
      <c r="BO40" s="419"/>
    </row>
    <row r="41" spans="1:67" ht="17.25">
      <c r="A41" s="259" t="s">
        <v>56</v>
      </c>
      <c r="B41" s="259" t="s">
        <v>60</v>
      </c>
      <c r="C41" s="260" t="s">
        <v>62</v>
      </c>
      <c r="D41" s="230" t="s">
        <v>679</v>
      </c>
      <c r="E41" s="230" t="s">
        <v>679</v>
      </c>
      <c r="F41" s="231" t="s">
        <v>679</v>
      </c>
      <c r="G41" s="232" t="s">
        <v>679</v>
      </c>
      <c r="H41" s="247">
        <v>0.37222222222222223</v>
      </c>
      <c r="I41" s="230" t="s">
        <v>679</v>
      </c>
      <c r="J41" s="233" t="s">
        <v>679</v>
      </c>
      <c r="K41" s="230" t="s">
        <v>679</v>
      </c>
      <c r="L41" s="247">
        <v>0.40555555555555556</v>
      </c>
      <c r="M41" s="246">
        <v>0.68402777777777779</v>
      </c>
      <c r="N41" s="231" t="s">
        <v>679</v>
      </c>
      <c r="O41" s="232" t="s">
        <v>679</v>
      </c>
      <c r="P41" s="231" t="s">
        <v>679</v>
      </c>
      <c r="Q41" s="234" t="s">
        <v>679</v>
      </c>
      <c r="R41" s="230" t="s">
        <v>679</v>
      </c>
      <c r="S41" s="230" t="s">
        <v>679</v>
      </c>
      <c r="T41" s="279" t="s">
        <v>679</v>
      </c>
      <c r="U41" s="280" t="s">
        <v>679</v>
      </c>
      <c r="V41" s="281">
        <v>0.33402777777777776</v>
      </c>
      <c r="W41" s="282">
        <v>0.64444444444444449</v>
      </c>
      <c r="X41" s="279" t="s">
        <v>679</v>
      </c>
      <c r="Y41" s="280" t="s">
        <v>679</v>
      </c>
      <c r="Z41" s="281">
        <v>0.33819444444444446</v>
      </c>
      <c r="AA41" s="282">
        <v>0.64513888888888893</v>
      </c>
      <c r="AB41" s="231" t="s">
        <v>679</v>
      </c>
      <c r="AC41" s="234" t="s">
        <v>679</v>
      </c>
      <c r="AD41" s="232" t="s">
        <v>679</v>
      </c>
      <c r="AE41" s="234" t="s">
        <v>679</v>
      </c>
      <c r="AF41" s="283" t="s">
        <v>679</v>
      </c>
      <c r="AG41" s="283" t="s">
        <v>679</v>
      </c>
      <c r="AH41" s="284" t="s">
        <v>679</v>
      </c>
      <c r="AI41" s="283" t="s">
        <v>679</v>
      </c>
      <c r="AJ41" s="284" t="s">
        <v>679</v>
      </c>
      <c r="AK41" s="283" t="s">
        <v>679</v>
      </c>
      <c r="AL41" s="285">
        <v>0.38263888888888886</v>
      </c>
      <c r="AM41" s="286">
        <v>0.65486111111111112</v>
      </c>
      <c r="AN41" s="285">
        <v>0.38750000000000001</v>
      </c>
      <c r="AO41" s="286">
        <v>0.64097222222222228</v>
      </c>
      <c r="AP41" s="231" t="s">
        <v>679</v>
      </c>
      <c r="AQ41" s="234" t="s">
        <v>679</v>
      </c>
      <c r="AR41" s="232" t="s">
        <v>679</v>
      </c>
      <c r="AS41" s="234" t="s">
        <v>679</v>
      </c>
      <c r="AT41" s="286">
        <v>0.38541666666666669</v>
      </c>
      <c r="AU41" s="286">
        <v>0.66874999999999996</v>
      </c>
      <c r="AV41" s="285">
        <v>0.37708333333333333</v>
      </c>
      <c r="AW41" s="286">
        <v>0.81736111111111109</v>
      </c>
      <c r="AX41" s="285">
        <v>0.38124999999999998</v>
      </c>
      <c r="AY41" s="286">
        <v>0.50138888888888888</v>
      </c>
      <c r="AZ41" s="285">
        <v>0.3888888888888889</v>
      </c>
      <c r="BA41" s="286">
        <v>0.67361111111111116</v>
      </c>
      <c r="BB41" s="285">
        <v>0.39166666666666666</v>
      </c>
      <c r="BC41" s="286">
        <v>0.67222222222222228</v>
      </c>
      <c r="BD41" s="231" t="s">
        <v>679</v>
      </c>
      <c r="BE41" s="234" t="s">
        <v>679</v>
      </c>
      <c r="BF41" s="232" t="s">
        <v>679</v>
      </c>
      <c r="BG41" s="234" t="s">
        <v>679</v>
      </c>
      <c r="BH41" s="286">
        <v>0.39166666666666666</v>
      </c>
      <c r="BI41" s="286">
        <v>0.68125000000000002</v>
      </c>
      <c r="BJ41" s="285">
        <v>0.39444444444444443</v>
      </c>
      <c r="BK41" s="287">
        <v>0.68402777777777779</v>
      </c>
      <c r="BL41" s="317">
        <v>18</v>
      </c>
      <c r="BM41" s="317">
        <v>18</v>
      </c>
      <c r="BN41" s="319" t="s">
        <v>683</v>
      </c>
      <c r="BO41" s="419"/>
    </row>
    <row r="42" spans="1:67" ht="17.25">
      <c r="A42" s="217" t="s">
        <v>56</v>
      </c>
      <c r="B42" s="217" t="s">
        <v>693</v>
      </c>
      <c r="C42" s="218" t="s">
        <v>64</v>
      </c>
      <c r="D42" s="325" t="s">
        <v>679</v>
      </c>
      <c r="E42" s="220">
        <v>0.6479166666666667</v>
      </c>
      <c r="F42" s="221" t="s">
        <v>679</v>
      </c>
      <c r="G42" s="222" t="s">
        <v>679</v>
      </c>
      <c r="H42" s="224">
        <v>0.40972222222222221</v>
      </c>
      <c r="I42" s="220">
        <v>0.68541666666666667</v>
      </c>
      <c r="J42" s="224">
        <v>0.41319444444444442</v>
      </c>
      <c r="K42" s="220">
        <v>0.65208333333333335</v>
      </c>
      <c r="L42" s="224">
        <v>0.47986111111111113</v>
      </c>
      <c r="M42" s="219"/>
      <c r="N42" s="221" t="s">
        <v>679</v>
      </c>
      <c r="O42" s="222" t="s">
        <v>679</v>
      </c>
      <c r="P42" s="221" t="s">
        <v>679</v>
      </c>
      <c r="Q42" s="225" t="s">
        <v>679</v>
      </c>
      <c r="R42" s="219"/>
      <c r="S42" s="219"/>
      <c r="T42" s="273">
        <v>0.39305555555555555</v>
      </c>
      <c r="U42" s="288">
        <v>0.63472222222222219</v>
      </c>
      <c r="V42" s="276">
        <v>0.37916666666666665</v>
      </c>
      <c r="W42" s="274">
        <v>0.65416666666666667</v>
      </c>
      <c r="X42" s="289">
        <v>0.42083333333333334</v>
      </c>
      <c r="Y42" s="290">
        <v>0.62986111111111109</v>
      </c>
      <c r="Z42" s="273">
        <v>0.4236111111111111</v>
      </c>
      <c r="AA42" s="288">
        <v>0.66388888888888886</v>
      </c>
      <c r="AB42" s="222" t="s">
        <v>679</v>
      </c>
      <c r="AC42" s="225" t="s">
        <v>679</v>
      </c>
      <c r="AD42" s="222" t="s">
        <v>679</v>
      </c>
      <c r="AE42" s="225" t="s">
        <v>679</v>
      </c>
      <c r="AF42" s="276">
        <v>0.42777777777777776</v>
      </c>
      <c r="AG42" s="276">
        <v>0.68819444444444444</v>
      </c>
      <c r="AH42" s="278">
        <v>0.39444444444444443</v>
      </c>
      <c r="AI42" s="276">
        <v>0.70138888888888884</v>
      </c>
      <c r="AJ42" s="278">
        <v>0.43194444444444446</v>
      </c>
      <c r="AK42" s="275" t="s">
        <v>679</v>
      </c>
      <c r="AL42" s="277" t="s">
        <v>679</v>
      </c>
      <c r="AM42" s="275" t="s">
        <v>679</v>
      </c>
      <c r="AN42" s="277" t="s">
        <v>679</v>
      </c>
      <c r="AO42" s="275" t="s">
        <v>679</v>
      </c>
      <c r="AP42" s="221" t="s">
        <v>679</v>
      </c>
      <c r="AQ42" s="225" t="s">
        <v>679</v>
      </c>
      <c r="AR42" s="222" t="s">
        <v>679</v>
      </c>
      <c r="AS42" s="225" t="s">
        <v>679</v>
      </c>
      <c r="AT42" s="275" t="s">
        <v>679</v>
      </c>
      <c r="AU42" s="275" t="s">
        <v>679</v>
      </c>
      <c r="AV42" s="277" t="s">
        <v>679</v>
      </c>
      <c r="AW42" s="275" t="s">
        <v>679</v>
      </c>
      <c r="AX42" s="277" t="s">
        <v>679</v>
      </c>
      <c r="AY42" s="275" t="s">
        <v>679</v>
      </c>
      <c r="AZ42" s="277" t="s">
        <v>679</v>
      </c>
      <c r="BA42" s="275" t="s">
        <v>679</v>
      </c>
      <c r="BB42" s="277" t="s">
        <v>679</v>
      </c>
      <c r="BC42" s="275" t="s">
        <v>679</v>
      </c>
      <c r="BD42" s="221" t="s">
        <v>679</v>
      </c>
      <c r="BE42" s="225" t="s">
        <v>679</v>
      </c>
      <c r="BF42" s="222" t="s">
        <v>679</v>
      </c>
      <c r="BG42" s="225" t="s">
        <v>679</v>
      </c>
      <c r="BH42" s="275" t="s">
        <v>679</v>
      </c>
      <c r="BI42" s="275" t="s">
        <v>679</v>
      </c>
      <c r="BJ42" s="277" t="s">
        <v>679</v>
      </c>
      <c r="BK42" s="275" t="s">
        <v>679</v>
      </c>
      <c r="BL42" s="315">
        <v>10</v>
      </c>
      <c r="BM42" s="315">
        <v>9</v>
      </c>
      <c r="BN42" s="322" t="s">
        <v>694</v>
      </c>
      <c r="BO42" s="419"/>
    </row>
    <row r="43" spans="1:67" ht="17.25">
      <c r="A43" s="259" t="s">
        <v>56</v>
      </c>
      <c r="B43" s="259" t="s">
        <v>693</v>
      </c>
      <c r="C43" s="260" t="s">
        <v>65</v>
      </c>
      <c r="D43" s="230" t="s">
        <v>679</v>
      </c>
      <c r="E43" s="230" t="s">
        <v>679</v>
      </c>
      <c r="F43" s="231" t="s">
        <v>679</v>
      </c>
      <c r="G43" s="232" t="s">
        <v>679</v>
      </c>
      <c r="H43" s="233" t="s">
        <v>679</v>
      </c>
      <c r="I43" s="230" t="s">
        <v>679</v>
      </c>
      <c r="J43" s="233" t="s">
        <v>679</v>
      </c>
      <c r="K43" s="230" t="s">
        <v>679</v>
      </c>
      <c r="L43" s="233" t="s">
        <v>679</v>
      </c>
      <c r="M43" s="230" t="s">
        <v>679</v>
      </c>
      <c r="N43" s="231" t="s">
        <v>679</v>
      </c>
      <c r="O43" s="232" t="s">
        <v>679</v>
      </c>
      <c r="P43" s="231" t="s">
        <v>679</v>
      </c>
      <c r="Q43" s="234" t="s">
        <v>679</v>
      </c>
      <c r="R43" s="230" t="s">
        <v>679</v>
      </c>
      <c r="S43" s="230" t="s">
        <v>679</v>
      </c>
      <c r="T43" s="279" t="s">
        <v>679</v>
      </c>
      <c r="U43" s="280" t="s">
        <v>679</v>
      </c>
      <c r="V43" s="279" t="s">
        <v>679</v>
      </c>
      <c r="W43" s="280" t="s">
        <v>679</v>
      </c>
      <c r="X43" s="279" t="s">
        <v>679</v>
      </c>
      <c r="Y43" s="280" t="s">
        <v>679</v>
      </c>
      <c r="Z43" s="279" t="s">
        <v>679</v>
      </c>
      <c r="AA43" s="280" t="s">
        <v>679</v>
      </c>
      <c r="AB43" s="231" t="s">
        <v>679</v>
      </c>
      <c r="AC43" s="234" t="s">
        <v>679</v>
      </c>
      <c r="AD43" s="232" t="s">
        <v>679</v>
      </c>
      <c r="AE43" s="234" t="s">
        <v>679</v>
      </c>
      <c r="AF43" s="283" t="s">
        <v>679</v>
      </c>
      <c r="AG43" s="283" t="s">
        <v>679</v>
      </c>
      <c r="AH43" s="284" t="s">
        <v>679</v>
      </c>
      <c r="AI43" s="283" t="s">
        <v>679</v>
      </c>
      <c r="AJ43" s="284" t="s">
        <v>679</v>
      </c>
      <c r="AK43" s="283" t="s">
        <v>679</v>
      </c>
      <c r="AL43" s="284" t="s">
        <v>679</v>
      </c>
      <c r="AM43" s="283" t="s">
        <v>679</v>
      </c>
      <c r="AN43" s="284" t="s">
        <v>679</v>
      </c>
      <c r="AO43" s="283" t="s">
        <v>679</v>
      </c>
      <c r="AP43" s="231" t="s">
        <v>679</v>
      </c>
      <c r="AQ43" s="234" t="s">
        <v>679</v>
      </c>
      <c r="AR43" s="232" t="s">
        <v>679</v>
      </c>
      <c r="AS43" s="234" t="s">
        <v>679</v>
      </c>
      <c r="AT43" s="283" t="s">
        <v>679</v>
      </c>
      <c r="AU43" s="283" t="s">
        <v>679</v>
      </c>
      <c r="AV43" s="284" t="s">
        <v>679</v>
      </c>
      <c r="AW43" s="283" t="s">
        <v>679</v>
      </c>
      <c r="AX43" s="284" t="s">
        <v>679</v>
      </c>
      <c r="AY43" s="283" t="s">
        <v>679</v>
      </c>
      <c r="AZ43" s="284" t="s">
        <v>679</v>
      </c>
      <c r="BA43" s="283" t="s">
        <v>679</v>
      </c>
      <c r="BB43" s="284" t="s">
        <v>679</v>
      </c>
      <c r="BC43" s="283" t="s">
        <v>679</v>
      </c>
      <c r="BD43" s="231" t="s">
        <v>679</v>
      </c>
      <c r="BE43" s="234" t="s">
        <v>679</v>
      </c>
      <c r="BF43" s="232" t="s">
        <v>679</v>
      </c>
      <c r="BG43" s="234" t="s">
        <v>679</v>
      </c>
      <c r="BH43" s="283" t="s">
        <v>679</v>
      </c>
      <c r="BI43" s="283" t="s">
        <v>679</v>
      </c>
      <c r="BJ43" s="284" t="s">
        <v>679</v>
      </c>
      <c r="BK43" s="291" t="s">
        <v>679</v>
      </c>
      <c r="BL43" s="317">
        <v>10</v>
      </c>
      <c r="BM43" s="317">
        <v>9</v>
      </c>
      <c r="BN43" s="319" t="s">
        <v>694</v>
      </c>
      <c r="BO43" s="419"/>
    </row>
    <row r="44" spans="1:67" ht="17.25">
      <c r="A44" s="259" t="s">
        <v>56</v>
      </c>
      <c r="B44" s="259" t="s">
        <v>695</v>
      </c>
      <c r="C44" s="260" t="s">
        <v>67</v>
      </c>
      <c r="D44" s="230" t="s">
        <v>679</v>
      </c>
      <c r="E44" s="246">
        <v>0.66180555555555554</v>
      </c>
      <c r="F44" s="231" t="s">
        <v>679</v>
      </c>
      <c r="G44" s="251">
        <v>0.73819444444444449</v>
      </c>
      <c r="H44" s="247">
        <v>0.35</v>
      </c>
      <c r="I44" s="246">
        <v>0.71736111111111112</v>
      </c>
      <c r="J44" s="247">
        <v>0.35902777777777778</v>
      </c>
      <c r="K44" s="246">
        <v>0.67291666666666672</v>
      </c>
      <c r="L44" s="247">
        <v>0.37152777777777779</v>
      </c>
      <c r="M44" s="246">
        <v>0.66319444444444442</v>
      </c>
      <c r="N44" s="248">
        <v>0.47152777777777777</v>
      </c>
      <c r="O44" s="251">
        <v>0.56458333333333333</v>
      </c>
      <c r="P44" s="231" t="s">
        <v>679</v>
      </c>
      <c r="Q44" s="234" t="s">
        <v>679</v>
      </c>
      <c r="R44" s="246">
        <v>0.35</v>
      </c>
      <c r="S44" s="246">
        <v>0.6743055555555556</v>
      </c>
      <c r="T44" s="247">
        <v>0.35208333333333336</v>
      </c>
      <c r="U44" s="246">
        <v>0.65277777777777779</v>
      </c>
      <c r="V44" s="247">
        <v>0.39930555555555558</v>
      </c>
      <c r="W44" s="246">
        <v>0.65347222222222223</v>
      </c>
      <c r="X44" s="257">
        <v>0.38333333333333336</v>
      </c>
      <c r="Y44" s="258">
        <v>0.63263888888888886</v>
      </c>
      <c r="Z44" s="247">
        <v>0.38472222222222224</v>
      </c>
      <c r="AA44" s="246">
        <v>0.62916666666666665</v>
      </c>
      <c r="AB44" s="231" t="s">
        <v>679</v>
      </c>
      <c r="AC44" s="234" t="s">
        <v>679</v>
      </c>
      <c r="AD44" s="232" t="s">
        <v>679</v>
      </c>
      <c r="AE44" s="234" t="s">
        <v>679</v>
      </c>
      <c r="AF44" s="207">
        <v>0.35486111111111113</v>
      </c>
      <c r="AG44" s="207">
        <v>0.62013888888888891</v>
      </c>
      <c r="AH44" s="204" t="s">
        <v>679</v>
      </c>
      <c r="AI44" s="205" t="s">
        <v>679</v>
      </c>
      <c r="AJ44" s="206">
        <v>0.38333333333333336</v>
      </c>
      <c r="AK44" s="207">
        <v>0.64097222222222228</v>
      </c>
      <c r="AL44" s="206">
        <v>0.37638888888888888</v>
      </c>
      <c r="AM44" s="207">
        <v>0.65138888888888891</v>
      </c>
      <c r="AN44" s="206">
        <v>0.37986111111111109</v>
      </c>
      <c r="AO44" s="205" t="s">
        <v>679</v>
      </c>
      <c r="AP44" s="231" t="s">
        <v>679</v>
      </c>
      <c r="AQ44" s="234" t="s">
        <v>679</v>
      </c>
      <c r="AR44" s="232" t="s">
        <v>679</v>
      </c>
      <c r="AS44" s="234" t="s">
        <v>679</v>
      </c>
      <c r="AT44" s="207">
        <v>0.49791666666666667</v>
      </c>
      <c r="AU44" s="205" t="s">
        <v>679</v>
      </c>
      <c r="AV44" s="206">
        <v>0.37222222222222223</v>
      </c>
      <c r="AW44" s="205" t="s">
        <v>679</v>
      </c>
      <c r="AX44" s="206">
        <v>0.50277777777777777</v>
      </c>
      <c r="AY44" s="207">
        <v>0.69305555555555554</v>
      </c>
      <c r="AZ44" s="206">
        <v>0.37777777777777777</v>
      </c>
      <c r="BA44" s="207">
        <v>0.63124999999999998</v>
      </c>
      <c r="BB44" s="206">
        <v>0.3611111111111111</v>
      </c>
      <c r="BC44" s="205" t="s">
        <v>679</v>
      </c>
      <c r="BD44" s="231" t="s">
        <v>679</v>
      </c>
      <c r="BE44" s="234" t="s">
        <v>679</v>
      </c>
      <c r="BF44" s="232" t="s">
        <v>679</v>
      </c>
      <c r="BG44" s="234" t="s">
        <v>679</v>
      </c>
      <c r="BH44" s="205" t="s">
        <v>679</v>
      </c>
      <c r="BI44" s="205" t="s">
        <v>679</v>
      </c>
      <c r="BJ44" s="204" t="s">
        <v>679</v>
      </c>
      <c r="BK44" s="292" t="s">
        <v>679</v>
      </c>
      <c r="BL44" s="317">
        <v>17</v>
      </c>
      <c r="BM44" s="317">
        <v>15</v>
      </c>
      <c r="BN44" s="319" t="s">
        <v>696</v>
      </c>
      <c r="BO44" s="419"/>
    </row>
    <row r="45" spans="1:67" ht="17.25">
      <c r="A45" s="259" t="s">
        <v>56</v>
      </c>
      <c r="B45" s="259" t="s">
        <v>68</v>
      </c>
      <c r="C45" s="260" t="s">
        <v>69</v>
      </c>
      <c r="D45" s="246">
        <v>0.35138888888888886</v>
      </c>
      <c r="E45" s="230" t="s">
        <v>679</v>
      </c>
      <c r="F45" s="231" t="s">
        <v>679</v>
      </c>
      <c r="G45" s="232" t="s">
        <v>679</v>
      </c>
      <c r="H45" s="247">
        <v>0.35138888888888886</v>
      </c>
      <c r="I45" s="230" t="s">
        <v>679</v>
      </c>
      <c r="J45" s="247">
        <v>0.34791666666666665</v>
      </c>
      <c r="K45" s="230" t="s">
        <v>679</v>
      </c>
      <c r="L45" s="247">
        <v>0.35138888888888886</v>
      </c>
      <c r="M45" s="230" t="s">
        <v>679</v>
      </c>
      <c r="N45" s="231" t="s">
        <v>679</v>
      </c>
      <c r="O45" s="232" t="s">
        <v>679</v>
      </c>
      <c r="P45" s="231" t="s">
        <v>679</v>
      </c>
      <c r="Q45" s="234" t="s">
        <v>679</v>
      </c>
      <c r="R45" s="246">
        <v>0.3576388888888889</v>
      </c>
      <c r="S45" s="230" t="s">
        <v>679</v>
      </c>
      <c r="T45" s="233" t="s">
        <v>679</v>
      </c>
      <c r="U45" s="246">
        <v>0.6381944444444444</v>
      </c>
      <c r="V45" s="247">
        <v>0.35138888888888886</v>
      </c>
      <c r="W45" s="246">
        <v>0.64513888888888893</v>
      </c>
      <c r="X45" s="257">
        <v>0.35</v>
      </c>
      <c r="Y45" s="246">
        <v>0.625</v>
      </c>
      <c r="Z45" s="247">
        <v>0.34166666666666667</v>
      </c>
      <c r="AA45" s="246">
        <v>0.64375000000000004</v>
      </c>
      <c r="AB45" s="231" t="s">
        <v>679</v>
      </c>
      <c r="AC45" s="234" t="s">
        <v>679</v>
      </c>
      <c r="AD45" s="232" t="s">
        <v>679</v>
      </c>
      <c r="AE45" s="234" t="s">
        <v>679</v>
      </c>
      <c r="AF45" s="207">
        <v>0.36041666666666666</v>
      </c>
      <c r="AG45" s="207">
        <v>0.64166666666666672</v>
      </c>
      <c r="AH45" s="206">
        <v>0.35347222222222224</v>
      </c>
      <c r="AI45" s="207">
        <v>0.64930555555555558</v>
      </c>
      <c r="AJ45" s="206">
        <v>0.35625000000000001</v>
      </c>
      <c r="AK45" s="207">
        <v>0.6479166666666667</v>
      </c>
      <c r="AL45" s="204" t="s">
        <v>679</v>
      </c>
      <c r="AM45" s="205" t="s">
        <v>679</v>
      </c>
      <c r="AN45" s="204" t="s">
        <v>679</v>
      </c>
      <c r="AO45" s="205" t="s">
        <v>679</v>
      </c>
      <c r="AP45" s="231" t="s">
        <v>679</v>
      </c>
      <c r="AQ45" s="234" t="s">
        <v>679</v>
      </c>
      <c r="AR45" s="232" t="s">
        <v>679</v>
      </c>
      <c r="AS45" s="234" t="s">
        <v>679</v>
      </c>
      <c r="AT45" s="207">
        <v>0.36180555555555555</v>
      </c>
      <c r="AU45" s="207">
        <v>0.63958333333333328</v>
      </c>
      <c r="AV45" s="206">
        <v>0.35833333333333334</v>
      </c>
      <c r="AW45" s="207">
        <v>0.64583333333333337</v>
      </c>
      <c r="AX45" s="206">
        <v>0.35694444444444445</v>
      </c>
      <c r="AY45" s="207">
        <v>0.65208333333333335</v>
      </c>
      <c r="AZ45" s="206">
        <v>0.35069444444444442</v>
      </c>
      <c r="BA45" s="207">
        <v>0.64513888888888893</v>
      </c>
      <c r="BB45" s="206">
        <v>0.34652777777777777</v>
      </c>
      <c r="BC45" s="207">
        <v>0.64583333333333337</v>
      </c>
      <c r="BD45" s="231" t="s">
        <v>679</v>
      </c>
      <c r="BE45" s="234" t="s">
        <v>679</v>
      </c>
      <c r="BF45" s="232" t="s">
        <v>679</v>
      </c>
      <c r="BG45" s="234" t="s">
        <v>679</v>
      </c>
      <c r="BH45" s="207">
        <v>0.35555555555555557</v>
      </c>
      <c r="BI45" s="207">
        <v>0.63958333333333328</v>
      </c>
      <c r="BJ45" s="206">
        <v>0.34652777777777777</v>
      </c>
      <c r="BK45" s="207">
        <v>0.64027777777777772</v>
      </c>
      <c r="BL45" s="321">
        <v>18</v>
      </c>
      <c r="BM45" s="320">
        <v>14</v>
      </c>
      <c r="BN45" s="319" t="s">
        <v>696</v>
      </c>
      <c r="BO45" s="419"/>
    </row>
    <row r="46" spans="1:67" ht="17.25">
      <c r="A46" s="259" t="s">
        <v>56</v>
      </c>
      <c r="B46" s="259" t="s">
        <v>70</v>
      </c>
      <c r="C46" s="260" t="s">
        <v>71</v>
      </c>
      <c r="D46" s="246">
        <v>0.35555555555555557</v>
      </c>
      <c r="E46" s="246">
        <v>0.62430555555555556</v>
      </c>
      <c r="F46" s="248">
        <v>0.38819444444444445</v>
      </c>
      <c r="G46" s="251">
        <v>0.72083333333333333</v>
      </c>
      <c r="H46" s="247">
        <v>0.34861111111111109</v>
      </c>
      <c r="I46" s="246">
        <v>0.65277777777777779</v>
      </c>
      <c r="J46" s="247">
        <v>0.35555555555555557</v>
      </c>
      <c r="K46" s="246">
        <v>0.61527777777777781</v>
      </c>
      <c r="L46" s="247">
        <v>0.3527777777777778</v>
      </c>
      <c r="M46" s="246">
        <v>0.65625</v>
      </c>
      <c r="N46" s="231" t="s">
        <v>679</v>
      </c>
      <c r="O46" s="232" t="s">
        <v>679</v>
      </c>
      <c r="P46" s="231" t="s">
        <v>679</v>
      </c>
      <c r="Q46" s="234" t="s">
        <v>679</v>
      </c>
      <c r="R46" s="246">
        <v>0.35625000000000001</v>
      </c>
      <c r="S46" s="246">
        <v>0.63055555555555554</v>
      </c>
      <c r="T46" s="247">
        <v>0.36388888888888887</v>
      </c>
      <c r="U46" s="246">
        <v>0.63194444444444442</v>
      </c>
      <c r="V46" s="293">
        <v>0.35416666666666669</v>
      </c>
      <c r="W46" s="294">
        <v>0.65208333333333335</v>
      </c>
      <c r="X46" s="293">
        <v>0.35833333333333334</v>
      </c>
      <c r="Y46" s="294">
        <v>0.63263888888888886</v>
      </c>
      <c r="Z46" s="257">
        <v>0.34722222222222221</v>
      </c>
      <c r="AA46" s="258">
        <v>0.63263888888888886</v>
      </c>
      <c r="AB46" s="231" t="s">
        <v>679</v>
      </c>
      <c r="AC46" s="234" t="s">
        <v>679</v>
      </c>
      <c r="AD46" s="232" t="s">
        <v>679</v>
      </c>
      <c r="AE46" s="234" t="s">
        <v>679</v>
      </c>
      <c r="AF46" s="207">
        <v>0.35069444444444442</v>
      </c>
      <c r="AG46" s="207">
        <v>0.62638888888888888</v>
      </c>
      <c r="AH46" s="206">
        <v>0.35972222222222222</v>
      </c>
      <c r="AI46" s="207">
        <v>0.63055555555555554</v>
      </c>
      <c r="AJ46" s="206">
        <v>0.35555555555555557</v>
      </c>
      <c r="AK46" s="207">
        <v>0.62847222222222221</v>
      </c>
      <c r="AL46" s="206">
        <v>0.35902777777777778</v>
      </c>
      <c r="AM46" s="207">
        <v>0.62986111111111109</v>
      </c>
      <c r="AN46" s="206">
        <v>0.35069444444444442</v>
      </c>
      <c r="AO46" s="207">
        <v>0.62638888888888888</v>
      </c>
      <c r="AP46" s="231" t="s">
        <v>679</v>
      </c>
      <c r="AQ46" s="234" t="s">
        <v>679</v>
      </c>
      <c r="AR46" s="232" t="s">
        <v>679</v>
      </c>
      <c r="AS46" s="234" t="s">
        <v>679</v>
      </c>
      <c r="AT46" s="207">
        <v>0.46805555555555556</v>
      </c>
      <c r="AU46" s="207">
        <v>0.62361111111111112</v>
      </c>
      <c r="AV46" s="206">
        <v>0.34305555555555556</v>
      </c>
      <c r="AW46" s="207">
        <v>0.61875000000000002</v>
      </c>
      <c r="AX46" s="206">
        <v>0.34513888888888888</v>
      </c>
      <c r="AY46" s="207">
        <v>0.74722222222222223</v>
      </c>
      <c r="AZ46" s="206">
        <v>0.35347222222222224</v>
      </c>
      <c r="BA46" s="207">
        <v>0.62152777777777779</v>
      </c>
      <c r="BB46" s="206">
        <v>0.35902777777777778</v>
      </c>
      <c r="BC46" s="207">
        <v>0.62708333333333333</v>
      </c>
      <c r="BD46" s="231" t="s">
        <v>679</v>
      </c>
      <c r="BE46" s="234" t="s">
        <v>679</v>
      </c>
      <c r="BF46" s="232" t="s">
        <v>679</v>
      </c>
      <c r="BG46" s="234" t="s">
        <v>679</v>
      </c>
      <c r="BH46" s="207">
        <v>0.35625000000000001</v>
      </c>
      <c r="BI46" s="207">
        <v>0.64861111111111114</v>
      </c>
      <c r="BJ46" s="206">
        <v>0.35416666666666669</v>
      </c>
      <c r="BK46" s="207">
        <v>0.63194444444444442</v>
      </c>
      <c r="BL46" s="321">
        <v>22</v>
      </c>
      <c r="BM46" s="320">
        <v>22</v>
      </c>
      <c r="BN46" s="319" t="s">
        <v>697</v>
      </c>
      <c r="BO46" s="420"/>
    </row>
    <row r="47" spans="1:67" ht="15" customHeight="1">
      <c r="A47" s="217" t="s">
        <v>72</v>
      </c>
      <c r="B47" s="217" t="s">
        <v>73</v>
      </c>
      <c r="C47" s="218" t="s">
        <v>74</v>
      </c>
      <c r="D47" s="220">
        <v>0.33750000000000002</v>
      </c>
      <c r="E47" s="219" t="s">
        <v>679</v>
      </c>
      <c r="F47" s="221" t="s">
        <v>679</v>
      </c>
      <c r="G47" s="222" t="s">
        <v>679</v>
      </c>
      <c r="H47" s="224">
        <v>0.3034722222222222</v>
      </c>
      <c r="I47" s="220">
        <v>0.63541666666666663</v>
      </c>
      <c r="J47" s="224">
        <v>0.37291666666666667</v>
      </c>
      <c r="K47" s="220">
        <v>0.67847222222222225</v>
      </c>
      <c r="L47" s="224">
        <v>0.3972222222222222</v>
      </c>
      <c r="M47" s="219"/>
      <c r="N47" s="243">
        <v>0.38958333333333334</v>
      </c>
      <c r="O47" s="222" t="s">
        <v>679</v>
      </c>
      <c r="P47" s="221" t="s">
        <v>679</v>
      </c>
      <c r="Q47" s="225" t="s">
        <v>679</v>
      </c>
      <c r="R47" s="220">
        <v>0.35416666666666669</v>
      </c>
      <c r="S47" s="220">
        <v>0.65</v>
      </c>
      <c r="T47" s="223" t="s">
        <v>679</v>
      </c>
      <c r="U47" s="220">
        <v>0.71180555555555558</v>
      </c>
      <c r="V47" s="224">
        <v>0.32361111111111113</v>
      </c>
      <c r="W47" s="220">
        <v>0.6743055555555556</v>
      </c>
      <c r="X47" s="224">
        <v>0.31458333333333333</v>
      </c>
      <c r="Y47" s="220">
        <v>0.66249999999999998</v>
      </c>
      <c r="Z47" s="224">
        <v>0.40347222222222223</v>
      </c>
      <c r="AA47" s="220">
        <v>0.65486111111111112</v>
      </c>
      <c r="AB47" s="221" t="s">
        <v>679</v>
      </c>
      <c r="AC47" s="225" t="s">
        <v>679</v>
      </c>
      <c r="AD47" s="222" t="s">
        <v>679</v>
      </c>
      <c r="AE47" s="225" t="s">
        <v>679</v>
      </c>
      <c r="AF47" s="203">
        <v>0.48749999999999999</v>
      </c>
      <c r="AG47" s="203">
        <v>0.66736111111111107</v>
      </c>
      <c r="AH47" s="201">
        <v>0.37222222222222223</v>
      </c>
      <c r="AI47" s="203">
        <v>0.67500000000000004</v>
      </c>
      <c r="AJ47" s="201">
        <v>0.33819444444444446</v>
      </c>
      <c r="AK47" s="203">
        <v>0.66805555555555551</v>
      </c>
      <c r="AL47" s="201">
        <v>0.41388888888888886</v>
      </c>
      <c r="AM47" s="203">
        <v>0.63472222222222219</v>
      </c>
      <c r="AN47" s="201">
        <v>0.4</v>
      </c>
      <c r="AO47" s="203">
        <v>0.6479166666666667</v>
      </c>
      <c r="AP47" s="221" t="s">
        <v>679</v>
      </c>
      <c r="AQ47" s="225" t="s">
        <v>679</v>
      </c>
      <c r="AR47" s="222" t="s">
        <v>679</v>
      </c>
      <c r="AS47" s="225" t="s">
        <v>679</v>
      </c>
      <c r="AT47" s="203">
        <v>0.34097222222222223</v>
      </c>
      <c r="AU47" s="203">
        <v>0.66111111111111109</v>
      </c>
      <c r="AV47" s="201">
        <v>0.31944444444444442</v>
      </c>
      <c r="AW47" s="203">
        <v>0.67083333333333328</v>
      </c>
      <c r="AX47" s="201">
        <v>0.34236111111111112</v>
      </c>
      <c r="AY47" s="203">
        <v>0.66666666666666663</v>
      </c>
      <c r="AZ47" s="201">
        <v>0.41805555555555557</v>
      </c>
      <c r="BA47" s="203">
        <v>0.67708333333333337</v>
      </c>
      <c r="BB47" s="201">
        <v>0.37986111111111109</v>
      </c>
      <c r="BC47" s="203">
        <v>0.65138888888888891</v>
      </c>
      <c r="BD47" s="221" t="s">
        <v>679</v>
      </c>
      <c r="BE47" s="225" t="s">
        <v>679</v>
      </c>
      <c r="BF47" s="222" t="s">
        <v>679</v>
      </c>
      <c r="BG47" s="225" t="s">
        <v>679</v>
      </c>
      <c r="BH47" s="203">
        <v>0.3347222222222222</v>
      </c>
      <c r="BI47" s="203">
        <v>0.63958333333333328</v>
      </c>
      <c r="BJ47" s="201">
        <v>0.42430555555555555</v>
      </c>
      <c r="BK47" s="202"/>
      <c r="BL47" s="314">
        <v>20</v>
      </c>
      <c r="BM47" s="315">
        <v>18</v>
      </c>
      <c r="BN47" s="421" t="s">
        <v>681</v>
      </c>
      <c r="BO47" s="419" t="s">
        <v>698</v>
      </c>
    </row>
    <row r="48" spans="1:67" ht="17.25">
      <c r="A48" s="259" t="s">
        <v>72</v>
      </c>
      <c r="B48" s="259" t="s">
        <v>73</v>
      </c>
      <c r="C48" s="260" t="s">
        <v>699</v>
      </c>
      <c r="D48" s="230" t="s">
        <v>679</v>
      </c>
      <c r="E48" s="230" t="s">
        <v>679</v>
      </c>
      <c r="F48" s="231" t="s">
        <v>679</v>
      </c>
      <c r="G48" s="232" t="s">
        <v>679</v>
      </c>
      <c r="H48" s="233" t="s">
        <v>679</v>
      </c>
      <c r="I48" s="230" t="s">
        <v>679</v>
      </c>
      <c r="J48" s="233" t="s">
        <v>679</v>
      </c>
      <c r="K48" s="230" t="s">
        <v>679</v>
      </c>
      <c r="L48" s="233" t="s">
        <v>679</v>
      </c>
      <c r="M48" s="230" t="s">
        <v>679</v>
      </c>
      <c r="N48" s="231" t="s">
        <v>679</v>
      </c>
      <c r="O48" s="232" t="s">
        <v>679</v>
      </c>
      <c r="P48" s="231" t="s">
        <v>679</v>
      </c>
      <c r="Q48" s="234" t="s">
        <v>679</v>
      </c>
      <c r="R48" s="230" t="s">
        <v>679</v>
      </c>
      <c r="S48" s="230" t="s">
        <v>679</v>
      </c>
      <c r="T48" s="233" t="s">
        <v>679</v>
      </c>
      <c r="U48" s="230" t="s">
        <v>679</v>
      </c>
      <c r="V48" s="233" t="s">
        <v>679</v>
      </c>
      <c r="W48" s="230" t="s">
        <v>679</v>
      </c>
      <c r="X48" s="233" t="s">
        <v>679</v>
      </c>
      <c r="Y48" s="230" t="s">
        <v>679</v>
      </c>
      <c r="Z48" s="233" t="s">
        <v>679</v>
      </c>
      <c r="AA48" s="230" t="s">
        <v>679</v>
      </c>
      <c r="AB48" s="231" t="s">
        <v>679</v>
      </c>
      <c r="AC48" s="234" t="s">
        <v>679</v>
      </c>
      <c r="AD48" s="232" t="s">
        <v>679</v>
      </c>
      <c r="AE48" s="234" t="s">
        <v>679</v>
      </c>
      <c r="AF48" s="205" t="s">
        <v>679</v>
      </c>
      <c r="AG48" s="205" t="s">
        <v>679</v>
      </c>
      <c r="AH48" s="204" t="s">
        <v>679</v>
      </c>
      <c r="AI48" s="205" t="s">
        <v>679</v>
      </c>
      <c r="AJ48" s="204" t="s">
        <v>679</v>
      </c>
      <c r="AK48" s="205" t="s">
        <v>679</v>
      </c>
      <c r="AL48" s="204" t="s">
        <v>679</v>
      </c>
      <c r="AM48" s="205" t="s">
        <v>679</v>
      </c>
      <c r="AN48" s="204" t="s">
        <v>679</v>
      </c>
      <c r="AO48" s="205" t="s">
        <v>679</v>
      </c>
      <c r="AP48" s="231" t="s">
        <v>679</v>
      </c>
      <c r="AQ48" s="234" t="s">
        <v>679</v>
      </c>
      <c r="AR48" s="232" t="s">
        <v>679</v>
      </c>
      <c r="AS48" s="234" t="s">
        <v>679</v>
      </c>
      <c r="AT48" s="205" t="s">
        <v>679</v>
      </c>
      <c r="AU48" s="205" t="s">
        <v>679</v>
      </c>
      <c r="AV48" s="204" t="s">
        <v>679</v>
      </c>
      <c r="AW48" s="205" t="s">
        <v>679</v>
      </c>
      <c r="AX48" s="204" t="s">
        <v>679</v>
      </c>
      <c r="AY48" s="205" t="s">
        <v>679</v>
      </c>
      <c r="AZ48" s="204" t="s">
        <v>679</v>
      </c>
      <c r="BA48" s="205" t="s">
        <v>679</v>
      </c>
      <c r="BB48" s="204" t="s">
        <v>679</v>
      </c>
      <c r="BC48" s="205" t="s">
        <v>679</v>
      </c>
      <c r="BD48" s="231" t="s">
        <v>679</v>
      </c>
      <c r="BE48" s="234" t="s">
        <v>679</v>
      </c>
      <c r="BF48" s="232" t="s">
        <v>679</v>
      </c>
      <c r="BG48" s="234" t="s">
        <v>679</v>
      </c>
      <c r="BH48" s="205" t="s">
        <v>679</v>
      </c>
      <c r="BI48" s="205" t="s">
        <v>679</v>
      </c>
      <c r="BJ48" s="204" t="s">
        <v>679</v>
      </c>
      <c r="BK48" s="205" t="s">
        <v>679</v>
      </c>
      <c r="BL48" s="316">
        <v>20</v>
      </c>
      <c r="BM48" s="317">
        <v>18</v>
      </c>
      <c r="BN48" s="422"/>
      <c r="BO48" s="419"/>
    </row>
    <row r="49" spans="1:67" ht="15" customHeight="1">
      <c r="A49" s="217" t="s">
        <v>72</v>
      </c>
      <c r="B49" s="217" t="s">
        <v>76</v>
      </c>
      <c r="C49" s="218" t="s">
        <v>77</v>
      </c>
      <c r="D49" s="220">
        <v>0.35138888888888886</v>
      </c>
      <c r="E49" s="220">
        <v>0.66180555555555554</v>
      </c>
      <c r="F49" s="243">
        <v>0.37986111111111109</v>
      </c>
      <c r="G49" s="244">
        <v>0.75694444444444442</v>
      </c>
      <c r="H49" s="224">
        <v>0.34583333333333333</v>
      </c>
      <c r="I49" s="220">
        <v>0.65902777777777777</v>
      </c>
      <c r="J49" s="224">
        <v>0.35486111111111113</v>
      </c>
      <c r="K49" s="220">
        <v>0.65555555555555556</v>
      </c>
      <c r="L49" s="224">
        <v>0.34861111111111109</v>
      </c>
      <c r="M49" s="220">
        <v>0.66180555555555554</v>
      </c>
      <c r="N49" s="243">
        <v>0.34930555555555554</v>
      </c>
      <c r="O49" s="244">
        <v>0.48819444444444443</v>
      </c>
      <c r="P49" s="221" t="s">
        <v>679</v>
      </c>
      <c r="Q49" s="225" t="s">
        <v>679</v>
      </c>
      <c r="R49" s="220">
        <v>0.3576388888888889</v>
      </c>
      <c r="S49" s="220">
        <v>0.64583333333333337</v>
      </c>
      <c r="T49" s="224">
        <v>0.34930555555555554</v>
      </c>
      <c r="U49" s="220">
        <v>0.62361111111111112</v>
      </c>
      <c r="V49" s="224">
        <v>0.34791666666666665</v>
      </c>
      <c r="W49" s="220">
        <v>0.65763888888888888</v>
      </c>
      <c r="X49" s="224">
        <v>0.35625000000000001</v>
      </c>
      <c r="Y49" s="220">
        <v>0.64166666666666672</v>
      </c>
      <c r="Z49" s="224">
        <v>0.35138888888888886</v>
      </c>
      <c r="AA49" s="220">
        <v>0.65</v>
      </c>
      <c r="AB49" s="221" t="s">
        <v>679</v>
      </c>
      <c r="AC49" s="225" t="s">
        <v>679</v>
      </c>
      <c r="AD49" s="222" t="s">
        <v>679</v>
      </c>
      <c r="AE49" s="225" t="s">
        <v>679</v>
      </c>
      <c r="AF49" s="203">
        <v>0.35</v>
      </c>
      <c r="AG49" s="203">
        <v>0.67986111111111114</v>
      </c>
      <c r="AH49" s="201">
        <v>0.3611111111111111</v>
      </c>
      <c r="AI49" s="203">
        <v>0.6479166666666667</v>
      </c>
      <c r="AJ49" s="201">
        <v>0.35486111111111113</v>
      </c>
      <c r="AK49" s="203">
        <v>0.66111111111111109</v>
      </c>
      <c r="AL49" s="201">
        <v>0.35</v>
      </c>
      <c r="AM49" s="203">
        <v>0.65486111111111112</v>
      </c>
      <c r="AN49" s="201">
        <v>0.36319444444444443</v>
      </c>
      <c r="AO49" s="203">
        <v>0.69305555555555554</v>
      </c>
      <c r="AP49" s="221" t="s">
        <v>679</v>
      </c>
      <c r="AQ49" s="225" t="s">
        <v>679</v>
      </c>
      <c r="AR49" s="222" t="s">
        <v>679</v>
      </c>
      <c r="AS49" s="225" t="s">
        <v>679</v>
      </c>
      <c r="AT49" s="203">
        <v>0.37430555555555556</v>
      </c>
      <c r="AU49" s="203">
        <v>0.66736111111111107</v>
      </c>
      <c r="AV49" s="201">
        <v>0.38472222222222224</v>
      </c>
      <c r="AW49" s="203">
        <v>0.6645833333333333</v>
      </c>
      <c r="AX49" s="201">
        <v>0.35347222222222224</v>
      </c>
      <c r="AY49" s="203">
        <v>0.65486111111111112</v>
      </c>
      <c r="AZ49" s="201">
        <v>0.3527777777777778</v>
      </c>
      <c r="BA49" s="203">
        <v>0.64722222222222225</v>
      </c>
      <c r="BB49" s="201">
        <v>0.36736111111111114</v>
      </c>
      <c r="BC49" s="203">
        <v>0.69930555555555551</v>
      </c>
      <c r="BD49" s="221" t="s">
        <v>679</v>
      </c>
      <c r="BE49" s="225" t="s">
        <v>679</v>
      </c>
      <c r="BF49" s="222" t="s">
        <v>679</v>
      </c>
      <c r="BG49" s="225" t="s">
        <v>679</v>
      </c>
      <c r="BH49" s="203">
        <v>0.34930555555555554</v>
      </c>
      <c r="BI49" s="203">
        <v>0.64722222222222225</v>
      </c>
      <c r="BJ49" s="201">
        <v>0.35138888888888886</v>
      </c>
      <c r="BK49" s="203">
        <v>0.67708333333333337</v>
      </c>
      <c r="BL49" s="314">
        <v>22</v>
      </c>
      <c r="BM49" s="315">
        <v>22</v>
      </c>
      <c r="BN49" s="421" t="s">
        <v>697</v>
      </c>
      <c r="BO49" s="419"/>
    </row>
    <row r="50" spans="1:67" ht="17.25">
      <c r="A50" s="217" t="s">
        <v>72</v>
      </c>
      <c r="B50" s="217" t="s">
        <v>76</v>
      </c>
      <c r="C50" s="218" t="s">
        <v>78</v>
      </c>
      <c r="D50" s="219"/>
      <c r="E50" s="219"/>
      <c r="F50" s="221" t="s">
        <v>679</v>
      </c>
      <c r="G50" s="222" t="s">
        <v>679</v>
      </c>
      <c r="H50" s="223" t="s">
        <v>679</v>
      </c>
      <c r="I50" s="219"/>
      <c r="J50" s="223" t="s">
        <v>679</v>
      </c>
      <c r="K50" s="219"/>
      <c r="L50" s="223" t="s">
        <v>679</v>
      </c>
      <c r="M50" s="219"/>
      <c r="N50" s="221" t="s">
        <v>679</v>
      </c>
      <c r="O50" s="222" t="s">
        <v>679</v>
      </c>
      <c r="P50" s="221" t="s">
        <v>679</v>
      </c>
      <c r="Q50" s="225" t="s">
        <v>679</v>
      </c>
      <c r="R50" s="219"/>
      <c r="S50" s="219"/>
      <c r="T50" s="223" t="s">
        <v>679</v>
      </c>
      <c r="U50" s="219"/>
      <c r="V50" s="223" t="s">
        <v>679</v>
      </c>
      <c r="W50" s="219"/>
      <c r="X50" s="223" t="s">
        <v>679</v>
      </c>
      <c r="Y50" s="219"/>
      <c r="Z50" s="223" t="s">
        <v>679</v>
      </c>
      <c r="AA50" s="295"/>
      <c r="AB50" s="221" t="s">
        <v>679</v>
      </c>
      <c r="AC50" s="225" t="s">
        <v>679</v>
      </c>
      <c r="AD50" s="222" t="s">
        <v>679</v>
      </c>
      <c r="AE50" s="225" t="s">
        <v>679</v>
      </c>
      <c r="AF50" s="202" t="s">
        <v>679</v>
      </c>
      <c r="AG50" s="202"/>
      <c r="AH50" s="200" t="s">
        <v>679</v>
      </c>
      <c r="AI50" s="202"/>
      <c r="AJ50" s="200" t="s">
        <v>679</v>
      </c>
      <c r="AK50" s="202"/>
      <c r="AL50" s="200" t="s">
        <v>679</v>
      </c>
      <c r="AM50" s="202"/>
      <c r="AN50" s="200" t="s">
        <v>679</v>
      </c>
      <c r="AO50" s="202"/>
      <c r="AP50" s="221" t="s">
        <v>679</v>
      </c>
      <c r="AQ50" s="225" t="s">
        <v>679</v>
      </c>
      <c r="AR50" s="222" t="s">
        <v>679</v>
      </c>
      <c r="AS50" s="225" t="s">
        <v>679</v>
      </c>
      <c r="AT50" s="202" t="s">
        <v>679</v>
      </c>
      <c r="AU50" s="202"/>
      <c r="AV50" s="200" t="s">
        <v>679</v>
      </c>
      <c r="AW50" s="202"/>
      <c r="AX50" s="200" t="s">
        <v>679</v>
      </c>
      <c r="AY50" s="202"/>
      <c r="AZ50" s="200" t="s">
        <v>679</v>
      </c>
      <c r="BA50" s="202"/>
      <c r="BB50" s="200" t="s">
        <v>679</v>
      </c>
      <c r="BC50" s="202"/>
      <c r="BD50" s="221" t="s">
        <v>679</v>
      </c>
      <c r="BE50" s="225" t="s">
        <v>679</v>
      </c>
      <c r="BF50" s="222" t="s">
        <v>679</v>
      </c>
      <c r="BG50" s="225" t="s">
        <v>679</v>
      </c>
      <c r="BH50" s="202" t="s">
        <v>679</v>
      </c>
      <c r="BI50" s="202"/>
      <c r="BJ50" s="200" t="s">
        <v>679</v>
      </c>
      <c r="BK50" s="202"/>
      <c r="BL50" s="314">
        <v>22</v>
      </c>
      <c r="BM50" s="315">
        <v>22</v>
      </c>
      <c r="BN50" s="421"/>
      <c r="BO50" s="419"/>
    </row>
    <row r="51" spans="1:67" ht="17.25">
      <c r="A51" s="217" t="s">
        <v>72</v>
      </c>
      <c r="B51" s="217" t="s">
        <v>76</v>
      </c>
      <c r="C51" s="218" t="s">
        <v>79</v>
      </c>
      <c r="D51" s="219"/>
      <c r="E51" s="219"/>
      <c r="F51" s="221" t="s">
        <v>679</v>
      </c>
      <c r="G51" s="222" t="s">
        <v>679</v>
      </c>
      <c r="H51" s="223" t="s">
        <v>679</v>
      </c>
      <c r="I51" s="219"/>
      <c r="J51" s="223" t="s">
        <v>679</v>
      </c>
      <c r="K51" s="219"/>
      <c r="L51" s="223" t="s">
        <v>679</v>
      </c>
      <c r="M51" s="219"/>
      <c r="N51" s="221" t="s">
        <v>679</v>
      </c>
      <c r="O51" s="222" t="s">
        <v>679</v>
      </c>
      <c r="P51" s="221" t="s">
        <v>679</v>
      </c>
      <c r="Q51" s="225" t="s">
        <v>679</v>
      </c>
      <c r="R51" s="219"/>
      <c r="S51" s="219"/>
      <c r="T51" s="223" t="s">
        <v>679</v>
      </c>
      <c r="U51" s="219"/>
      <c r="V51" s="223" t="s">
        <v>679</v>
      </c>
      <c r="W51" s="219"/>
      <c r="X51" s="223" t="s">
        <v>679</v>
      </c>
      <c r="Y51" s="219"/>
      <c r="Z51" s="223" t="s">
        <v>679</v>
      </c>
      <c r="AA51" s="219"/>
      <c r="AB51" s="221" t="s">
        <v>679</v>
      </c>
      <c r="AC51" s="225" t="s">
        <v>679</v>
      </c>
      <c r="AD51" s="222" t="s">
        <v>679</v>
      </c>
      <c r="AE51" s="225" t="s">
        <v>679</v>
      </c>
      <c r="AF51" s="202" t="s">
        <v>679</v>
      </c>
      <c r="AG51" s="202"/>
      <c r="AH51" s="200" t="s">
        <v>679</v>
      </c>
      <c r="AI51" s="202"/>
      <c r="AJ51" s="200" t="s">
        <v>679</v>
      </c>
      <c r="AK51" s="202"/>
      <c r="AL51" s="200" t="s">
        <v>679</v>
      </c>
      <c r="AM51" s="202"/>
      <c r="AN51" s="200" t="s">
        <v>679</v>
      </c>
      <c r="AO51" s="202"/>
      <c r="AP51" s="221" t="s">
        <v>679</v>
      </c>
      <c r="AQ51" s="225" t="s">
        <v>679</v>
      </c>
      <c r="AR51" s="222" t="s">
        <v>679</v>
      </c>
      <c r="AS51" s="225" t="s">
        <v>679</v>
      </c>
      <c r="AT51" s="202" t="s">
        <v>679</v>
      </c>
      <c r="AU51" s="202"/>
      <c r="AV51" s="200" t="s">
        <v>679</v>
      </c>
      <c r="AW51" s="202"/>
      <c r="AX51" s="200" t="s">
        <v>679</v>
      </c>
      <c r="AY51" s="202"/>
      <c r="AZ51" s="200" t="s">
        <v>679</v>
      </c>
      <c r="BA51" s="202"/>
      <c r="BB51" s="200" t="s">
        <v>679</v>
      </c>
      <c r="BC51" s="202"/>
      <c r="BD51" s="221" t="s">
        <v>679</v>
      </c>
      <c r="BE51" s="225" t="s">
        <v>679</v>
      </c>
      <c r="BF51" s="222" t="s">
        <v>679</v>
      </c>
      <c r="BG51" s="225" t="s">
        <v>679</v>
      </c>
      <c r="BH51" s="202" t="s">
        <v>679</v>
      </c>
      <c r="BI51" s="202"/>
      <c r="BJ51" s="200" t="s">
        <v>679</v>
      </c>
      <c r="BK51" s="202"/>
      <c r="BL51" s="314">
        <v>22</v>
      </c>
      <c r="BM51" s="315">
        <v>22</v>
      </c>
      <c r="BN51" s="421"/>
      <c r="BO51" s="419"/>
    </row>
    <row r="52" spans="1:67" ht="17.25">
      <c r="A52" s="217" t="s">
        <v>72</v>
      </c>
      <c r="B52" s="217" t="s">
        <v>76</v>
      </c>
      <c r="C52" s="218" t="s">
        <v>80</v>
      </c>
      <c r="D52" s="219"/>
      <c r="E52" s="219"/>
      <c r="F52" s="221" t="s">
        <v>679</v>
      </c>
      <c r="G52" s="222" t="s">
        <v>679</v>
      </c>
      <c r="H52" s="223" t="s">
        <v>679</v>
      </c>
      <c r="I52" s="219"/>
      <c r="J52" s="223" t="s">
        <v>679</v>
      </c>
      <c r="K52" s="219"/>
      <c r="L52" s="223" t="s">
        <v>679</v>
      </c>
      <c r="M52" s="219"/>
      <c r="N52" s="221" t="s">
        <v>679</v>
      </c>
      <c r="O52" s="222" t="s">
        <v>679</v>
      </c>
      <c r="P52" s="221" t="s">
        <v>679</v>
      </c>
      <c r="Q52" s="225" t="s">
        <v>679</v>
      </c>
      <c r="R52" s="219"/>
      <c r="S52" s="219"/>
      <c r="T52" s="223" t="s">
        <v>679</v>
      </c>
      <c r="U52" s="219"/>
      <c r="V52" s="223" t="s">
        <v>679</v>
      </c>
      <c r="W52" s="219"/>
      <c r="X52" s="223" t="s">
        <v>679</v>
      </c>
      <c r="Y52" s="219"/>
      <c r="Z52" s="223" t="s">
        <v>679</v>
      </c>
      <c r="AA52" s="219"/>
      <c r="AB52" s="221" t="s">
        <v>679</v>
      </c>
      <c r="AC52" s="225" t="s">
        <v>679</v>
      </c>
      <c r="AD52" s="222" t="s">
        <v>679</v>
      </c>
      <c r="AE52" s="225" t="s">
        <v>679</v>
      </c>
      <c r="AF52" s="202" t="s">
        <v>679</v>
      </c>
      <c r="AG52" s="202"/>
      <c r="AH52" s="200" t="s">
        <v>679</v>
      </c>
      <c r="AI52" s="202"/>
      <c r="AJ52" s="200" t="s">
        <v>679</v>
      </c>
      <c r="AK52" s="202"/>
      <c r="AL52" s="200" t="s">
        <v>679</v>
      </c>
      <c r="AM52" s="202"/>
      <c r="AN52" s="200" t="s">
        <v>679</v>
      </c>
      <c r="AO52" s="202"/>
      <c r="AP52" s="221" t="s">
        <v>679</v>
      </c>
      <c r="AQ52" s="225" t="s">
        <v>679</v>
      </c>
      <c r="AR52" s="222" t="s">
        <v>679</v>
      </c>
      <c r="AS52" s="225" t="s">
        <v>679</v>
      </c>
      <c r="AT52" s="202" t="s">
        <v>679</v>
      </c>
      <c r="AU52" s="202"/>
      <c r="AV52" s="200" t="s">
        <v>679</v>
      </c>
      <c r="AW52" s="202"/>
      <c r="AX52" s="200" t="s">
        <v>679</v>
      </c>
      <c r="AY52" s="202"/>
      <c r="AZ52" s="200" t="s">
        <v>679</v>
      </c>
      <c r="BA52" s="202"/>
      <c r="BB52" s="200" t="s">
        <v>679</v>
      </c>
      <c r="BC52" s="202"/>
      <c r="BD52" s="221" t="s">
        <v>679</v>
      </c>
      <c r="BE52" s="225" t="s">
        <v>679</v>
      </c>
      <c r="BF52" s="222" t="s">
        <v>679</v>
      </c>
      <c r="BG52" s="225" t="s">
        <v>679</v>
      </c>
      <c r="BH52" s="202" t="s">
        <v>679</v>
      </c>
      <c r="BI52" s="202"/>
      <c r="BJ52" s="200" t="s">
        <v>679</v>
      </c>
      <c r="BK52" s="202"/>
      <c r="BL52" s="314">
        <v>22</v>
      </c>
      <c r="BM52" s="315">
        <v>22</v>
      </c>
      <c r="BN52" s="421"/>
      <c r="BO52" s="419"/>
    </row>
    <row r="53" spans="1:67" ht="17.25">
      <c r="A53" s="259" t="s">
        <v>72</v>
      </c>
      <c r="B53" s="259" t="s">
        <v>76</v>
      </c>
      <c r="C53" s="260" t="s">
        <v>81</v>
      </c>
      <c r="D53" s="230" t="s">
        <v>679</v>
      </c>
      <c r="E53" s="230" t="s">
        <v>679</v>
      </c>
      <c r="F53" s="231" t="s">
        <v>679</v>
      </c>
      <c r="G53" s="232" t="s">
        <v>679</v>
      </c>
      <c r="H53" s="233" t="s">
        <v>679</v>
      </c>
      <c r="I53" s="230" t="s">
        <v>679</v>
      </c>
      <c r="J53" s="233" t="s">
        <v>679</v>
      </c>
      <c r="K53" s="230" t="s">
        <v>679</v>
      </c>
      <c r="L53" s="233" t="s">
        <v>679</v>
      </c>
      <c r="M53" s="230" t="s">
        <v>679</v>
      </c>
      <c r="N53" s="231" t="s">
        <v>679</v>
      </c>
      <c r="O53" s="232" t="s">
        <v>679</v>
      </c>
      <c r="P53" s="231" t="s">
        <v>679</v>
      </c>
      <c r="Q53" s="234" t="s">
        <v>679</v>
      </c>
      <c r="R53" s="230" t="s">
        <v>679</v>
      </c>
      <c r="S53" s="230" t="s">
        <v>679</v>
      </c>
      <c r="T53" s="233" t="s">
        <v>679</v>
      </c>
      <c r="U53" s="230" t="s">
        <v>679</v>
      </c>
      <c r="V53" s="233" t="s">
        <v>679</v>
      </c>
      <c r="W53" s="230" t="s">
        <v>679</v>
      </c>
      <c r="X53" s="233" t="s">
        <v>679</v>
      </c>
      <c r="Y53" s="230" t="s">
        <v>679</v>
      </c>
      <c r="Z53" s="233" t="s">
        <v>679</v>
      </c>
      <c r="AA53" s="230" t="s">
        <v>679</v>
      </c>
      <c r="AB53" s="231" t="s">
        <v>679</v>
      </c>
      <c r="AC53" s="234" t="s">
        <v>679</v>
      </c>
      <c r="AD53" s="232" t="s">
        <v>679</v>
      </c>
      <c r="AE53" s="234" t="s">
        <v>679</v>
      </c>
      <c r="AF53" s="205" t="s">
        <v>679</v>
      </c>
      <c r="AG53" s="205" t="s">
        <v>679</v>
      </c>
      <c r="AH53" s="204" t="s">
        <v>679</v>
      </c>
      <c r="AI53" s="205" t="s">
        <v>679</v>
      </c>
      <c r="AJ53" s="204" t="s">
        <v>679</v>
      </c>
      <c r="AK53" s="205" t="s">
        <v>679</v>
      </c>
      <c r="AL53" s="204" t="s">
        <v>679</v>
      </c>
      <c r="AM53" s="205" t="s">
        <v>679</v>
      </c>
      <c r="AN53" s="204" t="s">
        <v>679</v>
      </c>
      <c r="AO53" s="205" t="s">
        <v>679</v>
      </c>
      <c r="AP53" s="231" t="s">
        <v>679</v>
      </c>
      <c r="AQ53" s="234" t="s">
        <v>679</v>
      </c>
      <c r="AR53" s="232" t="s">
        <v>679</v>
      </c>
      <c r="AS53" s="234" t="s">
        <v>679</v>
      </c>
      <c r="AT53" s="205" t="s">
        <v>679</v>
      </c>
      <c r="AU53" s="205" t="s">
        <v>679</v>
      </c>
      <c r="AV53" s="204" t="s">
        <v>679</v>
      </c>
      <c r="AW53" s="205" t="s">
        <v>679</v>
      </c>
      <c r="AX53" s="204" t="s">
        <v>679</v>
      </c>
      <c r="AY53" s="205" t="s">
        <v>679</v>
      </c>
      <c r="AZ53" s="204" t="s">
        <v>679</v>
      </c>
      <c r="BA53" s="205" t="s">
        <v>679</v>
      </c>
      <c r="BB53" s="204" t="s">
        <v>679</v>
      </c>
      <c r="BC53" s="205" t="s">
        <v>679</v>
      </c>
      <c r="BD53" s="231" t="s">
        <v>679</v>
      </c>
      <c r="BE53" s="234" t="s">
        <v>679</v>
      </c>
      <c r="BF53" s="232" t="s">
        <v>679</v>
      </c>
      <c r="BG53" s="234" t="s">
        <v>679</v>
      </c>
      <c r="BH53" s="205" t="s">
        <v>679</v>
      </c>
      <c r="BI53" s="205" t="s">
        <v>679</v>
      </c>
      <c r="BJ53" s="204" t="s">
        <v>679</v>
      </c>
      <c r="BK53" s="205" t="s">
        <v>679</v>
      </c>
      <c r="BL53" s="316">
        <v>22</v>
      </c>
      <c r="BM53" s="317">
        <v>22</v>
      </c>
      <c r="BN53" s="422"/>
      <c r="BO53" s="419"/>
    </row>
    <row r="54" spans="1:67" ht="15" customHeight="1">
      <c r="A54" s="217" t="s">
        <v>72</v>
      </c>
      <c r="B54" s="217" t="s">
        <v>82</v>
      </c>
      <c r="C54" s="218" t="s">
        <v>83</v>
      </c>
      <c r="D54" s="219"/>
      <c r="E54" s="219"/>
      <c r="F54" s="221" t="s">
        <v>679</v>
      </c>
      <c r="G54" s="222" t="s">
        <v>679</v>
      </c>
      <c r="H54" s="224">
        <v>0.40486111111111112</v>
      </c>
      <c r="I54" s="219"/>
      <c r="J54" s="223" t="s">
        <v>679</v>
      </c>
      <c r="K54" s="219"/>
      <c r="L54" s="223" t="s">
        <v>679</v>
      </c>
      <c r="M54" s="219"/>
      <c r="N54" s="221" t="s">
        <v>679</v>
      </c>
      <c r="O54" s="222" t="s">
        <v>679</v>
      </c>
      <c r="P54" s="221" t="s">
        <v>679</v>
      </c>
      <c r="Q54" s="225" t="s">
        <v>679</v>
      </c>
      <c r="R54" s="220">
        <v>0.41736111111111113</v>
      </c>
      <c r="S54" s="219"/>
      <c r="T54" s="224">
        <v>0.42569444444444443</v>
      </c>
      <c r="U54" s="220">
        <v>0.6381944444444444</v>
      </c>
      <c r="V54" s="224">
        <v>0.40208333333333335</v>
      </c>
      <c r="W54" s="219"/>
      <c r="X54" s="223" t="s">
        <v>679</v>
      </c>
      <c r="Y54" s="219"/>
      <c r="Z54" s="223" t="s">
        <v>679</v>
      </c>
      <c r="AA54" s="219"/>
      <c r="AB54" s="221" t="s">
        <v>679</v>
      </c>
      <c r="AC54" s="225" t="s">
        <v>679</v>
      </c>
      <c r="AD54" s="222" t="s">
        <v>679</v>
      </c>
      <c r="AE54" s="225" t="s">
        <v>679</v>
      </c>
      <c r="AF54" s="203">
        <v>0.40694444444444444</v>
      </c>
      <c r="AG54" s="203">
        <v>0.62916666666666665</v>
      </c>
      <c r="AH54" s="201">
        <v>0.38680555555555557</v>
      </c>
      <c r="AI54" s="203">
        <v>0.64513888888888893</v>
      </c>
      <c r="AJ54" s="201">
        <v>0.40763888888888888</v>
      </c>
      <c r="AK54" s="203">
        <v>0.62847222222222221</v>
      </c>
      <c r="AL54" s="201">
        <v>0.38958333333333334</v>
      </c>
      <c r="AM54" s="203">
        <v>0.63749999999999996</v>
      </c>
      <c r="AN54" s="201">
        <v>0.39791666666666664</v>
      </c>
      <c r="AO54" s="203">
        <v>0.64513888888888893</v>
      </c>
      <c r="AP54" s="221" t="s">
        <v>679</v>
      </c>
      <c r="AQ54" s="225" t="s">
        <v>679</v>
      </c>
      <c r="AR54" s="222" t="s">
        <v>679</v>
      </c>
      <c r="AS54" s="225" t="s">
        <v>679</v>
      </c>
      <c r="AT54" s="203">
        <v>0.39166666666666666</v>
      </c>
      <c r="AU54" s="203">
        <v>0.62708333333333333</v>
      </c>
      <c r="AV54" s="201">
        <v>0.39097222222222222</v>
      </c>
      <c r="AW54" s="203">
        <v>0.6875</v>
      </c>
      <c r="AX54" s="201">
        <v>0.44583333333333336</v>
      </c>
      <c r="AY54" s="203">
        <v>0.71458333333333335</v>
      </c>
      <c r="AZ54" s="201">
        <v>0.4</v>
      </c>
      <c r="BA54" s="203">
        <v>0.62430555555555556</v>
      </c>
      <c r="BB54" s="201">
        <v>0.39861111111111114</v>
      </c>
      <c r="BC54" s="203">
        <v>0.69861111111111107</v>
      </c>
      <c r="BD54" s="221" t="s">
        <v>679</v>
      </c>
      <c r="BE54" s="225" t="s">
        <v>679</v>
      </c>
      <c r="BF54" s="222" t="s">
        <v>679</v>
      </c>
      <c r="BG54" s="225" t="s">
        <v>679</v>
      </c>
      <c r="BH54" s="203">
        <v>0.38055555555555554</v>
      </c>
      <c r="BI54" s="203">
        <v>0.66874999999999996</v>
      </c>
      <c r="BJ54" s="201">
        <v>0.41666666666666669</v>
      </c>
      <c r="BK54" s="203">
        <v>0.63749999999999996</v>
      </c>
      <c r="BL54" s="314">
        <v>20</v>
      </c>
      <c r="BM54" s="315">
        <v>18</v>
      </c>
      <c r="BN54" s="421" t="s">
        <v>681</v>
      </c>
      <c r="BO54" s="419"/>
    </row>
    <row r="55" spans="1:67" ht="17.25">
      <c r="A55" s="259" t="s">
        <v>72</v>
      </c>
      <c r="B55" s="259" t="s">
        <v>82</v>
      </c>
      <c r="C55" s="260" t="s">
        <v>84</v>
      </c>
      <c r="D55" s="246">
        <v>0.3923611111111111</v>
      </c>
      <c r="E55" s="230" t="s">
        <v>679</v>
      </c>
      <c r="F55" s="231" t="s">
        <v>679</v>
      </c>
      <c r="G55" s="232" t="s">
        <v>679</v>
      </c>
      <c r="H55" s="233" t="s">
        <v>679</v>
      </c>
      <c r="I55" s="230" t="s">
        <v>679</v>
      </c>
      <c r="J55" s="233" t="s">
        <v>679</v>
      </c>
      <c r="K55" s="246">
        <v>0.63888888888888884</v>
      </c>
      <c r="L55" s="247">
        <v>0.37847222222222221</v>
      </c>
      <c r="M55" s="246">
        <v>0.65208333333333335</v>
      </c>
      <c r="N55" s="231" t="s">
        <v>679</v>
      </c>
      <c r="O55" s="232" t="s">
        <v>679</v>
      </c>
      <c r="P55" s="231" t="s">
        <v>679</v>
      </c>
      <c r="Q55" s="234" t="s">
        <v>679</v>
      </c>
      <c r="R55" s="230" t="s">
        <v>679</v>
      </c>
      <c r="S55" s="230" t="s">
        <v>679</v>
      </c>
      <c r="T55" s="233" t="s">
        <v>679</v>
      </c>
      <c r="U55" s="230" t="s">
        <v>679</v>
      </c>
      <c r="V55" s="233" t="s">
        <v>679</v>
      </c>
      <c r="W55" s="246">
        <v>0.69027777777777777</v>
      </c>
      <c r="X55" s="247">
        <v>0.40069444444444446</v>
      </c>
      <c r="Y55" s="246">
        <v>0.62986111111111109</v>
      </c>
      <c r="Z55" s="247">
        <v>0.36249999999999999</v>
      </c>
      <c r="AA55" s="246">
        <v>0.65694444444444444</v>
      </c>
      <c r="AB55" s="231" t="s">
        <v>679</v>
      </c>
      <c r="AC55" s="234" t="s">
        <v>679</v>
      </c>
      <c r="AD55" s="232" t="s">
        <v>679</v>
      </c>
      <c r="AE55" s="234" t="s">
        <v>679</v>
      </c>
      <c r="AF55" s="207">
        <v>0.40694444444444444</v>
      </c>
      <c r="AG55" s="207">
        <v>0.62916666666666665</v>
      </c>
      <c r="AH55" s="206">
        <v>0.38680555555555557</v>
      </c>
      <c r="AI55" s="207">
        <v>0.64513888888888893</v>
      </c>
      <c r="AJ55" s="206">
        <v>0.40763888888888888</v>
      </c>
      <c r="AK55" s="207">
        <v>0.62847222222222221</v>
      </c>
      <c r="AL55" s="206">
        <v>0.38958333333333334</v>
      </c>
      <c r="AM55" s="207">
        <v>0.63749999999999996</v>
      </c>
      <c r="AN55" s="206">
        <v>0.39791666666666664</v>
      </c>
      <c r="AO55" s="207">
        <v>0.64513888888888893</v>
      </c>
      <c r="AP55" s="231" t="s">
        <v>679</v>
      </c>
      <c r="AQ55" s="234" t="s">
        <v>679</v>
      </c>
      <c r="AR55" s="232" t="s">
        <v>679</v>
      </c>
      <c r="AS55" s="234" t="s">
        <v>679</v>
      </c>
      <c r="AT55" s="207">
        <v>0.39166666666666666</v>
      </c>
      <c r="AU55" s="207">
        <v>0.62708333333333333</v>
      </c>
      <c r="AV55" s="206">
        <v>0.39097222222222222</v>
      </c>
      <c r="AW55" s="207">
        <v>0.6875</v>
      </c>
      <c r="AX55" s="206">
        <v>0.44583333333333336</v>
      </c>
      <c r="AY55" s="207">
        <v>0.71458333333333335</v>
      </c>
      <c r="AZ55" s="206">
        <v>0.4</v>
      </c>
      <c r="BA55" s="207">
        <v>0.62430555555555556</v>
      </c>
      <c r="BB55" s="206">
        <v>0.39861111111111114</v>
      </c>
      <c r="BC55" s="207">
        <v>0.69861111111111107</v>
      </c>
      <c r="BD55" s="231" t="s">
        <v>679</v>
      </c>
      <c r="BE55" s="234" t="s">
        <v>679</v>
      </c>
      <c r="BF55" s="232" t="s">
        <v>679</v>
      </c>
      <c r="BG55" s="234" t="s">
        <v>679</v>
      </c>
      <c r="BH55" s="207">
        <v>0.38055555555555554</v>
      </c>
      <c r="BI55" s="207">
        <v>0.66874999999999996</v>
      </c>
      <c r="BJ55" s="206">
        <v>0.41666666666666669</v>
      </c>
      <c r="BK55" s="207">
        <v>0.63749999999999996</v>
      </c>
      <c r="BL55" s="316">
        <v>20</v>
      </c>
      <c r="BM55" s="317">
        <v>18</v>
      </c>
      <c r="BN55" s="422"/>
      <c r="BO55" s="419"/>
    </row>
    <row r="56" spans="1:67" ht="15" customHeight="1">
      <c r="A56" s="217" t="s">
        <v>72</v>
      </c>
      <c r="B56" s="217" t="s">
        <v>85</v>
      </c>
      <c r="C56" s="218" t="s">
        <v>86</v>
      </c>
      <c r="D56" s="220">
        <v>0.39027777777777778</v>
      </c>
      <c r="E56" s="220">
        <v>0.63402777777777775</v>
      </c>
      <c r="F56" s="221" t="s">
        <v>679</v>
      </c>
      <c r="G56" s="222" t="s">
        <v>679</v>
      </c>
      <c r="H56" s="224">
        <v>0.37847222222222221</v>
      </c>
      <c r="I56" s="220">
        <v>0.70138888888888884</v>
      </c>
      <c r="J56" s="224">
        <v>0.38680555555555557</v>
      </c>
      <c r="K56" s="242">
        <v>0.64722222222222225</v>
      </c>
      <c r="L56" s="224">
        <v>0.38680555555555557</v>
      </c>
      <c r="M56" s="220">
        <v>0.65138888888888891</v>
      </c>
      <c r="N56" s="243">
        <v>0.38333333333333336</v>
      </c>
      <c r="O56" s="222" t="s">
        <v>679</v>
      </c>
      <c r="P56" s="221" t="s">
        <v>679</v>
      </c>
      <c r="Q56" s="225" t="s">
        <v>679</v>
      </c>
      <c r="R56" s="220">
        <v>0.41597222222222224</v>
      </c>
      <c r="S56" s="220">
        <v>0.62847222222222221</v>
      </c>
      <c r="T56" s="224">
        <v>0.40833333333333333</v>
      </c>
      <c r="U56" s="220">
        <v>0.64097222222222228</v>
      </c>
      <c r="V56" s="224">
        <v>0.38472222222222224</v>
      </c>
      <c r="W56" s="220">
        <v>0.65069444444444446</v>
      </c>
      <c r="X56" s="224">
        <v>0.37708333333333333</v>
      </c>
      <c r="Y56" s="220">
        <v>0.63055555555555554</v>
      </c>
      <c r="Z56" s="223" t="s">
        <v>679</v>
      </c>
      <c r="AA56" s="219"/>
      <c r="AB56" s="221" t="s">
        <v>679</v>
      </c>
      <c r="AC56" s="225" t="s">
        <v>679</v>
      </c>
      <c r="AD56" s="222" t="s">
        <v>679</v>
      </c>
      <c r="AE56" s="225" t="s">
        <v>679</v>
      </c>
      <c r="AF56" s="203">
        <v>0.41041666666666665</v>
      </c>
      <c r="AG56" s="203">
        <v>0.64513888888888893</v>
      </c>
      <c r="AH56" s="201">
        <v>0.38611111111111113</v>
      </c>
      <c r="AI56" s="203">
        <v>0.65208333333333335</v>
      </c>
      <c r="AJ56" s="201">
        <v>0.43194444444444446</v>
      </c>
      <c r="AK56" s="203">
        <v>0.66805555555555551</v>
      </c>
      <c r="AL56" s="201">
        <v>0.3888888888888889</v>
      </c>
      <c r="AM56" s="203">
        <v>0.64166666666666672</v>
      </c>
      <c r="AN56" s="201">
        <v>0.41180555555555554</v>
      </c>
      <c r="AO56" s="203">
        <v>0.64444444444444449</v>
      </c>
      <c r="AP56" s="221" t="s">
        <v>679</v>
      </c>
      <c r="AQ56" s="225" t="s">
        <v>679</v>
      </c>
      <c r="AR56" s="222" t="s">
        <v>679</v>
      </c>
      <c r="AS56" s="225" t="s">
        <v>679</v>
      </c>
      <c r="AT56" s="203">
        <v>0.37638888888888888</v>
      </c>
      <c r="AU56" s="203">
        <v>0.64861111111111114</v>
      </c>
      <c r="AV56" s="201">
        <v>0.38194444444444442</v>
      </c>
      <c r="AW56" s="203">
        <v>0.65833333333333333</v>
      </c>
      <c r="AX56" s="201">
        <v>0.38472222222222224</v>
      </c>
      <c r="AY56" s="203">
        <v>0.65</v>
      </c>
      <c r="AZ56" s="201">
        <v>0.39027777777777778</v>
      </c>
      <c r="BA56" s="203">
        <v>0.625</v>
      </c>
      <c r="BB56" s="201">
        <v>0.38680555555555557</v>
      </c>
      <c r="BC56" s="203">
        <v>0.71666666666666667</v>
      </c>
      <c r="BD56" s="221" t="s">
        <v>679</v>
      </c>
      <c r="BE56" s="225" t="s">
        <v>679</v>
      </c>
      <c r="BF56" s="222" t="s">
        <v>679</v>
      </c>
      <c r="BG56" s="225" t="s">
        <v>679</v>
      </c>
      <c r="BH56" s="203">
        <v>0.42222222222222222</v>
      </c>
      <c r="BI56" s="203">
        <v>0.6381944444444444</v>
      </c>
      <c r="BJ56" s="201">
        <v>0.39166666666666666</v>
      </c>
      <c r="BK56" s="203">
        <v>0.66805555555555551</v>
      </c>
      <c r="BL56" s="314">
        <v>20</v>
      </c>
      <c r="BM56" s="315">
        <v>20</v>
      </c>
      <c r="BN56" s="421" t="s">
        <v>684</v>
      </c>
      <c r="BO56" s="419"/>
    </row>
    <row r="57" spans="1:67" ht="17.25">
      <c r="A57" s="217" t="s">
        <v>72</v>
      </c>
      <c r="B57" s="217" t="s">
        <v>85</v>
      </c>
      <c r="C57" s="218" t="s">
        <v>87</v>
      </c>
      <c r="D57" s="219"/>
      <c r="E57" s="219"/>
      <c r="F57" s="221" t="s">
        <v>679</v>
      </c>
      <c r="G57" s="222" t="s">
        <v>679</v>
      </c>
      <c r="H57" s="223" t="s">
        <v>679</v>
      </c>
      <c r="I57" s="219"/>
      <c r="J57" s="223" t="s">
        <v>679</v>
      </c>
      <c r="K57" s="219"/>
      <c r="L57" s="223" t="s">
        <v>679</v>
      </c>
      <c r="M57" s="219"/>
      <c r="N57" s="221" t="s">
        <v>679</v>
      </c>
      <c r="O57" s="222" t="s">
        <v>679</v>
      </c>
      <c r="P57" s="221" t="s">
        <v>679</v>
      </c>
      <c r="Q57" s="225" t="s">
        <v>679</v>
      </c>
      <c r="R57" s="219"/>
      <c r="S57" s="219"/>
      <c r="T57" s="223" t="s">
        <v>679</v>
      </c>
      <c r="U57" s="219"/>
      <c r="V57" s="223" t="s">
        <v>679</v>
      </c>
      <c r="W57" s="219"/>
      <c r="X57" s="223" t="s">
        <v>679</v>
      </c>
      <c r="Y57" s="219"/>
      <c r="Z57" s="223" t="s">
        <v>679</v>
      </c>
      <c r="AA57" s="219"/>
      <c r="AB57" s="221" t="s">
        <v>679</v>
      </c>
      <c r="AC57" s="225" t="s">
        <v>679</v>
      </c>
      <c r="AD57" s="222" t="s">
        <v>679</v>
      </c>
      <c r="AE57" s="225" t="s">
        <v>679</v>
      </c>
      <c r="AF57" s="202" t="s">
        <v>679</v>
      </c>
      <c r="AG57" s="202"/>
      <c r="AH57" s="200" t="s">
        <v>679</v>
      </c>
      <c r="AI57" s="202"/>
      <c r="AJ57" s="200" t="s">
        <v>679</v>
      </c>
      <c r="AK57" s="202"/>
      <c r="AL57" s="200" t="s">
        <v>679</v>
      </c>
      <c r="AM57" s="202"/>
      <c r="AN57" s="200" t="s">
        <v>679</v>
      </c>
      <c r="AO57" s="202"/>
      <c r="AP57" s="221" t="s">
        <v>679</v>
      </c>
      <c r="AQ57" s="225" t="s">
        <v>679</v>
      </c>
      <c r="AR57" s="222" t="s">
        <v>679</v>
      </c>
      <c r="AS57" s="225" t="s">
        <v>679</v>
      </c>
      <c r="AT57" s="202" t="s">
        <v>679</v>
      </c>
      <c r="AU57" s="202"/>
      <c r="AV57" s="200" t="s">
        <v>679</v>
      </c>
      <c r="AW57" s="202"/>
      <c r="AX57" s="200" t="s">
        <v>679</v>
      </c>
      <c r="AY57" s="202"/>
      <c r="AZ57" s="200" t="s">
        <v>679</v>
      </c>
      <c r="BA57" s="202"/>
      <c r="BB57" s="200" t="s">
        <v>679</v>
      </c>
      <c r="BC57" s="202"/>
      <c r="BD57" s="221" t="s">
        <v>679</v>
      </c>
      <c r="BE57" s="225" t="s">
        <v>679</v>
      </c>
      <c r="BF57" s="222" t="s">
        <v>679</v>
      </c>
      <c r="BG57" s="225" t="s">
        <v>679</v>
      </c>
      <c r="BH57" s="202" t="s">
        <v>679</v>
      </c>
      <c r="BI57" s="202"/>
      <c r="BJ57" s="200" t="s">
        <v>679</v>
      </c>
      <c r="BK57" s="202"/>
      <c r="BL57" s="314">
        <v>20</v>
      </c>
      <c r="BM57" s="315">
        <v>20</v>
      </c>
      <c r="BN57" s="421"/>
      <c r="BO57" s="419"/>
    </row>
    <row r="58" spans="1:67" ht="17.25">
      <c r="A58" s="259" t="s">
        <v>72</v>
      </c>
      <c r="B58" s="259" t="s">
        <v>85</v>
      </c>
      <c r="C58" s="260" t="s">
        <v>88</v>
      </c>
      <c r="D58" s="230" t="s">
        <v>679</v>
      </c>
      <c r="E58" s="230" t="s">
        <v>679</v>
      </c>
      <c r="F58" s="231" t="s">
        <v>679</v>
      </c>
      <c r="G58" s="232" t="s">
        <v>679</v>
      </c>
      <c r="H58" s="233" t="s">
        <v>679</v>
      </c>
      <c r="I58" s="230" t="s">
        <v>679</v>
      </c>
      <c r="J58" s="233" t="s">
        <v>679</v>
      </c>
      <c r="K58" s="230" t="s">
        <v>679</v>
      </c>
      <c r="L58" s="233" t="s">
        <v>679</v>
      </c>
      <c r="M58" s="230" t="s">
        <v>679</v>
      </c>
      <c r="N58" s="231" t="s">
        <v>679</v>
      </c>
      <c r="O58" s="232" t="s">
        <v>679</v>
      </c>
      <c r="P58" s="231" t="s">
        <v>679</v>
      </c>
      <c r="Q58" s="234" t="s">
        <v>679</v>
      </c>
      <c r="R58" s="230" t="s">
        <v>679</v>
      </c>
      <c r="S58" s="230" t="s">
        <v>679</v>
      </c>
      <c r="T58" s="233" t="s">
        <v>679</v>
      </c>
      <c r="U58" s="230" t="s">
        <v>679</v>
      </c>
      <c r="V58" s="233" t="s">
        <v>679</v>
      </c>
      <c r="W58" s="230" t="s">
        <v>679</v>
      </c>
      <c r="X58" s="233" t="s">
        <v>679</v>
      </c>
      <c r="Y58" s="230" t="s">
        <v>679</v>
      </c>
      <c r="Z58" s="233" t="s">
        <v>679</v>
      </c>
      <c r="AA58" s="230" t="s">
        <v>679</v>
      </c>
      <c r="AB58" s="231" t="s">
        <v>679</v>
      </c>
      <c r="AC58" s="234" t="s">
        <v>679</v>
      </c>
      <c r="AD58" s="232" t="s">
        <v>679</v>
      </c>
      <c r="AE58" s="234" t="s">
        <v>679</v>
      </c>
      <c r="AF58" s="207">
        <v>0.41041666666666665</v>
      </c>
      <c r="AG58" s="205" t="s">
        <v>679</v>
      </c>
      <c r="AH58" s="204" t="s">
        <v>679</v>
      </c>
      <c r="AI58" s="205" t="s">
        <v>679</v>
      </c>
      <c r="AJ58" s="204" t="s">
        <v>679</v>
      </c>
      <c r="AK58" s="205" t="s">
        <v>679</v>
      </c>
      <c r="AL58" s="204" t="s">
        <v>679</v>
      </c>
      <c r="AM58" s="205" t="s">
        <v>679</v>
      </c>
      <c r="AN58" s="204" t="s">
        <v>679</v>
      </c>
      <c r="AO58" s="205" t="s">
        <v>679</v>
      </c>
      <c r="AP58" s="231" t="s">
        <v>679</v>
      </c>
      <c r="AQ58" s="234" t="s">
        <v>679</v>
      </c>
      <c r="AR58" s="232" t="s">
        <v>679</v>
      </c>
      <c r="AS58" s="234" t="s">
        <v>679</v>
      </c>
      <c r="AT58" s="205" t="s">
        <v>679</v>
      </c>
      <c r="AU58" s="205" t="s">
        <v>679</v>
      </c>
      <c r="AV58" s="204" t="s">
        <v>679</v>
      </c>
      <c r="AW58" s="205" t="s">
        <v>679</v>
      </c>
      <c r="AX58" s="204" t="s">
        <v>679</v>
      </c>
      <c r="AY58" s="205" t="s">
        <v>679</v>
      </c>
      <c r="AZ58" s="204" t="s">
        <v>679</v>
      </c>
      <c r="BA58" s="205" t="s">
        <v>679</v>
      </c>
      <c r="BB58" s="204" t="s">
        <v>679</v>
      </c>
      <c r="BC58" s="205" t="s">
        <v>679</v>
      </c>
      <c r="BD58" s="231" t="s">
        <v>679</v>
      </c>
      <c r="BE58" s="234" t="s">
        <v>679</v>
      </c>
      <c r="BF58" s="232" t="s">
        <v>679</v>
      </c>
      <c r="BG58" s="234" t="s">
        <v>679</v>
      </c>
      <c r="BH58" s="205" t="s">
        <v>679</v>
      </c>
      <c r="BI58" s="205" t="s">
        <v>679</v>
      </c>
      <c r="BJ58" s="204" t="s">
        <v>679</v>
      </c>
      <c r="BK58" s="205" t="s">
        <v>679</v>
      </c>
      <c r="BL58" s="316">
        <v>20</v>
      </c>
      <c r="BM58" s="317">
        <v>20</v>
      </c>
      <c r="BN58" s="422"/>
      <c r="BO58" s="419"/>
    </row>
    <row r="59" spans="1:67" ht="15" customHeight="1">
      <c r="A59" s="217" t="s">
        <v>72</v>
      </c>
      <c r="B59" s="217" t="s">
        <v>91</v>
      </c>
      <c r="C59" s="218" t="s">
        <v>92</v>
      </c>
      <c r="D59" s="220">
        <v>0.42152777777777778</v>
      </c>
      <c r="E59" s="220">
        <v>0.76458333333333328</v>
      </c>
      <c r="F59" s="243">
        <v>0.43888888888888888</v>
      </c>
      <c r="G59" s="244">
        <v>0.80833333333333335</v>
      </c>
      <c r="H59" s="224">
        <v>0.40625</v>
      </c>
      <c r="I59" s="220">
        <v>0.69305555555555554</v>
      </c>
      <c r="J59" s="224">
        <v>0.39166666666666666</v>
      </c>
      <c r="K59" s="220">
        <v>0.71180555555555558</v>
      </c>
      <c r="L59" s="224">
        <v>0.4152777777777778</v>
      </c>
      <c r="M59" s="220">
        <v>0.65277777777777779</v>
      </c>
      <c r="N59" s="243">
        <v>0.49375000000000002</v>
      </c>
      <c r="O59" s="222" t="s">
        <v>679</v>
      </c>
      <c r="P59" s="221" t="s">
        <v>679</v>
      </c>
      <c r="Q59" s="225" t="s">
        <v>679</v>
      </c>
      <c r="R59" s="220">
        <v>0.4284722222222222</v>
      </c>
      <c r="S59" s="220">
        <v>0.64861111111111114</v>
      </c>
      <c r="T59" s="224">
        <v>0.39583333333333331</v>
      </c>
      <c r="U59" s="219"/>
      <c r="V59" s="224">
        <v>0.41319444444444442</v>
      </c>
      <c r="W59" s="220">
        <v>0.66388888888888886</v>
      </c>
      <c r="X59" s="224">
        <v>0.39652777777777776</v>
      </c>
      <c r="Y59" s="220">
        <v>0.63263888888888886</v>
      </c>
      <c r="Z59" s="224">
        <v>0.40208333333333335</v>
      </c>
      <c r="AA59" s="220">
        <v>0.43125000000000002</v>
      </c>
      <c r="AB59" s="221" t="s">
        <v>679</v>
      </c>
      <c r="AC59" s="225" t="s">
        <v>679</v>
      </c>
      <c r="AD59" s="222" t="s">
        <v>679</v>
      </c>
      <c r="AE59" s="225" t="s">
        <v>679</v>
      </c>
      <c r="AF59" s="203">
        <v>0.39791666666666664</v>
      </c>
      <c r="AG59" s="203">
        <v>0.69097222222222221</v>
      </c>
      <c r="AH59" s="201">
        <v>0.3888888888888889</v>
      </c>
      <c r="AI59" s="203">
        <v>0.7006944444444444</v>
      </c>
      <c r="AJ59" s="201">
        <v>0.40555555555555556</v>
      </c>
      <c r="AK59" s="203">
        <v>0.65555555555555556</v>
      </c>
      <c r="AL59" s="201">
        <v>0.38194444444444442</v>
      </c>
      <c r="AM59" s="203">
        <v>0.74375000000000002</v>
      </c>
      <c r="AN59" s="201">
        <v>0.40208333333333335</v>
      </c>
      <c r="AO59" s="203">
        <v>0.68958333333333333</v>
      </c>
      <c r="AP59" s="221" t="s">
        <v>679</v>
      </c>
      <c r="AQ59" s="225" t="s">
        <v>679</v>
      </c>
      <c r="AR59" s="222" t="s">
        <v>679</v>
      </c>
      <c r="AS59" s="225" t="s">
        <v>679</v>
      </c>
      <c r="AT59" s="203">
        <v>0.4201388888888889</v>
      </c>
      <c r="AU59" s="203">
        <v>0.65833333333333333</v>
      </c>
      <c r="AV59" s="201">
        <v>0.41388888888888886</v>
      </c>
      <c r="AW59" s="203">
        <v>0.65416666666666667</v>
      </c>
      <c r="AX59" s="201">
        <v>0.42638888888888887</v>
      </c>
      <c r="AY59" s="203">
        <v>0.70763888888888893</v>
      </c>
      <c r="AZ59" s="201">
        <v>0.41041666666666665</v>
      </c>
      <c r="BA59" s="203">
        <v>0.71250000000000002</v>
      </c>
      <c r="BB59" s="201">
        <v>0.3888888888888889</v>
      </c>
      <c r="BC59" s="202"/>
      <c r="BD59" s="221" t="s">
        <v>679</v>
      </c>
      <c r="BE59" s="225" t="s">
        <v>679</v>
      </c>
      <c r="BF59" s="222" t="s">
        <v>679</v>
      </c>
      <c r="BG59" s="225" t="s">
        <v>679</v>
      </c>
      <c r="BH59" s="203">
        <v>0.40763888888888888</v>
      </c>
      <c r="BI59" s="203">
        <v>0.70208333333333328</v>
      </c>
      <c r="BJ59" s="201">
        <v>0.4236111111111111</v>
      </c>
      <c r="BK59" s="203">
        <v>0.66319444444444442</v>
      </c>
      <c r="BL59" s="314">
        <v>22</v>
      </c>
      <c r="BM59" s="315">
        <v>20</v>
      </c>
      <c r="BN59" s="421" t="s">
        <v>689</v>
      </c>
      <c r="BO59" s="419"/>
    </row>
    <row r="60" spans="1:67" ht="17.25">
      <c r="A60" s="259" t="s">
        <v>72</v>
      </c>
      <c r="B60" s="259" t="s">
        <v>91</v>
      </c>
      <c r="C60" s="260" t="s">
        <v>93</v>
      </c>
      <c r="D60" s="230" t="s">
        <v>679</v>
      </c>
      <c r="E60" s="230" t="s">
        <v>679</v>
      </c>
      <c r="F60" s="231" t="s">
        <v>679</v>
      </c>
      <c r="G60" s="232" t="s">
        <v>679</v>
      </c>
      <c r="H60" s="233" t="s">
        <v>679</v>
      </c>
      <c r="I60" s="230" t="s">
        <v>679</v>
      </c>
      <c r="J60" s="233" t="s">
        <v>679</v>
      </c>
      <c r="K60" s="230" t="s">
        <v>679</v>
      </c>
      <c r="L60" s="233" t="s">
        <v>679</v>
      </c>
      <c r="M60" s="230" t="s">
        <v>679</v>
      </c>
      <c r="N60" s="231" t="s">
        <v>679</v>
      </c>
      <c r="O60" s="232" t="s">
        <v>679</v>
      </c>
      <c r="P60" s="231" t="s">
        <v>679</v>
      </c>
      <c r="Q60" s="234" t="s">
        <v>679</v>
      </c>
      <c r="R60" s="230" t="s">
        <v>679</v>
      </c>
      <c r="S60" s="230" t="s">
        <v>679</v>
      </c>
      <c r="T60" s="233" t="s">
        <v>679</v>
      </c>
      <c r="U60" s="230" t="s">
        <v>679</v>
      </c>
      <c r="V60" s="233" t="s">
        <v>679</v>
      </c>
      <c r="W60" s="230" t="s">
        <v>679</v>
      </c>
      <c r="X60" s="233" t="s">
        <v>679</v>
      </c>
      <c r="Y60" s="230" t="s">
        <v>679</v>
      </c>
      <c r="Z60" s="233" t="s">
        <v>679</v>
      </c>
      <c r="AA60" s="230" t="s">
        <v>679</v>
      </c>
      <c r="AB60" s="231" t="s">
        <v>679</v>
      </c>
      <c r="AC60" s="234" t="s">
        <v>679</v>
      </c>
      <c r="AD60" s="232" t="s">
        <v>679</v>
      </c>
      <c r="AE60" s="234" t="s">
        <v>679</v>
      </c>
      <c r="AF60" s="205" t="s">
        <v>679</v>
      </c>
      <c r="AG60" s="205" t="s">
        <v>679</v>
      </c>
      <c r="AH60" s="204" t="s">
        <v>679</v>
      </c>
      <c r="AI60" s="205" t="s">
        <v>679</v>
      </c>
      <c r="AJ60" s="204" t="s">
        <v>679</v>
      </c>
      <c r="AK60" s="205" t="s">
        <v>679</v>
      </c>
      <c r="AL60" s="204" t="s">
        <v>679</v>
      </c>
      <c r="AM60" s="205" t="s">
        <v>679</v>
      </c>
      <c r="AN60" s="204" t="s">
        <v>679</v>
      </c>
      <c r="AO60" s="205" t="s">
        <v>679</v>
      </c>
      <c r="AP60" s="231" t="s">
        <v>679</v>
      </c>
      <c r="AQ60" s="234" t="s">
        <v>679</v>
      </c>
      <c r="AR60" s="232" t="s">
        <v>679</v>
      </c>
      <c r="AS60" s="234" t="s">
        <v>679</v>
      </c>
      <c r="AT60" s="205" t="s">
        <v>679</v>
      </c>
      <c r="AU60" s="205" t="s">
        <v>679</v>
      </c>
      <c r="AV60" s="204" t="s">
        <v>679</v>
      </c>
      <c r="AW60" s="205" t="s">
        <v>679</v>
      </c>
      <c r="AX60" s="204" t="s">
        <v>679</v>
      </c>
      <c r="AY60" s="205" t="s">
        <v>679</v>
      </c>
      <c r="AZ60" s="204" t="s">
        <v>679</v>
      </c>
      <c r="BA60" s="205" t="s">
        <v>679</v>
      </c>
      <c r="BB60" s="204" t="s">
        <v>679</v>
      </c>
      <c r="BC60" s="205" t="s">
        <v>679</v>
      </c>
      <c r="BD60" s="231" t="s">
        <v>679</v>
      </c>
      <c r="BE60" s="234" t="s">
        <v>679</v>
      </c>
      <c r="BF60" s="232" t="s">
        <v>679</v>
      </c>
      <c r="BG60" s="234" t="s">
        <v>679</v>
      </c>
      <c r="BH60" s="205" t="s">
        <v>679</v>
      </c>
      <c r="BI60" s="205" t="s">
        <v>679</v>
      </c>
      <c r="BJ60" s="204" t="s">
        <v>679</v>
      </c>
      <c r="BK60" s="205" t="s">
        <v>679</v>
      </c>
      <c r="BL60" s="316">
        <v>22</v>
      </c>
      <c r="BM60" s="317">
        <v>20</v>
      </c>
      <c r="BN60" s="422"/>
      <c r="BO60" s="420"/>
    </row>
    <row r="61" spans="1:67" ht="17.25">
      <c r="A61" s="259" t="s">
        <v>94</v>
      </c>
      <c r="B61" s="259" t="s">
        <v>95</v>
      </c>
      <c r="C61" s="260" t="s">
        <v>96</v>
      </c>
      <c r="D61" s="246">
        <v>0.3611111111111111</v>
      </c>
      <c r="E61" s="246">
        <v>0.64652777777777781</v>
      </c>
      <c r="F61" s="248">
        <v>0.3840277777777778</v>
      </c>
      <c r="G61" s="251">
        <v>0.59652777777777777</v>
      </c>
      <c r="H61" s="247">
        <v>0.36249999999999999</v>
      </c>
      <c r="I61" s="246">
        <v>0.69305555555555554</v>
      </c>
      <c r="J61" s="247">
        <v>0.39861111111111114</v>
      </c>
      <c r="K61" s="246">
        <v>0.61319444444444449</v>
      </c>
      <c r="L61" s="247">
        <v>0.38611111111111113</v>
      </c>
      <c r="M61" s="246">
        <v>0.65555555555555556</v>
      </c>
      <c r="N61" s="231" t="s">
        <v>679</v>
      </c>
      <c r="O61" s="232" t="s">
        <v>679</v>
      </c>
      <c r="P61" s="231" t="s">
        <v>679</v>
      </c>
      <c r="Q61" s="234" t="s">
        <v>679</v>
      </c>
      <c r="R61" s="246">
        <v>0.36319444444444443</v>
      </c>
      <c r="S61" s="246">
        <v>0.64583333333333337</v>
      </c>
      <c r="T61" s="247">
        <v>0.39930555555555558</v>
      </c>
      <c r="U61" s="246">
        <v>0.65694444444444444</v>
      </c>
      <c r="V61" s="247">
        <v>0.36805555555555558</v>
      </c>
      <c r="W61" s="246">
        <v>0.64097222222222228</v>
      </c>
      <c r="X61" s="247">
        <v>0.36527777777777776</v>
      </c>
      <c r="Y61" s="246">
        <v>0.64652777777777781</v>
      </c>
      <c r="Z61" s="247">
        <v>0.38958333333333334</v>
      </c>
      <c r="AA61" s="246">
        <v>0.64236111111111116</v>
      </c>
      <c r="AB61" s="231" t="s">
        <v>679</v>
      </c>
      <c r="AC61" s="234" t="s">
        <v>679</v>
      </c>
      <c r="AD61" s="232" t="s">
        <v>679</v>
      </c>
      <c r="AE61" s="234" t="s">
        <v>679</v>
      </c>
      <c r="AF61" s="207">
        <v>0.37986111111111109</v>
      </c>
      <c r="AG61" s="207">
        <v>0.75347222222222221</v>
      </c>
      <c r="AH61" s="206">
        <v>0.43194444444444446</v>
      </c>
      <c r="AI61" s="207">
        <v>0.51388888888888884</v>
      </c>
      <c r="AJ61" s="206">
        <v>0.39444444444444443</v>
      </c>
      <c r="AK61" s="207">
        <v>0.65694444444444444</v>
      </c>
      <c r="AL61" s="206">
        <v>0.37708333333333333</v>
      </c>
      <c r="AM61" s="207">
        <v>0.65555555555555556</v>
      </c>
      <c r="AN61" s="206">
        <v>0.37708333333333333</v>
      </c>
      <c r="AO61" s="207">
        <v>0.74791666666666667</v>
      </c>
      <c r="AP61" s="231" t="s">
        <v>679</v>
      </c>
      <c r="AQ61" s="234" t="s">
        <v>679</v>
      </c>
      <c r="AR61" s="232" t="s">
        <v>679</v>
      </c>
      <c r="AS61" s="234" t="s">
        <v>679</v>
      </c>
      <c r="AT61" s="207">
        <v>0.36666666666666664</v>
      </c>
      <c r="AU61" s="207">
        <v>0.75347222222222221</v>
      </c>
      <c r="AV61" s="206">
        <v>0.35486111111111113</v>
      </c>
      <c r="AW61" s="207">
        <v>0.72152777777777777</v>
      </c>
      <c r="AX61" s="206">
        <v>0.40347222222222223</v>
      </c>
      <c r="AY61" s="207">
        <v>0.66805555555555551</v>
      </c>
      <c r="AZ61" s="206">
        <v>0.37291666666666667</v>
      </c>
      <c r="BA61" s="207">
        <v>0.75069444444444444</v>
      </c>
      <c r="BB61" s="206">
        <v>0.39791666666666664</v>
      </c>
      <c r="BC61" s="207">
        <v>0.63402777777777775</v>
      </c>
      <c r="BD61" s="231" t="s">
        <v>679</v>
      </c>
      <c r="BE61" s="234" t="s">
        <v>679</v>
      </c>
      <c r="BF61" s="232" t="s">
        <v>679</v>
      </c>
      <c r="BG61" s="234" t="s">
        <v>679</v>
      </c>
      <c r="BH61" s="207">
        <v>0.36458333333333331</v>
      </c>
      <c r="BI61" s="207">
        <v>0.7583333333333333</v>
      </c>
      <c r="BJ61" s="206">
        <v>0.49236111111111114</v>
      </c>
      <c r="BK61" s="207">
        <v>0.75486111111111109</v>
      </c>
      <c r="BL61" s="321">
        <v>22</v>
      </c>
      <c r="BM61" s="320">
        <v>22</v>
      </c>
      <c r="BN61" s="319" t="s">
        <v>697</v>
      </c>
      <c r="BO61" s="318" t="s">
        <v>697</v>
      </c>
    </row>
    <row r="62" spans="1:67" ht="15" customHeight="1">
      <c r="A62" s="259" t="s">
        <v>97</v>
      </c>
      <c r="B62" s="259" t="s">
        <v>192</v>
      </c>
      <c r="C62" s="260" t="s">
        <v>99</v>
      </c>
      <c r="D62" s="246">
        <v>0.36666666666666664</v>
      </c>
      <c r="E62" s="230"/>
      <c r="F62" s="231"/>
      <c r="G62" s="232"/>
      <c r="H62" s="233"/>
      <c r="I62" s="246">
        <v>0.70486111111111116</v>
      </c>
      <c r="J62" s="247">
        <v>0.3611111111111111</v>
      </c>
      <c r="K62" s="246">
        <v>0.68680555555555556</v>
      </c>
      <c r="L62" s="247">
        <v>0.43541666666666667</v>
      </c>
      <c r="M62" s="246">
        <v>0.69930555555555551</v>
      </c>
      <c r="N62" s="248">
        <v>0.3659722222222222</v>
      </c>
      <c r="O62" s="232"/>
      <c r="P62" s="231"/>
      <c r="Q62" s="234"/>
      <c r="R62" s="246">
        <v>0.43333333333333335</v>
      </c>
      <c r="S62" s="246">
        <v>0.71875</v>
      </c>
      <c r="T62" s="247">
        <v>0.36805555555555558</v>
      </c>
      <c r="U62" s="246">
        <v>0.72499999999999998</v>
      </c>
      <c r="V62" s="247">
        <v>0.37013888888888891</v>
      </c>
      <c r="W62" s="246">
        <v>0.6381944444444444</v>
      </c>
      <c r="X62" s="247">
        <v>0.3527777777777778</v>
      </c>
      <c r="Y62" s="246">
        <v>0.6645833333333333</v>
      </c>
      <c r="Z62" s="247">
        <v>0.36805555555555558</v>
      </c>
      <c r="AA62" s="297">
        <v>0.65902777777777777</v>
      </c>
      <c r="AB62" s="231"/>
      <c r="AC62" s="234"/>
      <c r="AD62" s="232"/>
      <c r="AE62" s="234"/>
      <c r="AF62" s="246">
        <v>0.37083333333333335</v>
      </c>
      <c r="AG62" s="246">
        <v>0.63055555555555554</v>
      </c>
      <c r="AH62" s="247">
        <v>0.36249999999999999</v>
      </c>
      <c r="AI62" s="246">
        <v>0.64166666666666672</v>
      </c>
      <c r="AJ62" s="247">
        <v>0.36944444444444446</v>
      </c>
      <c r="AK62" s="246">
        <v>0.63124999999999998</v>
      </c>
      <c r="AL62" s="247">
        <v>0.35972222222222222</v>
      </c>
      <c r="AM62" s="246">
        <v>0.64722222222222225</v>
      </c>
      <c r="AN62" s="247">
        <v>0.36249999999999999</v>
      </c>
      <c r="AO62" s="246">
        <v>0.63402777777777775</v>
      </c>
      <c r="AP62" s="248">
        <v>0.37430555555555556</v>
      </c>
      <c r="AQ62" s="234"/>
      <c r="AR62" s="232"/>
      <c r="AS62" s="234"/>
      <c r="AT62" s="246">
        <v>0.37083333333333335</v>
      </c>
      <c r="AU62" s="246">
        <v>0.64444444444444449</v>
      </c>
      <c r="AV62" s="247">
        <v>0.3576388888888889</v>
      </c>
      <c r="AW62" s="246">
        <v>0.64444444444444449</v>
      </c>
      <c r="AX62" s="247">
        <v>0.35416666666666669</v>
      </c>
      <c r="AY62" s="246">
        <v>0.63472222222222219</v>
      </c>
      <c r="AZ62" s="247">
        <v>0.37013888888888891</v>
      </c>
      <c r="BA62" s="246">
        <v>0.65069444444444446</v>
      </c>
      <c r="BB62" s="247">
        <v>0.35555555555555557</v>
      </c>
      <c r="BC62" s="246">
        <v>0.71805555555555556</v>
      </c>
      <c r="BD62" s="231"/>
      <c r="BE62" s="234"/>
      <c r="BF62" s="232"/>
      <c r="BG62" s="234"/>
      <c r="BH62" s="246">
        <v>0.36388888888888887</v>
      </c>
      <c r="BI62" s="246">
        <v>0.67847222222222225</v>
      </c>
      <c r="BJ62" s="247">
        <v>0.35902777777777778</v>
      </c>
      <c r="BK62" s="246">
        <v>0.63749999999999996</v>
      </c>
      <c r="BL62" s="321">
        <v>20</v>
      </c>
      <c r="BM62" s="320">
        <v>20</v>
      </c>
      <c r="BN62" s="319" t="s">
        <v>697</v>
      </c>
      <c r="BO62" s="428" t="s">
        <v>700</v>
      </c>
    </row>
    <row r="63" spans="1:67" ht="17.25">
      <c r="A63" s="259" t="s">
        <v>97</v>
      </c>
      <c r="B63" s="259" t="s">
        <v>100</v>
      </c>
      <c r="C63" s="260" t="s">
        <v>101</v>
      </c>
      <c r="D63" s="246">
        <v>0.41458333333333336</v>
      </c>
      <c r="E63" s="230"/>
      <c r="F63" s="248">
        <v>0.52708333333333335</v>
      </c>
      <c r="G63" s="251">
        <v>0.78611111111111109</v>
      </c>
      <c r="H63" s="247">
        <v>0.44930555555555557</v>
      </c>
      <c r="I63" s="246">
        <v>0.70277777777777772</v>
      </c>
      <c r="J63" s="247">
        <v>0.42916666666666664</v>
      </c>
      <c r="K63" s="246">
        <v>0.67638888888888893</v>
      </c>
      <c r="L63" s="247">
        <v>0.40833333333333333</v>
      </c>
      <c r="M63" s="246">
        <v>0.80972222222222223</v>
      </c>
      <c r="N63" s="231"/>
      <c r="O63" s="232"/>
      <c r="P63" s="231"/>
      <c r="Q63" s="234"/>
      <c r="R63" s="246">
        <v>0.43819444444444444</v>
      </c>
      <c r="S63" s="230"/>
      <c r="T63" s="247">
        <v>0.35347222222222224</v>
      </c>
      <c r="U63" s="246">
        <v>0.72361111111111109</v>
      </c>
      <c r="V63" s="247">
        <v>0.38333333333333336</v>
      </c>
      <c r="W63" s="246">
        <v>0.65277777777777779</v>
      </c>
      <c r="X63" s="247">
        <v>0.37430555555555556</v>
      </c>
      <c r="Y63" s="246">
        <v>0.6381944444444444</v>
      </c>
      <c r="Z63" s="247">
        <v>0.38819444444444445</v>
      </c>
      <c r="AA63" s="246">
        <v>0.65555555555555556</v>
      </c>
      <c r="AB63" s="248">
        <v>0.39791666666666664</v>
      </c>
      <c r="AC63" s="234"/>
      <c r="AD63" s="232"/>
      <c r="AE63" s="234"/>
      <c r="AF63" s="246">
        <v>0.3659722222222222</v>
      </c>
      <c r="AG63" s="246">
        <v>0.63749999999999996</v>
      </c>
      <c r="AH63" s="247">
        <v>0.36805555555555558</v>
      </c>
      <c r="AI63" s="246">
        <v>0.67013888888888884</v>
      </c>
      <c r="AJ63" s="247">
        <v>0.3611111111111111</v>
      </c>
      <c r="AK63" s="246">
        <v>0.68958333333333333</v>
      </c>
      <c r="AL63" s="247">
        <v>0.36527777777777776</v>
      </c>
      <c r="AM63" s="246">
        <v>0.68194444444444446</v>
      </c>
      <c r="AN63" s="247">
        <v>0.35347222222222224</v>
      </c>
      <c r="AO63" s="246">
        <v>0.6791666666666667</v>
      </c>
      <c r="AP63" s="231"/>
      <c r="AQ63" s="234"/>
      <c r="AR63" s="232"/>
      <c r="AS63" s="234"/>
      <c r="AT63" s="246">
        <v>0.36527777777777776</v>
      </c>
      <c r="AU63" s="246">
        <v>0.67083333333333328</v>
      </c>
      <c r="AV63" s="247">
        <v>0.37708333333333333</v>
      </c>
      <c r="AW63" s="246">
        <v>0.68680555555555556</v>
      </c>
      <c r="AX63" s="247">
        <v>0.35625000000000001</v>
      </c>
      <c r="AY63" s="246">
        <v>0.70416666666666672</v>
      </c>
      <c r="AZ63" s="247">
        <v>0.41041666666666665</v>
      </c>
      <c r="BA63" s="246">
        <v>0.69861111111111107</v>
      </c>
      <c r="BB63" s="247">
        <v>0.40694444444444444</v>
      </c>
      <c r="BC63" s="246">
        <v>0.67500000000000004</v>
      </c>
      <c r="BD63" s="248">
        <v>0.39027777777777778</v>
      </c>
      <c r="BE63" s="234"/>
      <c r="BF63" s="232"/>
      <c r="BG63" s="234"/>
      <c r="BH63" s="246">
        <v>0.36388888888888887</v>
      </c>
      <c r="BI63" s="246">
        <v>0.70972222222222225</v>
      </c>
      <c r="BJ63" s="247">
        <v>0.35972222222222222</v>
      </c>
      <c r="BK63" s="246">
        <v>0.67500000000000004</v>
      </c>
      <c r="BL63" s="321">
        <v>21</v>
      </c>
      <c r="BM63" s="320">
        <v>19</v>
      </c>
      <c r="BN63" s="331">
        <v>0.98</v>
      </c>
      <c r="BO63" s="419"/>
    </row>
    <row r="64" spans="1:67" ht="17.25">
      <c r="A64" s="217" t="s">
        <v>97</v>
      </c>
      <c r="B64" s="217" t="s">
        <v>102</v>
      </c>
      <c r="C64" s="218" t="s">
        <v>103</v>
      </c>
      <c r="D64" s="220">
        <v>0.43194444444444446</v>
      </c>
      <c r="E64" s="219"/>
      <c r="F64" s="221"/>
      <c r="G64" s="222"/>
      <c r="H64" s="223"/>
      <c r="I64" s="219"/>
      <c r="J64" s="224">
        <v>0.41388888888888886</v>
      </c>
      <c r="K64" s="220">
        <v>0.69305555555555554</v>
      </c>
      <c r="L64" s="224">
        <v>0.42152777777777778</v>
      </c>
      <c r="M64" s="220">
        <v>0.73402777777777772</v>
      </c>
      <c r="N64" s="221"/>
      <c r="O64" s="222"/>
      <c r="P64" s="221"/>
      <c r="Q64" s="225"/>
      <c r="R64" s="220">
        <v>0.46875</v>
      </c>
      <c r="S64" s="220">
        <v>0.72638888888888886</v>
      </c>
      <c r="T64" s="224">
        <v>0.35138888888888886</v>
      </c>
      <c r="U64" s="219"/>
      <c r="V64" s="224">
        <v>0.40625</v>
      </c>
      <c r="W64" s="220">
        <v>0.67847222222222225</v>
      </c>
      <c r="X64" s="224">
        <v>0.39166666666666666</v>
      </c>
      <c r="Y64" s="220">
        <v>0.63611111111111107</v>
      </c>
      <c r="Z64" s="224">
        <v>0.35972222222222222</v>
      </c>
      <c r="AA64" s="220">
        <v>0.6430555555555556</v>
      </c>
      <c r="AB64" s="221"/>
      <c r="AC64" s="225"/>
      <c r="AD64" s="222"/>
      <c r="AE64" s="225"/>
      <c r="AF64" s="220">
        <v>0.37430555555555556</v>
      </c>
      <c r="AG64" s="220">
        <v>0.68194444444444446</v>
      </c>
      <c r="AH64" s="224">
        <v>0.35625000000000001</v>
      </c>
      <c r="AI64" s="220">
        <v>0.66527777777777775</v>
      </c>
      <c r="AJ64" s="224">
        <v>0.39097222222222222</v>
      </c>
      <c r="AK64" s="220">
        <v>0.68333333333333335</v>
      </c>
      <c r="AL64" s="224">
        <v>0.36319444444444443</v>
      </c>
      <c r="AM64" s="220">
        <v>0.67777777777777781</v>
      </c>
      <c r="AN64" s="224">
        <v>0.37152777777777779</v>
      </c>
      <c r="AO64" s="220">
        <v>0.68680555555555556</v>
      </c>
      <c r="AP64" s="221"/>
      <c r="AQ64" s="225"/>
      <c r="AR64" s="222"/>
      <c r="AS64" s="225"/>
      <c r="AT64" s="220">
        <v>0.375</v>
      </c>
      <c r="AU64" s="220">
        <v>0.67083333333333328</v>
      </c>
      <c r="AV64" s="224">
        <v>0.41388888888888886</v>
      </c>
      <c r="AW64" s="220">
        <v>0.69930555555555551</v>
      </c>
      <c r="AX64" s="224">
        <v>0.38263888888888886</v>
      </c>
      <c r="AY64" s="220">
        <v>0.68194444444444446</v>
      </c>
      <c r="AZ64" s="224">
        <v>0.35416666666666669</v>
      </c>
      <c r="BA64" s="220">
        <v>0.68055555555555558</v>
      </c>
      <c r="BB64" s="224">
        <v>0.36875000000000002</v>
      </c>
      <c r="BC64" s="220">
        <v>0.69374999999999998</v>
      </c>
      <c r="BD64" s="221"/>
      <c r="BE64" s="225"/>
      <c r="BF64" s="222"/>
      <c r="BG64" s="225"/>
      <c r="BH64" s="220">
        <v>0.38680555555555557</v>
      </c>
      <c r="BI64" s="220">
        <v>0.6645833333333333</v>
      </c>
      <c r="BJ64" s="224">
        <v>0.38333333333333336</v>
      </c>
      <c r="BK64" s="220">
        <v>0.76944444444444449</v>
      </c>
      <c r="BL64" s="321">
        <v>20</v>
      </c>
      <c r="BM64" s="320">
        <v>18</v>
      </c>
      <c r="BN64" s="319" t="s">
        <v>701</v>
      </c>
      <c r="BO64" s="419"/>
    </row>
    <row r="65" spans="1:67" ht="17.25">
      <c r="A65" s="259" t="s">
        <v>97</v>
      </c>
      <c r="B65" s="259" t="s">
        <v>102</v>
      </c>
      <c r="C65" s="260" t="s">
        <v>104</v>
      </c>
      <c r="D65" s="246"/>
      <c r="E65" s="230"/>
      <c r="F65" s="231"/>
      <c r="G65" s="232"/>
      <c r="H65" s="233"/>
      <c r="I65" s="230"/>
      <c r="J65" s="247"/>
      <c r="K65" s="246"/>
      <c r="L65" s="293"/>
      <c r="M65" s="246"/>
      <c r="N65" s="231"/>
      <c r="O65" s="232"/>
      <c r="P65" s="231"/>
      <c r="Q65" s="234"/>
      <c r="R65" s="246"/>
      <c r="S65" s="246"/>
      <c r="T65" s="247"/>
      <c r="U65" s="230"/>
      <c r="V65" s="247"/>
      <c r="W65" s="326"/>
      <c r="X65" s="247"/>
      <c r="Y65" s="246"/>
      <c r="Z65" s="247"/>
      <c r="AA65" s="246"/>
      <c r="AB65" s="231"/>
      <c r="AC65" s="234"/>
      <c r="AD65" s="232"/>
      <c r="AE65" s="234"/>
      <c r="AF65" s="246"/>
      <c r="AG65" s="246"/>
      <c r="AH65" s="247"/>
      <c r="AI65" s="246"/>
      <c r="AJ65" s="247"/>
      <c r="AK65" s="246"/>
      <c r="AL65" s="247"/>
      <c r="AM65" s="246"/>
      <c r="AN65" s="247"/>
      <c r="AO65" s="246"/>
      <c r="AP65" s="231"/>
      <c r="AQ65" s="234"/>
      <c r="AR65" s="232"/>
      <c r="AS65" s="234"/>
      <c r="AT65" s="246"/>
      <c r="AU65" s="246"/>
      <c r="AV65" s="247"/>
      <c r="AW65" s="246"/>
      <c r="AX65" s="247"/>
      <c r="AY65" s="246"/>
      <c r="AZ65" s="247"/>
      <c r="BA65" s="246"/>
      <c r="BB65" s="247"/>
      <c r="BC65" s="246"/>
      <c r="BD65" s="231"/>
      <c r="BE65" s="234"/>
      <c r="BF65" s="232"/>
      <c r="BG65" s="234"/>
      <c r="BH65" s="246"/>
      <c r="BI65" s="246"/>
      <c r="BJ65" s="247"/>
      <c r="BK65" s="246"/>
      <c r="BL65" s="321">
        <v>20</v>
      </c>
      <c r="BM65" s="320">
        <v>18</v>
      </c>
      <c r="BN65" s="319"/>
      <c r="BO65" s="419"/>
    </row>
    <row r="66" spans="1:67" ht="17.25">
      <c r="A66" s="217" t="s">
        <v>97</v>
      </c>
      <c r="B66" s="217" t="s">
        <v>105</v>
      </c>
      <c r="C66" s="218" t="s">
        <v>106</v>
      </c>
      <c r="D66" s="220">
        <v>0.39583333333333331</v>
      </c>
      <c r="E66" s="220">
        <v>0.73402777777777772</v>
      </c>
      <c r="F66" s="243">
        <v>0.36041666666666666</v>
      </c>
      <c r="G66" s="222"/>
      <c r="H66" s="223"/>
      <c r="I66" s="220">
        <v>0.69722222222222219</v>
      </c>
      <c r="J66" s="224">
        <v>0.35138888888888886</v>
      </c>
      <c r="K66" s="220">
        <v>0.66388888888888886</v>
      </c>
      <c r="L66" s="224">
        <v>0.35902777777777778</v>
      </c>
      <c r="M66" s="220">
        <v>0.71458333333333335</v>
      </c>
      <c r="N66" s="243">
        <v>0.41388888888888886</v>
      </c>
      <c r="O66" s="222"/>
      <c r="P66" s="221"/>
      <c r="Q66" s="225"/>
      <c r="R66" s="220">
        <v>0.52500000000000002</v>
      </c>
      <c r="S66" s="220">
        <v>0.70625000000000004</v>
      </c>
      <c r="T66" s="224">
        <v>0.34861111111111109</v>
      </c>
      <c r="U66" s="220">
        <v>0.70416666666666672</v>
      </c>
      <c r="V66" s="224">
        <v>0.3527777777777778</v>
      </c>
      <c r="W66" s="220">
        <v>0.65625</v>
      </c>
      <c r="X66" s="327"/>
      <c r="Y66" s="219"/>
      <c r="Z66" s="224">
        <v>0.41388888888888886</v>
      </c>
      <c r="AA66" s="220">
        <v>0.6743055555555556</v>
      </c>
      <c r="AB66" s="243">
        <v>0.43402777777777779</v>
      </c>
      <c r="AC66" s="225"/>
      <c r="AD66" s="222"/>
      <c r="AE66" s="225"/>
      <c r="AF66" s="220">
        <v>0.44305555555555554</v>
      </c>
      <c r="AG66" s="220">
        <v>0.66736111111111107</v>
      </c>
      <c r="AH66" s="224">
        <v>0.3888888888888889</v>
      </c>
      <c r="AI66" s="220">
        <v>0.68819444444444444</v>
      </c>
      <c r="AJ66" s="224">
        <v>0.41944444444444445</v>
      </c>
      <c r="AK66" s="220">
        <v>0.67083333333333328</v>
      </c>
      <c r="AL66" s="224">
        <v>0.4</v>
      </c>
      <c r="AM66" s="220">
        <v>0.66388888888888886</v>
      </c>
      <c r="AN66" s="224">
        <v>0.39513888888888887</v>
      </c>
      <c r="AO66" s="220">
        <v>0.68125000000000002</v>
      </c>
      <c r="AP66" s="243">
        <v>0.40902777777777777</v>
      </c>
      <c r="AQ66" s="225"/>
      <c r="AR66" s="222"/>
      <c r="AS66" s="225"/>
      <c r="AT66" s="220">
        <v>0.3576388888888889</v>
      </c>
      <c r="AU66" s="220">
        <v>0.6743055555555556</v>
      </c>
      <c r="AV66" s="224">
        <v>0.44791666666666669</v>
      </c>
      <c r="AW66" s="220">
        <v>0.67708333333333337</v>
      </c>
      <c r="AX66" s="224">
        <v>0.42083333333333334</v>
      </c>
      <c r="AY66" s="220">
        <v>0.62777777777777777</v>
      </c>
      <c r="AZ66" s="224">
        <v>0.40763888888888888</v>
      </c>
      <c r="BA66" s="220">
        <v>0.70902777777777781</v>
      </c>
      <c r="BB66" s="224">
        <v>0.39166666666666666</v>
      </c>
      <c r="BC66" s="220">
        <v>0.64652777777777781</v>
      </c>
      <c r="BD66" s="221"/>
      <c r="BE66" s="225"/>
      <c r="BF66" s="222"/>
      <c r="BG66" s="225"/>
      <c r="BH66" s="220">
        <v>0.3888888888888889</v>
      </c>
      <c r="BI66" s="220">
        <v>0.70277777777777772</v>
      </c>
      <c r="BJ66" s="224">
        <v>0.40833333333333333</v>
      </c>
      <c r="BK66" s="220">
        <v>0.65277777777777779</v>
      </c>
      <c r="BL66" s="314">
        <v>19</v>
      </c>
      <c r="BM66" s="315">
        <v>20</v>
      </c>
      <c r="BN66" s="429" t="s">
        <v>700</v>
      </c>
      <c r="BO66" s="419"/>
    </row>
    <row r="67" spans="1:67" ht="17.25">
      <c r="A67" s="328" t="s">
        <v>97</v>
      </c>
      <c r="B67" s="328" t="s">
        <v>105</v>
      </c>
      <c r="C67" s="329" t="s">
        <v>107</v>
      </c>
      <c r="D67" s="330" t="s">
        <v>702</v>
      </c>
      <c r="E67" s="330" t="s">
        <v>702</v>
      </c>
      <c r="F67" s="330" t="s">
        <v>702</v>
      </c>
      <c r="G67" s="330" t="s">
        <v>702</v>
      </c>
      <c r="H67" s="330" t="s">
        <v>702</v>
      </c>
      <c r="I67" s="330" t="s">
        <v>702</v>
      </c>
      <c r="J67" s="330" t="s">
        <v>702</v>
      </c>
      <c r="K67" s="330" t="s">
        <v>702</v>
      </c>
      <c r="L67" s="330" t="s">
        <v>702</v>
      </c>
      <c r="M67" s="330" t="s">
        <v>702</v>
      </c>
      <c r="N67" s="330" t="s">
        <v>702</v>
      </c>
      <c r="O67" s="330" t="s">
        <v>702</v>
      </c>
      <c r="P67" s="330" t="s">
        <v>702</v>
      </c>
      <c r="Q67" s="330" t="s">
        <v>702</v>
      </c>
      <c r="R67" s="330" t="s">
        <v>702</v>
      </c>
      <c r="S67" s="330" t="s">
        <v>702</v>
      </c>
      <c r="T67" s="330" t="s">
        <v>702</v>
      </c>
      <c r="U67" s="330" t="s">
        <v>702</v>
      </c>
      <c r="V67" s="330" t="s">
        <v>702</v>
      </c>
      <c r="W67" s="330" t="s">
        <v>702</v>
      </c>
      <c r="X67" s="330" t="s">
        <v>702</v>
      </c>
      <c r="Y67" s="330" t="s">
        <v>702</v>
      </c>
      <c r="Z67" s="330" t="s">
        <v>702</v>
      </c>
      <c r="AA67" s="330" t="s">
        <v>702</v>
      </c>
      <c r="AB67" s="330" t="s">
        <v>702</v>
      </c>
      <c r="AC67" s="330" t="s">
        <v>702</v>
      </c>
      <c r="AD67" s="330" t="s">
        <v>702</v>
      </c>
      <c r="AE67" s="330" t="s">
        <v>702</v>
      </c>
      <c r="AF67" s="330" t="s">
        <v>702</v>
      </c>
      <c r="AG67" s="330" t="s">
        <v>702</v>
      </c>
      <c r="AH67" s="330" t="s">
        <v>702</v>
      </c>
      <c r="AI67" s="330" t="s">
        <v>702</v>
      </c>
      <c r="AJ67" s="330" t="s">
        <v>702</v>
      </c>
      <c r="AK67" s="330" t="s">
        <v>702</v>
      </c>
      <c r="AL67" s="330" t="s">
        <v>702</v>
      </c>
      <c r="AM67" s="330" t="s">
        <v>702</v>
      </c>
      <c r="AN67" s="330" t="s">
        <v>702</v>
      </c>
      <c r="AO67" s="330" t="s">
        <v>702</v>
      </c>
      <c r="AP67" s="330" t="s">
        <v>702</v>
      </c>
      <c r="AQ67" s="330" t="s">
        <v>702</v>
      </c>
      <c r="AR67" s="330" t="s">
        <v>702</v>
      </c>
      <c r="AS67" s="330" t="s">
        <v>702</v>
      </c>
      <c r="AT67" s="330" t="s">
        <v>702</v>
      </c>
      <c r="AU67" s="330" t="s">
        <v>702</v>
      </c>
      <c r="AV67" s="330" t="s">
        <v>702</v>
      </c>
      <c r="AW67" s="330" t="s">
        <v>702</v>
      </c>
      <c r="AX67" s="330" t="s">
        <v>702</v>
      </c>
      <c r="AY67" s="330" t="s">
        <v>702</v>
      </c>
      <c r="AZ67" s="330" t="s">
        <v>702</v>
      </c>
      <c r="BA67" s="330" t="s">
        <v>702</v>
      </c>
      <c r="BB67" s="330" t="s">
        <v>702</v>
      </c>
      <c r="BC67" s="330" t="s">
        <v>702</v>
      </c>
      <c r="BD67" s="330" t="s">
        <v>702</v>
      </c>
      <c r="BE67" s="330" t="s">
        <v>702</v>
      </c>
      <c r="BF67" s="330" t="s">
        <v>702</v>
      </c>
      <c r="BG67" s="330" t="s">
        <v>702</v>
      </c>
      <c r="BH67" s="330" t="s">
        <v>702</v>
      </c>
      <c r="BI67" s="330" t="s">
        <v>702</v>
      </c>
      <c r="BJ67" s="330" t="s">
        <v>702</v>
      </c>
      <c r="BK67" s="330" t="s">
        <v>702</v>
      </c>
      <c r="BL67" s="316">
        <v>19</v>
      </c>
      <c r="BM67" s="317">
        <v>20</v>
      </c>
      <c r="BN67" s="430"/>
      <c r="BO67" s="420"/>
    </row>
    <row r="68" spans="1:67" ht="15" customHeight="1">
      <c r="A68" s="217" t="s">
        <v>108</v>
      </c>
      <c r="B68" s="217" t="s">
        <v>109</v>
      </c>
      <c r="C68" s="218" t="s">
        <v>110</v>
      </c>
      <c r="D68" s="220">
        <v>0.41875000000000001</v>
      </c>
      <c r="E68" s="325" t="s">
        <v>679</v>
      </c>
      <c r="F68" s="221" t="s">
        <v>679</v>
      </c>
      <c r="G68" s="222" t="s">
        <v>679</v>
      </c>
      <c r="H68" s="224">
        <v>0.40138888888888891</v>
      </c>
      <c r="I68" s="219"/>
      <c r="J68" s="224">
        <v>0.4201388888888889</v>
      </c>
      <c r="K68" s="220">
        <v>0.70277777777777772</v>
      </c>
      <c r="L68" s="223" t="s">
        <v>679</v>
      </c>
      <c r="M68" s="219"/>
      <c r="N68" s="243">
        <v>0.38055555555555554</v>
      </c>
      <c r="O68" s="244">
        <v>0.61111111111111116</v>
      </c>
      <c r="P68" s="221" t="s">
        <v>679</v>
      </c>
      <c r="Q68" s="225" t="s">
        <v>679</v>
      </c>
      <c r="R68" s="219"/>
      <c r="S68" s="220">
        <v>0.64444444444444449</v>
      </c>
      <c r="T68" s="224">
        <v>0.42777777777777776</v>
      </c>
      <c r="U68" s="219"/>
      <c r="V68" s="224">
        <v>0.40347222222222223</v>
      </c>
      <c r="W68" s="220">
        <v>0.64722222222222225</v>
      </c>
      <c r="X68" s="224">
        <v>0.36736111111111114</v>
      </c>
      <c r="Y68" s="220">
        <v>0.65277777777777779</v>
      </c>
      <c r="Z68" s="224">
        <v>0.41736111111111113</v>
      </c>
      <c r="AA68" s="220">
        <v>0.64583333333333337</v>
      </c>
      <c r="AB68" s="221" t="s">
        <v>679</v>
      </c>
      <c r="AC68" s="225" t="s">
        <v>679</v>
      </c>
      <c r="AD68" s="222" t="s">
        <v>679</v>
      </c>
      <c r="AE68" s="225" t="s">
        <v>679</v>
      </c>
      <c r="AF68" s="203">
        <v>0.36666666666666664</v>
      </c>
      <c r="AG68" s="202"/>
      <c r="AH68" s="201">
        <v>0.37083333333333335</v>
      </c>
      <c r="AI68" s="202"/>
      <c r="AJ68" s="201">
        <v>0.38958333333333334</v>
      </c>
      <c r="AK68" s="203">
        <v>0.73124999999999996</v>
      </c>
      <c r="AL68" s="201">
        <v>0.39374999999999999</v>
      </c>
      <c r="AM68" s="203">
        <v>0.7</v>
      </c>
      <c r="AN68" s="201">
        <v>0.36875000000000002</v>
      </c>
      <c r="AO68" s="203">
        <v>0.71250000000000002</v>
      </c>
      <c r="AP68" s="221" t="s">
        <v>679</v>
      </c>
      <c r="AQ68" s="225" t="s">
        <v>679</v>
      </c>
      <c r="AR68" s="222" t="s">
        <v>679</v>
      </c>
      <c r="AS68" s="225" t="s">
        <v>679</v>
      </c>
      <c r="AT68" s="203">
        <v>0.39027777777777778</v>
      </c>
      <c r="AU68" s="203">
        <v>0.70486111111111116</v>
      </c>
      <c r="AV68" s="201">
        <v>0.45833333333333331</v>
      </c>
      <c r="AW68" s="203">
        <v>0.68958333333333333</v>
      </c>
      <c r="AX68" s="200" t="s">
        <v>679</v>
      </c>
      <c r="AY68" s="202"/>
      <c r="AZ68" s="200" t="s">
        <v>679</v>
      </c>
      <c r="BA68" s="202"/>
      <c r="BB68" s="200" t="s">
        <v>679</v>
      </c>
      <c r="BC68" s="202"/>
      <c r="BD68" s="221" t="s">
        <v>679</v>
      </c>
      <c r="BE68" s="225" t="s">
        <v>679</v>
      </c>
      <c r="BF68" s="222" t="s">
        <v>679</v>
      </c>
      <c r="BG68" s="225" t="s">
        <v>679</v>
      </c>
      <c r="BH68" s="202" t="s">
        <v>679</v>
      </c>
      <c r="BI68" s="202"/>
      <c r="BJ68" s="201">
        <v>0.44861111111111113</v>
      </c>
      <c r="BK68" s="202"/>
      <c r="BL68" s="314">
        <v>15</v>
      </c>
      <c r="BM68" s="315">
        <v>10</v>
      </c>
      <c r="BN68" s="421" t="s">
        <v>703</v>
      </c>
      <c r="BO68" s="419" t="s">
        <v>704</v>
      </c>
    </row>
    <row r="69" spans="1:67" ht="17.25">
      <c r="A69" s="259" t="s">
        <v>108</v>
      </c>
      <c r="B69" s="259" t="s">
        <v>109</v>
      </c>
      <c r="C69" s="260" t="s">
        <v>111</v>
      </c>
      <c r="D69" s="230" t="s">
        <v>679</v>
      </c>
      <c r="E69" s="230" t="s">
        <v>679</v>
      </c>
      <c r="F69" s="231" t="s">
        <v>679</v>
      </c>
      <c r="G69" s="232" t="s">
        <v>679</v>
      </c>
      <c r="H69" s="233" t="s">
        <v>679</v>
      </c>
      <c r="I69" s="230" t="s">
        <v>679</v>
      </c>
      <c r="J69" s="233" t="s">
        <v>679</v>
      </c>
      <c r="K69" s="230" t="s">
        <v>679</v>
      </c>
      <c r="L69" s="233" t="s">
        <v>679</v>
      </c>
      <c r="M69" s="230" t="s">
        <v>679</v>
      </c>
      <c r="N69" s="231" t="s">
        <v>679</v>
      </c>
      <c r="O69" s="232" t="s">
        <v>679</v>
      </c>
      <c r="P69" s="231" t="s">
        <v>679</v>
      </c>
      <c r="Q69" s="234" t="s">
        <v>679</v>
      </c>
      <c r="R69" s="230" t="s">
        <v>679</v>
      </c>
      <c r="S69" s="230" t="s">
        <v>679</v>
      </c>
      <c r="T69" s="233" t="s">
        <v>679</v>
      </c>
      <c r="U69" s="230" t="s">
        <v>679</v>
      </c>
      <c r="V69" s="233" t="s">
        <v>679</v>
      </c>
      <c r="W69" s="230" t="s">
        <v>679</v>
      </c>
      <c r="X69" s="233" t="s">
        <v>679</v>
      </c>
      <c r="Y69" s="230" t="s">
        <v>679</v>
      </c>
      <c r="Z69" s="233" t="s">
        <v>679</v>
      </c>
      <c r="AA69" s="230" t="s">
        <v>679</v>
      </c>
      <c r="AB69" s="231" t="s">
        <v>679</v>
      </c>
      <c r="AC69" s="234" t="s">
        <v>679</v>
      </c>
      <c r="AD69" s="232" t="s">
        <v>679</v>
      </c>
      <c r="AE69" s="234" t="s">
        <v>679</v>
      </c>
      <c r="AF69" s="205" t="s">
        <v>679</v>
      </c>
      <c r="AG69" s="205" t="s">
        <v>679</v>
      </c>
      <c r="AH69" s="204" t="s">
        <v>679</v>
      </c>
      <c r="AI69" s="205" t="s">
        <v>679</v>
      </c>
      <c r="AJ69" s="204" t="s">
        <v>679</v>
      </c>
      <c r="AK69" s="205" t="s">
        <v>679</v>
      </c>
      <c r="AL69" s="204" t="s">
        <v>679</v>
      </c>
      <c r="AM69" s="205" t="s">
        <v>679</v>
      </c>
      <c r="AN69" s="204" t="s">
        <v>679</v>
      </c>
      <c r="AO69" s="205" t="s">
        <v>679</v>
      </c>
      <c r="AP69" s="231" t="s">
        <v>679</v>
      </c>
      <c r="AQ69" s="234" t="s">
        <v>679</v>
      </c>
      <c r="AR69" s="232" t="s">
        <v>679</v>
      </c>
      <c r="AS69" s="234" t="s">
        <v>679</v>
      </c>
      <c r="AT69" s="205" t="s">
        <v>679</v>
      </c>
      <c r="AU69" s="205" t="s">
        <v>679</v>
      </c>
      <c r="AV69" s="204" t="s">
        <v>679</v>
      </c>
      <c r="AW69" s="205" t="s">
        <v>679</v>
      </c>
      <c r="AX69" s="204" t="s">
        <v>679</v>
      </c>
      <c r="AY69" s="205" t="s">
        <v>679</v>
      </c>
      <c r="AZ69" s="204" t="s">
        <v>679</v>
      </c>
      <c r="BA69" s="205" t="s">
        <v>679</v>
      </c>
      <c r="BB69" s="204" t="s">
        <v>679</v>
      </c>
      <c r="BC69" s="205" t="s">
        <v>679</v>
      </c>
      <c r="BD69" s="231" t="s">
        <v>679</v>
      </c>
      <c r="BE69" s="234" t="s">
        <v>679</v>
      </c>
      <c r="BF69" s="232" t="s">
        <v>679</v>
      </c>
      <c r="BG69" s="234" t="s">
        <v>679</v>
      </c>
      <c r="BH69" s="205" t="s">
        <v>679</v>
      </c>
      <c r="BI69" s="205" t="s">
        <v>679</v>
      </c>
      <c r="BJ69" s="204" t="s">
        <v>679</v>
      </c>
      <c r="BK69" s="205" t="s">
        <v>679</v>
      </c>
      <c r="BL69" s="316">
        <v>15</v>
      </c>
      <c r="BM69" s="317">
        <v>10</v>
      </c>
      <c r="BN69" s="422"/>
      <c r="BO69" s="419"/>
    </row>
    <row r="70" spans="1:67" ht="15" customHeight="1">
      <c r="A70" s="217" t="s">
        <v>108</v>
      </c>
      <c r="B70" s="217" t="s">
        <v>112</v>
      </c>
      <c r="C70" s="218" t="s">
        <v>113</v>
      </c>
      <c r="D70" s="220">
        <v>0.38055555555555554</v>
      </c>
      <c r="E70" s="220">
        <v>0.68888888888888888</v>
      </c>
      <c r="F70" s="221" t="s">
        <v>679</v>
      </c>
      <c r="G70" s="222" t="s">
        <v>679</v>
      </c>
      <c r="H70" s="223" t="s">
        <v>679</v>
      </c>
      <c r="I70" s="219"/>
      <c r="J70" s="223" t="s">
        <v>679</v>
      </c>
      <c r="K70" s="219"/>
      <c r="L70" s="224">
        <v>0.44374999999999998</v>
      </c>
      <c r="M70" s="220">
        <v>0.65277777777777779</v>
      </c>
      <c r="N70" s="221" t="s">
        <v>679</v>
      </c>
      <c r="O70" s="222" t="s">
        <v>679</v>
      </c>
      <c r="P70" s="221" t="s">
        <v>679</v>
      </c>
      <c r="Q70" s="225" t="s">
        <v>679</v>
      </c>
      <c r="R70" s="220">
        <v>0.37916666666666665</v>
      </c>
      <c r="S70" s="220">
        <v>0.6333333333333333</v>
      </c>
      <c r="T70" s="224">
        <v>0.37430555555555556</v>
      </c>
      <c r="U70" s="220">
        <v>0.62916666666666665</v>
      </c>
      <c r="V70" s="224">
        <v>0.41180555555555554</v>
      </c>
      <c r="W70" s="220">
        <v>0.62986111111111109</v>
      </c>
      <c r="X70" s="224">
        <v>0.39513888888888887</v>
      </c>
      <c r="Y70" s="220">
        <v>0.64166666666666672</v>
      </c>
      <c r="Z70" s="224">
        <v>0.39166666666666666</v>
      </c>
      <c r="AA70" s="220">
        <v>0.68402777777777779</v>
      </c>
      <c r="AB70" s="221" t="s">
        <v>679</v>
      </c>
      <c r="AC70" s="225" t="s">
        <v>679</v>
      </c>
      <c r="AD70" s="222" t="s">
        <v>679</v>
      </c>
      <c r="AE70" s="225" t="s">
        <v>679</v>
      </c>
      <c r="AF70" s="203">
        <v>0.39374999999999999</v>
      </c>
      <c r="AG70" s="203">
        <v>0.68541666666666667</v>
      </c>
      <c r="AH70" s="201">
        <v>0.38194444444444442</v>
      </c>
      <c r="AI70" s="203">
        <v>0.6430555555555556</v>
      </c>
      <c r="AJ70" s="201">
        <v>0.37291666666666667</v>
      </c>
      <c r="AK70" s="203">
        <v>0.62361111111111112</v>
      </c>
      <c r="AL70" s="201">
        <v>0.3923611111111111</v>
      </c>
      <c r="AM70" s="203">
        <v>0.62152777777777779</v>
      </c>
      <c r="AN70" s="201">
        <v>0.37916666666666665</v>
      </c>
      <c r="AO70" s="202"/>
      <c r="AP70" s="221" t="s">
        <v>679</v>
      </c>
      <c r="AQ70" s="225" t="s">
        <v>679</v>
      </c>
      <c r="AR70" s="222" t="s">
        <v>679</v>
      </c>
      <c r="AS70" s="225" t="s">
        <v>679</v>
      </c>
      <c r="AT70" s="203">
        <v>0.39027777777777778</v>
      </c>
      <c r="AU70" s="203">
        <v>0.66388888888888886</v>
      </c>
      <c r="AV70" s="201">
        <v>0.38819444444444445</v>
      </c>
      <c r="AW70" s="203">
        <v>0.62638888888888888</v>
      </c>
      <c r="AX70" s="201">
        <v>0.38194444444444442</v>
      </c>
      <c r="AY70" s="203">
        <v>0.63402777777777775</v>
      </c>
      <c r="AZ70" s="201">
        <v>0.37083333333333335</v>
      </c>
      <c r="BA70" s="203">
        <v>0.62708333333333333</v>
      </c>
      <c r="BB70" s="201">
        <v>0.37083333333333335</v>
      </c>
      <c r="BC70" s="202"/>
      <c r="BD70" s="221" t="s">
        <v>679</v>
      </c>
      <c r="BE70" s="225" t="s">
        <v>679</v>
      </c>
      <c r="BF70" s="222" t="s">
        <v>679</v>
      </c>
      <c r="BG70" s="225" t="s">
        <v>679</v>
      </c>
      <c r="BH70" s="203">
        <v>0.39513888888888887</v>
      </c>
      <c r="BI70" s="203">
        <v>0.63680555555555551</v>
      </c>
      <c r="BJ70" s="201">
        <v>0.39027777777777778</v>
      </c>
      <c r="BK70" s="203">
        <v>0.6479166666666667</v>
      </c>
      <c r="BL70" s="314">
        <v>20</v>
      </c>
      <c r="BM70" s="315">
        <v>18</v>
      </c>
      <c r="BN70" s="421" t="s">
        <v>681</v>
      </c>
      <c r="BO70" s="419"/>
    </row>
    <row r="71" spans="1:67" ht="17.25">
      <c r="A71" s="259" t="s">
        <v>108</v>
      </c>
      <c r="B71" s="259" t="s">
        <v>112</v>
      </c>
      <c r="C71" s="260" t="s">
        <v>114</v>
      </c>
      <c r="D71" s="230" t="s">
        <v>679</v>
      </c>
      <c r="E71" s="246">
        <v>0.66111111111111109</v>
      </c>
      <c r="F71" s="231" t="s">
        <v>679</v>
      </c>
      <c r="G71" s="232" t="s">
        <v>679</v>
      </c>
      <c r="H71" s="247">
        <v>0.375</v>
      </c>
      <c r="I71" s="246">
        <v>0.75</v>
      </c>
      <c r="J71" s="233" t="s">
        <v>679</v>
      </c>
      <c r="K71" s="230" t="s">
        <v>679</v>
      </c>
      <c r="L71" s="233" t="s">
        <v>679</v>
      </c>
      <c r="M71" s="230" t="s">
        <v>679</v>
      </c>
      <c r="N71" s="231" t="s">
        <v>679</v>
      </c>
      <c r="O71" s="232" t="s">
        <v>679</v>
      </c>
      <c r="P71" s="231" t="s">
        <v>679</v>
      </c>
      <c r="Q71" s="234" t="s">
        <v>679</v>
      </c>
      <c r="R71" s="230" t="s">
        <v>679</v>
      </c>
      <c r="S71" s="230" t="s">
        <v>679</v>
      </c>
      <c r="T71" s="233" t="s">
        <v>679</v>
      </c>
      <c r="U71" s="230" t="s">
        <v>679</v>
      </c>
      <c r="V71" s="233" t="s">
        <v>679</v>
      </c>
      <c r="W71" s="230" t="s">
        <v>679</v>
      </c>
      <c r="X71" s="233" t="s">
        <v>679</v>
      </c>
      <c r="Y71" s="230" t="s">
        <v>679</v>
      </c>
      <c r="Z71" s="233" t="s">
        <v>679</v>
      </c>
      <c r="AA71" s="230" t="s">
        <v>679</v>
      </c>
      <c r="AB71" s="231" t="s">
        <v>679</v>
      </c>
      <c r="AC71" s="234" t="s">
        <v>679</v>
      </c>
      <c r="AD71" s="232" t="s">
        <v>679</v>
      </c>
      <c r="AE71" s="234" t="s">
        <v>679</v>
      </c>
      <c r="AF71" s="207">
        <v>0.39374999999999999</v>
      </c>
      <c r="AG71" s="207">
        <v>0.68541666666666667</v>
      </c>
      <c r="AH71" s="206">
        <v>0.38194444444444442</v>
      </c>
      <c r="AI71" s="207">
        <v>0.6430555555555556</v>
      </c>
      <c r="AJ71" s="206">
        <v>0.37291666666666667</v>
      </c>
      <c r="AK71" s="207">
        <v>0.62361111111111112</v>
      </c>
      <c r="AL71" s="206">
        <v>0.3923611111111111</v>
      </c>
      <c r="AM71" s="207">
        <v>0.62152777777777779</v>
      </c>
      <c r="AN71" s="206">
        <v>0.37916666666666665</v>
      </c>
      <c r="AO71" s="205" t="s">
        <v>679</v>
      </c>
      <c r="AP71" s="231" t="s">
        <v>679</v>
      </c>
      <c r="AQ71" s="234" t="s">
        <v>679</v>
      </c>
      <c r="AR71" s="232" t="s">
        <v>679</v>
      </c>
      <c r="AS71" s="234" t="s">
        <v>679</v>
      </c>
      <c r="AT71" s="207">
        <v>0.39027777777777778</v>
      </c>
      <c r="AU71" s="207">
        <v>0.66388888888888886</v>
      </c>
      <c r="AV71" s="206">
        <v>0.38819444444444445</v>
      </c>
      <c r="AW71" s="207">
        <v>0.62638888888888888</v>
      </c>
      <c r="AX71" s="206">
        <v>0.38194444444444442</v>
      </c>
      <c r="AY71" s="207">
        <v>0.63402777777777775</v>
      </c>
      <c r="AZ71" s="206">
        <v>0.37083333333333335</v>
      </c>
      <c r="BA71" s="207">
        <v>0.62708333333333333</v>
      </c>
      <c r="BB71" s="206">
        <v>0.37083333333333335</v>
      </c>
      <c r="BC71" s="205" t="s">
        <v>679</v>
      </c>
      <c r="BD71" s="231" t="s">
        <v>679</v>
      </c>
      <c r="BE71" s="234" t="s">
        <v>679</v>
      </c>
      <c r="BF71" s="232" t="s">
        <v>679</v>
      </c>
      <c r="BG71" s="234" t="s">
        <v>679</v>
      </c>
      <c r="BH71" s="207">
        <v>0.39513888888888887</v>
      </c>
      <c r="BI71" s="207">
        <v>0.63680555555555551</v>
      </c>
      <c r="BJ71" s="206">
        <v>0.39027777777777778</v>
      </c>
      <c r="BK71" s="207">
        <v>0.6479166666666667</v>
      </c>
      <c r="BL71" s="316">
        <v>20</v>
      </c>
      <c r="BM71" s="317">
        <v>18</v>
      </c>
      <c r="BN71" s="422"/>
      <c r="BO71" s="419"/>
    </row>
    <row r="72" spans="1:67" ht="17.25">
      <c r="A72" s="259" t="s">
        <v>108</v>
      </c>
      <c r="B72" s="259" t="s">
        <v>115</v>
      </c>
      <c r="C72" s="260" t="s">
        <v>116</v>
      </c>
      <c r="D72" s="246">
        <v>0.375</v>
      </c>
      <c r="E72" s="246">
        <v>0.69236111111111109</v>
      </c>
      <c r="F72" s="231" t="s">
        <v>679</v>
      </c>
      <c r="G72" s="232" t="s">
        <v>679</v>
      </c>
      <c r="H72" s="247">
        <v>0.39583333333333331</v>
      </c>
      <c r="I72" s="230" t="s">
        <v>679</v>
      </c>
      <c r="J72" s="247">
        <v>0.3888888888888889</v>
      </c>
      <c r="K72" s="246">
        <v>0.65625</v>
      </c>
      <c r="L72" s="247">
        <v>0.37013888888888891</v>
      </c>
      <c r="M72" s="230" t="s">
        <v>679</v>
      </c>
      <c r="N72" s="231" t="s">
        <v>679</v>
      </c>
      <c r="O72" s="232" t="s">
        <v>679</v>
      </c>
      <c r="P72" s="231" t="s">
        <v>679</v>
      </c>
      <c r="Q72" s="234" t="s">
        <v>679</v>
      </c>
      <c r="R72" s="246">
        <v>0.37777777777777777</v>
      </c>
      <c r="S72" s="246">
        <v>0.65138888888888891</v>
      </c>
      <c r="T72" s="247">
        <v>0.38958333333333334</v>
      </c>
      <c r="U72" s="246">
        <v>0.63194444444444442</v>
      </c>
      <c r="V72" s="247">
        <v>0.39166666666666666</v>
      </c>
      <c r="W72" s="246">
        <v>0.63194444444444442</v>
      </c>
      <c r="X72" s="247">
        <v>0.3840277777777778</v>
      </c>
      <c r="Y72" s="230" t="s">
        <v>679</v>
      </c>
      <c r="Z72" s="247">
        <v>0.37291666666666667</v>
      </c>
      <c r="AA72" s="246">
        <v>0.64236111111111116</v>
      </c>
      <c r="AB72" s="231" t="s">
        <v>679</v>
      </c>
      <c r="AC72" s="234" t="s">
        <v>679</v>
      </c>
      <c r="AD72" s="232" t="s">
        <v>679</v>
      </c>
      <c r="AE72" s="234" t="s">
        <v>679</v>
      </c>
      <c r="AF72" s="207">
        <v>0.38263888888888886</v>
      </c>
      <c r="AG72" s="207">
        <v>0.63749999999999996</v>
      </c>
      <c r="AH72" s="206">
        <v>0.37083333333333335</v>
      </c>
      <c r="AI72" s="207">
        <v>0.63541666666666663</v>
      </c>
      <c r="AJ72" s="206">
        <v>0.37638888888888888</v>
      </c>
      <c r="AK72" s="207">
        <v>0.62569444444444444</v>
      </c>
      <c r="AL72" s="206">
        <v>0.37361111111111112</v>
      </c>
      <c r="AM72" s="207">
        <v>0.61388888888888893</v>
      </c>
      <c r="AN72" s="206">
        <v>0.37361111111111112</v>
      </c>
      <c r="AO72" s="207">
        <v>0.62777777777777777</v>
      </c>
      <c r="AP72" s="231" t="s">
        <v>679</v>
      </c>
      <c r="AQ72" s="234" t="s">
        <v>679</v>
      </c>
      <c r="AR72" s="232" t="s">
        <v>679</v>
      </c>
      <c r="AS72" s="234" t="s">
        <v>679</v>
      </c>
      <c r="AT72" s="207">
        <v>0.37777777777777777</v>
      </c>
      <c r="AU72" s="207">
        <v>0.60972222222222228</v>
      </c>
      <c r="AV72" s="206">
        <v>0.37708333333333333</v>
      </c>
      <c r="AW72" s="207">
        <v>0.62361111111111112</v>
      </c>
      <c r="AX72" s="206">
        <v>0.37569444444444444</v>
      </c>
      <c r="AY72" s="207">
        <v>0.62708333333333333</v>
      </c>
      <c r="AZ72" s="206">
        <v>0.37638888888888888</v>
      </c>
      <c r="BA72" s="207">
        <v>0.66111111111111109</v>
      </c>
      <c r="BB72" s="206">
        <v>0.38819444444444445</v>
      </c>
      <c r="BC72" s="207">
        <v>0.66041666666666665</v>
      </c>
      <c r="BD72" s="231" t="s">
        <v>679</v>
      </c>
      <c r="BE72" s="234" t="s">
        <v>679</v>
      </c>
      <c r="BF72" s="232" t="s">
        <v>679</v>
      </c>
      <c r="BG72" s="234" t="s">
        <v>679</v>
      </c>
      <c r="BH72" s="207">
        <v>0.375</v>
      </c>
      <c r="BI72" s="207">
        <v>0.66597222222222219</v>
      </c>
      <c r="BJ72" s="206">
        <v>0.39583333333333331</v>
      </c>
      <c r="BK72" s="207">
        <v>0.66736111111111107</v>
      </c>
      <c r="BL72" s="321">
        <v>21</v>
      </c>
      <c r="BM72" s="320">
        <v>18</v>
      </c>
      <c r="BN72" s="319" t="s">
        <v>691</v>
      </c>
      <c r="BO72" s="419"/>
    </row>
    <row r="73" spans="1:67" ht="17.25">
      <c r="A73" s="259" t="s">
        <v>108</v>
      </c>
      <c r="B73" s="259" t="s">
        <v>117</v>
      </c>
      <c r="C73" s="260" t="s">
        <v>118</v>
      </c>
      <c r="D73" s="246">
        <v>0.40208333333333335</v>
      </c>
      <c r="E73" s="230" t="s">
        <v>679</v>
      </c>
      <c r="F73" s="231" t="s">
        <v>679</v>
      </c>
      <c r="G73" s="232" t="s">
        <v>679</v>
      </c>
      <c r="H73" s="247">
        <v>0.38611111111111113</v>
      </c>
      <c r="I73" s="246">
        <v>0.6645833333333333</v>
      </c>
      <c r="J73" s="233" t="s">
        <v>679</v>
      </c>
      <c r="K73" s="246">
        <v>0.6430555555555556</v>
      </c>
      <c r="L73" s="247">
        <v>0.38611111111111113</v>
      </c>
      <c r="M73" s="246">
        <v>0.62569444444444444</v>
      </c>
      <c r="N73" s="231" t="s">
        <v>679</v>
      </c>
      <c r="O73" s="232" t="s">
        <v>679</v>
      </c>
      <c r="P73" s="231" t="s">
        <v>679</v>
      </c>
      <c r="Q73" s="234" t="s">
        <v>679</v>
      </c>
      <c r="R73" s="246">
        <v>0.43263888888888891</v>
      </c>
      <c r="S73" s="246">
        <v>0.68055555555555558</v>
      </c>
      <c r="T73" s="247">
        <v>0.3888888888888889</v>
      </c>
      <c r="U73" s="246">
        <v>0.67013888888888884</v>
      </c>
      <c r="V73" s="247">
        <v>0.38611111111111113</v>
      </c>
      <c r="W73" s="246">
        <v>0.70486111111111116</v>
      </c>
      <c r="X73" s="247">
        <v>0.38055555555555554</v>
      </c>
      <c r="Y73" s="230" t="s">
        <v>679</v>
      </c>
      <c r="Z73" s="247">
        <v>0.37777777777777777</v>
      </c>
      <c r="AA73" s="246">
        <v>0.64236111111111116</v>
      </c>
      <c r="AB73" s="231" t="s">
        <v>679</v>
      </c>
      <c r="AC73" s="234" t="s">
        <v>679</v>
      </c>
      <c r="AD73" s="232" t="s">
        <v>679</v>
      </c>
      <c r="AE73" s="234" t="s">
        <v>679</v>
      </c>
      <c r="AF73" s="207">
        <v>0.38541666666666669</v>
      </c>
      <c r="AG73" s="207">
        <v>0.63611111111111107</v>
      </c>
      <c r="AH73" s="206">
        <v>0.38263888888888886</v>
      </c>
      <c r="AI73" s="207">
        <v>0.67152777777777772</v>
      </c>
      <c r="AJ73" s="206">
        <v>0.38958333333333334</v>
      </c>
      <c r="AK73" s="207">
        <v>0.6333333333333333</v>
      </c>
      <c r="AL73" s="206">
        <v>0.37430555555555556</v>
      </c>
      <c r="AM73" s="207">
        <v>0.63888888888888884</v>
      </c>
      <c r="AN73" s="206">
        <v>0.4152777777777778</v>
      </c>
      <c r="AO73" s="207">
        <v>0.64861111111111114</v>
      </c>
      <c r="AP73" s="231" t="s">
        <v>679</v>
      </c>
      <c r="AQ73" s="234" t="s">
        <v>679</v>
      </c>
      <c r="AR73" s="232" t="s">
        <v>679</v>
      </c>
      <c r="AS73" s="234" t="s">
        <v>679</v>
      </c>
      <c r="AT73" s="207">
        <v>0.38333333333333336</v>
      </c>
      <c r="AU73" s="207">
        <v>0.66111111111111109</v>
      </c>
      <c r="AV73" s="206">
        <v>0.40555555555555556</v>
      </c>
      <c r="AW73" s="207">
        <v>0.62708333333333333</v>
      </c>
      <c r="AX73" s="206">
        <v>0.38263888888888886</v>
      </c>
      <c r="AY73" s="207">
        <v>0.66597222222222219</v>
      </c>
      <c r="AZ73" s="206">
        <v>0.39305555555555555</v>
      </c>
      <c r="BA73" s="207">
        <v>0.69374999999999998</v>
      </c>
      <c r="BB73" s="206">
        <v>0.41180555555555554</v>
      </c>
      <c r="BC73" s="207">
        <v>0.65833333333333333</v>
      </c>
      <c r="BD73" s="231" t="s">
        <v>679</v>
      </c>
      <c r="BE73" s="234" t="s">
        <v>679</v>
      </c>
      <c r="BF73" s="232" t="s">
        <v>679</v>
      </c>
      <c r="BG73" s="234" t="s">
        <v>679</v>
      </c>
      <c r="BH73" s="207">
        <v>0.38472222222222224</v>
      </c>
      <c r="BI73" s="207">
        <v>0.64930555555555558</v>
      </c>
      <c r="BJ73" s="206">
        <v>0.38541666666666669</v>
      </c>
      <c r="BK73" s="207">
        <v>0.67777777777777781</v>
      </c>
      <c r="BL73" s="321">
        <v>20</v>
      </c>
      <c r="BM73" s="320">
        <v>19</v>
      </c>
      <c r="BN73" s="319" t="s">
        <v>691</v>
      </c>
      <c r="BO73" s="419"/>
    </row>
    <row r="74" spans="1:67" ht="17.25">
      <c r="A74" s="259" t="s">
        <v>108</v>
      </c>
      <c r="B74" s="259" t="s">
        <v>119</v>
      </c>
      <c r="C74" s="260" t="s">
        <v>120</v>
      </c>
      <c r="D74" s="246">
        <v>0.38819444444444445</v>
      </c>
      <c r="E74" s="246">
        <v>0.69513888888888886</v>
      </c>
      <c r="F74" s="231" t="s">
        <v>679</v>
      </c>
      <c r="G74" s="232" t="s">
        <v>679</v>
      </c>
      <c r="H74" s="247">
        <v>0.3972222222222222</v>
      </c>
      <c r="I74" s="246">
        <v>0.6381944444444444</v>
      </c>
      <c r="J74" s="247">
        <v>0.38472222222222224</v>
      </c>
      <c r="K74" s="246">
        <v>0.62569444444444444</v>
      </c>
      <c r="L74" s="247">
        <v>0.42291666666666666</v>
      </c>
      <c r="M74" s="246">
        <v>0.61458333333333337</v>
      </c>
      <c r="N74" s="231" t="s">
        <v>679</v>
      </c>
      <c r="O74" s="232" t="s">
        <v>679</v>
      </c>
      <c r="P74" s="231" t="s">
        <v>679</v>
      </c>
      <c r="Q74" s="234" t="s">
        <v>679</v>
      </c>
      <c r="R74" s="246">
        <v>0.4375</v>
      </c>
      <c r="S74" s="246">
        <v>0.62430555555555556</v>
      </c>
      <c r="T74" s="247">
        <v>0.38472222222222224</v>
      </c>
      <c r="U74" s="246">
        <v>0.62569444444444444</v>
      </c>
      <c r="V74" s="247">
        <v>0.41736111111111113</v>
      </c>
      <c r="W74" s="246">
        <v>0.6166666666666667</v>
      </c>
      <c r="X74" s="247">
        <v>0.40763888888888888</v>
      </c>
      <c r="Y74" s="246">
        <v>0.6479166666666667</v>
      </c>
      <c r="Z74" s="247">
        <v>0.38194444444444442</v>
      </c>
      <c r="AA74" s="230" t="s">
        <v>679</v>
      </c>
      <c r="AB74" s="231" t="s">
        <v>679</v>
      </c>
      <c r="AC74" s="234" t="s">
        <v>679</v>
      </c>
      <c r="AD74" s="232" t="s">
        <v>679</v>
      </c>
      <c r="AE74" s="234" t="s">
        <v>679</v>
      </c>
      <c r="AF74" s="207">
        <v>0.38055555555555554</v>
      </c>
      <c r="AG74" s="207">
        <v>0.62013888888888891</v>
      </c>
      <c r="AH74" s="204" t="s">
        <v>679</v>
      </c>
      <c r="AI74" s="205" t="s">
        <v>679</v>
      </c>
      <c r="AJ74" s="206">
        <v>0.38333333333333336</v>
      </c>
      <c r="AK74" s="207">
        <v>0.64097222222222228</v>
      </c>
      <c r="AL74" s="206">
        <v>0.37638888888888888</v>
      </c>
      <c r="AM74" s="207">
        <v>0.65138888888888891</v>
      </c>
      <c r="AN74" s="206">
        <v>0.37986111111111109</v>
      </c>
      <c r="AO74" s="205" t="s">
        <v>679</v>
      </c>
      <c r="AP74" s="231" t="s">
        <v>679</v>
      </c>
      <c r="AQ74" s="234" t="s">
        <v>679</v>
      </c>
      <c r="AR74" s="232" t="s">
        <v>679</v>
      </c>
      <c r="AS74" s="234" t="s">
        <v>679</v>
      </c>
      <c r="AT74" s="207">
        <v>0.49791666666666667</v>
      </c>
      <c r="AU74" s="205" t="s">
        <v>679</v>
      </c>
      <c r="AV74" s="206">
        <v>0.37222222222222223</v>
      </c>
      <c r="AW74" s="205" t="s">
        <v>679</v>
      </c>
      <c r="AX74" s="206">
        <v>0.50277777777777777</v>
      </c>
      <c r="AY74" s="207">
        <v>0.69305555555555554</v>
      </c>
      <c r="AZ74" s="206">
        <v>0.37777777777777777</v>
      </c>
      <c r="BA74" s="207">
        <v>0.63124999999999998</v>
      </c>
      <c r="BB74" s="206">
        <v>0.3611111111111111</v>
      </c>
      <c r="BC74" s="205" t="s">
        <v>679</v>
      </c>
      <c r="BD74" s="231" t="s">
        <v>679</v>
      </c>
      <c r="BE74" s="234" t="s">
        <v>679</v>
      </c>
      <c r="BF74" s="232" t="s">
        <v>679</v>
      </c>
      <c r="BG74" s="234" t="s">
        <v>679</v>
      </c>
      <c r="BH74" s="205" t="s">
        <v>679</v>
      </c>
      <c r="BI74" s="205" t="s">
        <v>679</v>
      </c>
      <c r="BJ74" s="204" t="s">
        <v>679</v>
      </c>
      <c r="BK74" s="205" t="s">
        <v>679</v>
      </c>
      <c r="BL74" s="321">
        <v>18</v>
      </c>
      <c r="BM74" s="320">
        <v>13</v>
      </c>
      <c r="BN74" s="319" t="s">
        <v>705</v>
      </c>
      <c r="BO74" s="419"/>
    </row>
    <row r="75" spans="1:67" ht="17.25">
      <c r="A75" s="259" t="s">
        <v>108</v>
      </c>
      <c r="B75" s="259" t="s">
        <v>121</v>
      </c>
      <c r="C75" s="260" t="s">
        <v>122</v>
      </c>
      <c r="D75" s="246">
        <v>0.41388888888888886</v>
      </c>
      <c r="E75" s="246">
        <v>0.75555555555555554</v>
      </c>
      <c r="F75" s="231" t="s">
        <v>679</v>
      </c>
      <c r="G75" s="232" t="s">
        <v>679</v>
      </c>
      <c r="H75" s="247">
        <v>0.4909722222222222</v>
      </c>
      <c r="I75" s="246">
        <v>0.6479166666666667</v>
      </c>
      <c r="J75" s="233" t="s">
        <v>679</v>
      </c>
      <c r="K75" s="246">
        <v>0.69027777777777777</v>
      </c>
      <c r="L75" s="247">
        <v>0.4909722222222222</v>
      </c>
      <c r="M75" s="246">
        <v>0.64583333333333337</v>
      </c>
      <c r="N75" s="231" t="s">
        <v>679</v>
      </c>
      <c r="O75" s="232" t="s">
        <v>679</v>
      </c>
      <c r="P75" s="231" t="s">
        <v>679</v>
      </c>
      <c r="Q75" s="234" t="s">
        <v>679</v>
      </c>
      <c r="R75" s="246">
        <v>0.4826388888888889</v>
      </c>
      <c r="S75" s="246">
        <v>0.67708333333333337</v>
      </c>
      <c r="T75" s="247">
        <v>0.45694444444444443</v>
      </c>
      <c r="U75" s="246">
        <v>0.6791666666666667</v>
      </c>
      <c r="V75" s="247">
        <v>0.44861111111111113</v>
      </c>
      <c r="W75" s="246">
        <v>0.65972222222222221</v>
      </c>
      <c r="X75" s="247">
        <v>0.43194444444444446</v>
      </c>
      <c r="Y75" s="246">
        <v>0.67291666666666672</v>
      </c>
      <c r="Z75" s="247">
        <v>0.43888888888888888</v>
      </c>
      <c r="AA75" s="246">
        <v>0.67013888888888884</v>
      </c>
      <c r="AB75" s="231" t="s">
        <v>679</v>
      </c>
      <c r="AC75" s="234" t="s">
        <v>679</v>
      </c>
      <c r="AD75" s="232" t="s">
        <v>679</v>
      </c>
      <c r="AE75" s="234" t="s">
        <v>679</v>
      </c>
      <c r="AF75" s="207">
        <v>0.44722222222222224</v>
      </c>
      <c r="AG75" s="207">
        <v>0.66805555555555551</v>
      </c>
      <c r="AH75" s="206">
        <v>0.39166666666666666</v>
      </c>
      <c r="AI75" s="207">
        <v>0.65416666666666667</v>
      </c>
      <c r="AJ75" s="206">
        <v>0.44305555555555554</v>
      </c>
      <c r="AK75" s="207">
        <v>0.6694444444444444</v>
      </c>
      <c r="AL75" s="206">
        <v>0.44236111111111109</v>
      </c>
      <c r="AM75" s="207">
        <v>0.64444444444444449</v>
      </c>
      <c r="AN75" s="206">
        <v>0.45277777777777778</v>
      </c>
      <c r="AO75" s="207">
        <v>0.66666666666666663</v>
      </c>
      <c r="AP75" s="231" t="s">
        <v>679</v>
      </c>
      <c r="AQ75" s="234" t="s">
        <v>679</v>
      </c>
      <c r="AR75" s="232" t="s">
        <v>679</v>
      </c>
      <c r="AS75" s="234" t="s">
        <v>679</v>
      </c>
      <c r="AT75" s="207">
        <v>0.44444444444444442</v>
      </c>
      <c r="AU75" s="207">
        <v>0.66805555555555551</v>
      </c>
      <c r="AV75" s="206">
        <v>0.41875000000000001</v>
      </c>
      <c r="AW75" s="207">
        <v>0.63194444444444442</v>
      </c>
      <c r="AX75" s="206">
        <v>0.41111111111111109</v>
      </c>
      <c r="AY75" s="207">
        <v>0.65416666666666667</v>
      </c>
      <c r="AZ75" s="206">
        <v>0.41249999999999998</v>
      </c>
      <c r="BA75" s="207">
        <v>0.65972222222222221</v>
      </c>
      <c r="BB75" s="206">
        <v>0.41597222222222224</v>
      </c>
      <c r="BC75" s="207">
        <v>0.68194444444444446</v>
      </c>
      <c r="BD75" s="231" t="s">
        <v>679</v>
      </c>
      <c r="BE75" s="234" t="s">
        <v>679</v>
      </c>
      <c r="BF75" s="232" t="s">
        <v>679</v>
      </c>
      <c r="BG75" s="234" t="s">
        <v>679</v>
      </c>
      <c r="BH75" s="207">
        <v>0.44722222222222224</v>
      </c>
      <c r="BI75" s="207">
        <v>0.69652777777777775</v>
      </c>
      <c r="BJ75" s="206">
        <v>0.46458333333333335</v>
      </c>
      <c r="BK75" s="207">
        <v>0.65347222222222223</v>
      </c>
      <c r="BL75" s="321">
        <v>20</v>
      </c>
      <c r="BM75" s="320">
        <v>21</v>
      </c>
      <c r="BN75" s="319" t="s">
        <v>682</v>
      </c>
      <c r="BO75" s="420"/>
    </row>
    <row r="76" spans="1:67" ht="15" customHeight="1">
      <c r="A76" s="259" t="s">
        <v>123</v>
      </c>
      <c r="B76" s="259" t="s">
        <v>124</v>
      </c>
      <c r="C76" s="260" t="s">
        <v>125</v>
      </c>
      <c r="D76" s="297">
        <v>0.3659722222222222</v>
      </c>
      <c r="E76" s="230" t="s">
        <v>679</v>
      </c>
      <c r="F76" s="248">
        <v>0.37291666666666667</v>
      </c>
      <c r="G76" s="251">
        <v>0.65555555555555556</v>
      </c>
      <c r="H76" s="247">
        <v>0.37291666666666667</v>
      </c>
      <c r="I76" s="246">
        <v>0.63194444444444442</v>
      </c>
      <c r="J76" s="247">
        <v>0.37986111111111109</v>
      </c>
      <c r="K76" s="246">
        <v>0.61597222222222225</v>
      </c>
      <c r="L76" s="247">
        <v>0.42499999999999999</v>
      </c>
      <c r="M76" s="246">
        <v>0.67847222222222225</v>
      </c>
      <c r="N76" s="248">
        <v>0.36736111111111114</v>
      </c>
      <c r="O76" s="232" t="s">
        <v>679</v>
      </c>
      <c r="P76" s="231" t="s">
        <v>679</v>
      </c>
      <c r="Q76" s="234" t="s">
        <v>679</v>
      </c>
      <c r="R76" s="246">
        <v>0.39513888888888887</v>
      </c>
      <c r="S76" s="246">
        <v>0.63124999999999998</v>
      </c>
      <c r="T76" s="247">
        <v>0.36249999999999999</v>
      </c>
      <c r="U76" s="246">
        <v>0.62916666666666665</v>
      </c>
      <c r="V76" s="247">
        <v>0.36180555555555555</v>
      </c>
      <c r="W76" s="246">
        <v>0.63194444444444442</v>
      </c>
      <c r="X76" s="247">
        <v>0.35486111111111113</v>
      </c>
      <c r="Y76" s="246">
        <v>0.62777777777777777</v>
      </c>
      <c r="Z76" s="247">
        <v>0.37708333333333333</v>
      </c>
      <c r="AA76" s="246">
        <v>0.62708333333333333</v>
      </c>
      <c r="AB76" s="231" t="s">
        <v>679</v>
      </c>
      <c r="AC76" s="234" t="s">
        <v>679</v>
      </c>
      <c r="AD76" s="232" t="s">
        <v>679</v>
      </c>
      <c r="AE76" s="234" t="s">
        <v>679</v>
      </c>
      <c r="AF76" s="207">
        <v>0.35972222222222222</v>
      </c>
      <c r="AG76" s="207">
        <v>0.62916666666666665</v>
      </c>
      <c r="AH76" s="206">
        <v>0.39444444444444443</v>
      </c>
      <c r="AI76" s="207">
        <v>0.64166666666666672</v>
      </c>
      <c r="AJ76" s="206">
        <v>0.38194444444444442</v>
      </c>
      <c r="AK76" s="207">
        <v>0.62152777777777779</v>
      </c>
      <c r="AL76" s="206">
        <v>0.34652777777777777</v>
      </c>
      <c r="AM76" s="207">
        <v>0.62638888888888888</v>
      </c>
      <c r="AN76" s="206">
        <v>0.38124999999999998</v>
      </c>
      <c r="AO76" s="207">
        <v>0.75277777777777777</v>
      </c>
      <c r="AP76" s="231" t="s">
        <v>679</v>
      </c>
      <c r="AQ76" s="234" t="s">
        <v>679</v>
      </c>
      <c r="AR76" s="232" t="s">
        <v>679</v>
      </c>
      <c r="AS76" s="234" t="s">
        <v>679</v>
      </c>
      <c r="AT76" s="207">
        <v>0.3659722222222222</v>
      </c>
      <c r="AU76" s="207">
        <v>0.75069444444444444</v>
      </c>
      <c r="AV76" s="206">
        <v>0.3659722222222222</v>
      </c>
      <c r="AW76" s="207">
        <v>0.75694444444444442</v>
      </c>
      <c r="AX76" s="206">
        <v>0.37916666666666665</v>
      </c>
      <c r="AY76" s="207">
        <v>0.62222222222222223</v>
      </c>
      <c r="AZ76" s="206">
        <v>0.36944444444444446</v>
      </c>
      <c r="BA76" s="207">
        <v>0.75138888888888888</v>
      </c>
      <c r="BB76" s="206">
        <v>0.37777777777777777</v>
      </c>
      <c r="BC76" s="207">
        <v>0.75277777777777777</v>
      </c>
      <c r="BD76" s="231" t="s">
        <v>679</v>
      </c>
      <c r="BE76" s="234" t="s">
        <v>679</v>
      </c>
      <c r="BF76" s="232" t="s">
        <v>679</v>
      </c>
      <c r="BG76" s="234" t="s">
        <v>679</v>
      </c>
      <c r="BH76" s="207">
        <v>0.35833333333333334</v>
      </c>
      <c r="BI76" s="207">
        <v>0.67500000000000004</v>
      </c>
      <c r="BJ76" s="206">
        <v>0.38958333333333334</v>
      </c>
      <c r="BK76" s="207">
        <v>0.62708333333333333</v>
      </c>
      <c r="BL76" s="321">
        <v>22</v>
      </c>
      <c r="BM76" s="320">
        <v>21</v>
      </c>
      <c r="BN76" s="319" t="s">
        <v>706</v>
      </c>
      <c r="BO76" s="419" t="s">
        <v>682</v>
      </c>
    </row>
    <row r="77" spans="1:67" ht="17.25">
      <c r="A77" s="259" t="s">
        <v>123</v>
      </c>
      <c r="B77" s="259" t="s">
        <v>126</v>
      </c>
      <c r="C77" s="260" t="s">
        <v>127</v>
      </c>
      <c r="D77" s="246">
        <v>0.43611111111111112</v>
      </c>
      <c r="E77" s="246">
        <v>0.63958333333333328</v>
      </c>
      <c r="F77" s="231" t="s">
        <v>679</v>
      </c>
      <c r="G77" s="251">
        <v>0.82361111111111107</v>
      </c>
      <c r="H77" s="247">
        <v>0.375</v>
      </c>
      <c r="I77" s="246">
        <v>0.64722222222222225</v>
      </c>
      <c r="J77" s="247">
        <v>0.34583333333333333</v>
      </c>
      <c r="K77" s="246">
        <v>0.66041666666666665</v>
      </c>
      <c r="L77" s="247">
        <v>0.3840277777777778</v>
      </c>
      <c r="M77" s="246">
        <v>0.67222222222222228</v>
      </c>
      <c r="N77" s="248">
        <v>0.47291666666666665</v>
      </c>
      <c r="O77" s="251">
        <v>0.58888888888888891</v>
      </c>
      <c r="P77" s="231" t="s">
        <v>679</v>
      </c>
      <c r="Q77" s="234" t="s">
        <v>679</v>
      </c>
      <c r="R77" s="246">
        <v>0.3972222222222222</v>
      </c>
      <c r="S77" s="294">
        <v>0.6743055555555556</v>
      </c>
      <c r="T77" s="247">
        <v>0.36527777777777776</v>
      </c>
      <c r="U77" s="246">
        <v>0.69861111111111107</v>
      </c>
      <c r="V77" s="247">
        <v>0.39374999999999999</v>
      </c>
      <c r="W77" s="246">
        <v>0.65555555555555556</v>
      </c>
      <c r="X77" s="247">
        <v>0.38611111111111113</v>
      </c>
      <c r="Y77" s="258">
        <v>0.65</v>
      </c>
      <c r="Z77" s="247">
        <v>0.34861111111111109</v>
      </c>
      <c r="AA77" s="246">
        <v>0.67361111111111116</v>
      </c>
      <c r="AB77" s="231" t="s">
        <v>679</v>
      </c>
      <c r="AC77" s="234" t="s">
        <v>679</v>
      </c>
      <c r="AD77" s="232" t="s">
        <v>679</v>
      </c>
      <c r="AE77" s="234" t="s">
        <v>679</v>
      </c>
      <c r="AF77" s="298">
        <v>0.35208333333333336</v>
      </c>
      <c r="AG77" s="207">
        <v>0.64375000000000004</v>
      </c>
      <c r="AH77" s="206">
        <v>0.34652777777777777</v>
      </c>
      <c r="AI77" s="207">
        <v>0.65138888888888891</v>
      </c>
      <c r="AJ77" s="206">
        <v>0.36805555555555558</v>
      </c>
      <c r="AK77" s="207">
        <v>0.63472222222222219</v>
      </c>
      <c r="AL77" s="206">
        <v>0.37638888888888888</v>
      </c>
      <c r="AM77" s="207">
        <v>0.64652777777777781</v>
      </c>
      <c r="AN77" s="206">
        <v>0.36180555555555555</v>
      </c>
      <c r="AO77" s="207">
        <v>0.65069444444444446</v>
      </c>
      <c r="AP77" s="231" t="s">
        <v>679</v>
      </c>
      <c r="AQ77" s="234" t="s">
        <v>679</v>
      </c>
      <c r="AR77" s="232" t="s">
        <v>679</v>
      </c>
      <c r="AS77" s="234" t="s">
        <v>679</v>
      </c>
      <c r="AT77" s="207">
        <v>0.46041666666666664</v>
      </c>
      <c r="AU77" s="207">
        <v>0.64375000000000004</v>
      </c>
      <c r="AV77" s="206">
        <v>0.37361111111111112</v>
      </c>
      <c r="AW77" s="207">
        <v>0.65416666666666667</v>
      </c>
      <c r="AX77" s="206">
        <v>0.36180555555555555</v>
      </c>
      <c r="AY77" s="207">
        <v>0.66597222222222219</v>
      </c>
      <c r="AZ77" s="206">
        <v>0.37013888888888891</v>
      </c>
      <c r="BA77" s="207">
        <v>0.66874999999999996</v>
      </c>
      <c r="BB77" s="206">
        <v>0.3888888888888889</v>
      </c>
      <c r="BC77" s="207">
        <v>0.65833333333333333</v>
      </c>
      <c r="BD77" s="231" t="s">
        <v>679</v>
      </c>
      <c r="BE77" s="234" t="s">
        <v>679</v>
      </c>
      <c r="BF77" s="232" t="s">
        <v>679</v>
      </c>
      <c r="BG77" s="234" t="s">
        <v>679</v>
      </c>
      <c r="BH77" s="205" t="s">
        <v>679</v>
      </c>
      <c r="BI77" s="207">
        <v>0.62638888888888888</v>
      </c>
      <c r="BJ77" s="206">
        <v>0.38472222222222224</v>
      </c>
      <c r="BK77" s="207">
        <v>0.6479166666666667</v>
      </c>
      <c r="BL77" s="321">
        <v>20</v>
      </c>
      <c r="BM77" s="320">
        <v>22</v>
      </c>
      <c r="BN77" s="319" t="s">
        <v>689</v>
      </c>
      <c r="BO77" s="419"/>
    </row>
    <row r="78" spans="1:67" ht="17.25">
      <c r="A78" s="259" t="s">
        <v>123</v>
      </c>
      <c r="B78" s="259" t="s">
        <v>641</v>
      </c>
      <c r="C78" s="260" t="s">
        <v>193</v>
      </c>
      <c r="D78" s="246">
        <v>0.38194444444444442</v>
      </c>
      <c r="E78" s="294">
        <v>0.6645833333333333</v>
      </c>
      <c r="F78" s="248">
        <v>0.34305555555555556</v>
      </c>
      <c r="G78" s="251">
        <v>0.62222222222222223</v>
      </c>
      <c r="H78" s="247">
        <v>0.38055555555555554</v>
      </c>
      <c r="I78" s="230" t="s">
        <v>679</v>
      </c>
      <c r="J78" s="247">
        <v>0.38055555555555554</v>
      </c>
      <c r="K78" s="246">
        <v>0.63124999999999998</v>
      </c>
      <c r="L78" s="293">
        <v>0.34861111111111109</v>
      </c>
      <c r="M78" s="294">
        <v>0.62777777777777777</v>
      </c>
      <c r="N78" s="231" t="s">
        <v>679</v>
      </c>
      <c r="O78" s="232" t="s">
        <v>679</v>
      </c>
      <c r="P78" s="231" t="s">
        <v>679</v>
      </c>
      <c r="Q78" s="234" t="s">
        <v>679</v>
      </c>
      <c r="R78" s="246">
        <v>0.38819444444444445</v>
      </c>
      <c r="S78" s="246">
        <v>0.62916666666666665</v>
      </c>
      <c r="T78" s="247">
        <v>0.38472222222222224</v>
      </c>
      <c r="U78" s="246">
        <v>0.64722222222222225</v>
      </c>
      <c r="V78" s="247">
        <v>0.37986111111111109</v>
      </c>
      <c r="W78" s="246">
        <v>0.65069444444444446</v>
      </c>
      <c r="X78" s="247">
        <v>0.33680555555555558</v>
      </c>
      <c r="Y78" s="246">
        <v>0.63194444444444442</v>
      </c>
      <c r="Z78" s="247">
        <v>0.39027777777777778</v>
      </c>
      <c r="AA78" s="246">
        <v>0.64097222222222228</v>
      </c>
      <c r="AB78" s="231" t="s">
        <v>679</v>
      </c>
      <c r="AC78" s="234" t="s">
        <v>679</v>
      </c>
      <c r="AD78" s="232" t="s">
        <v>679</v>
      </c>
      <c r="AE78" s="234" t="s">
        <v>679</v>
      </c>
      <c r="AF78" s="207">
        <v>0.37569444444444444</v>
      </c>
      <c r="AG78" s="207">
        <v>0.67152777777777772</v>
      </c>
      <c r="AH78" s="206">
        <v>0.44444444444444442</v>
      </c>
      <c r="AI78" s="207">
        <v>0.75416666666666665</v>
      </c>
      <c r="AJ78" s="206">
        <v>0.47916666666666669</v>
      </c>
      <c r="AK78" s="207">
        <v>0.73402777777777772</v>
      </c>
      <c r="AL78" s="206">
        <v>0.38124999999999998</v>
      </c>
      <c r="AM78" s="207">
        <v>0.65138888888888891</v>
      </c>
      <c r="AN78" s="206">
        <v>0.37986111111111109</v>
      </c>
      <c r="AO78" s="207">
        <v>0.66874999999999996</v>
      </c>
      <c r="AP78" s="231" t="s">
        <v>679</v>
      </c>
      <c r="AQ78" s="234" t="s">
        <v>679</v>
      </c>
      <c r="AR78" s="232" t="s">
        <v>679</v>
      </c>
      <c r="AS78" s="234" t="s">
        <v>679</v>
      </c>
      <c r="AT78" s="207">
        <v>0.38333333333333336</v>
      </c>
      <c r="AU78" s="207">
        <v>0.65347222222222223</v>
      </c>
      <c r="AV78" s="206">
        <v>0.37152777777777779</v>
      </c>
      <c r="AW78" s="207">
        <v>0.74930555555555556</v>
      </c>
      <c r="AX78" s="204" t="s">
        <v>679</v>
      </c>
      <c r="AY78" s="207">
        <v>0.77152777777777781</v>
      </c>
      <c r="AZ78" s="206">
        <v>0.35625000000000001</v>
      </c>
      <c r="BA78" s="207">
        <v>0.74930555555555556</v>
      </c>
      <c r="BB78" s="206">
        <v>0.45347222222222222</v>
      </c>
      <c r="BC78" s="207">
        <v>0.72847222222222219</v>
      </c>
      <c r="BD78" s="231" t="s">
        <v>679</v>
      </c>
      <c r="BE78" s="234" t="s">
        <v>679</v>
      </c>
      <c r="BF78" s="232" t="s">
        <v>679</v>
      </c>
      <c r="BG78" s="234" t="s">
        <v>679</v>
      </c>
      <c r="BH78" s="207">
        <v>0.40763888888888888</v>
      </c>
      <c r="BI78" s="207">
        <v>0.76527777777777772</v>
      </c>
      <c r="BJ78" s="206">
        <v>0.47013888888888888</v>
      </c>
      <c r="BK78" s="207">
        <v>0.75277777777777777</v>
      </c>
      <c r="BL78" s="321">
        <v>21</v>
      </c>
      <c r="BM78" s="320">
        <v>21</v>
      </c>
      <c r="BN78" s="319" t="s">
        <v>689</v>
      </c>
      <c r="BO78" s="419"/>
    </row>
    <row r="79" spans="1:67" ht="17.25">
      <c r="A79" s="259" t="s">
        <v>123</v>
      </c>
      <c r="B79" s="259" t="s">
        <v>128</v>
      </c>
      <c r="C79" s="260" t="s">
        <v>194</v>
      </c>
      <c r="D79" s="246">
        <v>0.36319444444444443</v>
      </c>
      <c r="E79" s="230" t="s">
        <v>679</v>
      </c>
      <c r="F79" s="248">
        <v>0.36388888888888887</v>
      </c>
      <c r="G79" s="232" t="s">
        <v>679</v>
      </c>
      <c r="H79" s="233" t="s">
        <v>679</v>
      </c>
      <c r="I79" s="230" t="s">
        <v>679</v>
      </c>
      <c r="J79" s="247">
        <v>0.36736111111111114</v>
      </c>
      <c r="K79" s="230" t="s">
        <v>679</v>
      </c>
      <c r="L79" s="247">
        <v>0.37152777777777779</v>
      </c>
      <c r="M79" s="246">
        <v>0.66111111111111109</v>
      </c>
      <c r="N79" s="248">
        <v>0.39583333333333331</v>
      </c>
      <c r="O79" s="232" t="s">
        <v>679</v>
      </c>
      <c r="P79" s="231" t="s">
        <v>679</v>
      </c>
      <c r="Q79" s="234" t="s">
        <v>679</v>
      </c>
      <c r="R79" s="246">
        <v>0.38194444444444442</v>
      </c>
      <c r="S79" s="246">
        <v>0.64722222222222225</v>
      </c>
      <c r="T79" s="247">
        <v>0.37152777777777779</v>
      </c>
      <c r="U79" s="246">
        <v>0.65486111111111112</v>
      </c>
      <c r="V79" s="247">
        <v>0.36527777777777776</v>
      </c>
      <c r="W79" s="246">
        <v>0.67638888888888893</v>
      </c>
      <c r="X79" s="247">
        <v>0.37430555555555556</v>
      </c>
      <c r="Y79" s="246">
        <v>0.63611111111111107</v>
      </c>
      <c r="Z79" s="247">
        <v>0.37847222222222221</v>
      </c>
      <c r="AA79" s="246">
        <v>0.64236111111111116</v>
      </c>
      <c r="AB79" s="231" t="s">
        <v>679</v>
      </c>
      <c r="AC79" s="234" t="s">
        <v>679</v>
      </c>
      <c r="AD79" s="232" t="s">
        <v>679</v>
      </c>
      <c r="AE79" s="234" t="s">
        <v>679</v>
      </c>
      <c r="AF79" s="299">
        <v>0.38472222222222224</v>
      </c>
      <c r="AG79" s="207">
        <v>0.64513888888888893</v>
      </c>
      <c r="AH79" s="206">
        <v>0.36249999999999999</v>
      </c>
      <c r="AI79" s="207">
        <v>0.63611111111111107</v>
      </c>
      <c r="AJ79" s="206">
        <v>0.36319444444444443</v>
      </c>
      <c r="AK79" s="207">
        <v>0.62708333333333333</v>
      </c>
      <c r="AL79" s="206">
        <v>0.36666666666666664</v>
      </c>
      <c r="AM79" s="207">
        <v>0.62569444444444444</v>
      </c>
      <c r="AN79" s="206">
        <v>0.35138888888888886</v>
      </c>
      <c r="AO79" s="207">
        <v>0.63124999999999998</v>
      </c>
      <c r="AP79" s="231" t="s">
        <v>679</v>
      </c>
      <c r="AQ79" s="234" t="s">
        <v>679</v>
      </c>
      <c r="AR79" s="232" t="s">
        <v>679</v>
      </c>
      <c r="AS79" s="234" t="s">
        <v>679</v>
      </c>
      <c r="AT79" s="207">
        <v>0.37152777777777779</v>
      </c>
      <c r="AU79" s="207">
        <v>0.61597222222222225</v>
      </c>
      <c r="AV79" s="206">
        <v>0.37708333333333333</v>
      </c>
      <c r="AW79" s="207">
        <v>0.61944444444444446</v>
      </c>
      <c r="AX79" s="206">
        <v>0.5</v>
      </c>
      <c r="AY79" s="207">
        <v>0.64236111111111116</v>
      </c>
      <c r="AZ79" s="206">
        <v>0.35694444444444445</v>
      </c>
      <c r="BA79" s="207">
        <v>0.64166666666666672</v>
      </c>
      <c r="BB79" s="206">
        <v>0.35069444444444442</v>
      </c>
      <c r="BC79" s="207">
        <v>0.62916666666666665</v>
      </c>
      <c r="BD79" s="231" t="s">
        <v>679</v>
      </c>
      <c r="BE79" s="234" t="s">
        <v>679</v>
      </c>
      <c r="BF79" s="232" t="s">
        <v>679</v>
      </c>
      <c r="BG79" s="234" t="s">
        <v>679</v>
      </c>
      <c r="BH79" s="207">
        <v>0.36319444444444443</v>
      </c>
      <c r="BI79" s="207">
        <v>0.53333333333333333</v>
      </c>
      <c r="BJ79" s="206">
        <v>0.36666666666666664</v>
      </c>
      <c r="BK79" s="207">
        <v>0.62708333333333333</v>
      </c>
      <c r="BL79" s="321">
        <v>21</v>
      </c>
      <c r="BM79" s="320">
        <v>18</v>
      </c>
      <c r="BN79" s="319" t="s">
        <v>691</v>
      </c>
      <c r="BO79" s="419"/>
    </row>
    <row r="80" spans="1:67" ht="17.25">
      <c r="A80" s="259" t="s">
        <v>123</v>
      </c>
      <c r="B80" s="259" t="s">
        <v>130</v>
      </c>
      <c r="C80" s="260" t="s">
        <v>131</v>
      </c>
      <c r="D80" s="246">
        <v>0.38750000000000001</v>
      </c>
      <c r="E80" s="294">
        <v>0.65694444444444444</v>
      </c>
      <c r="F80" s="248">
        <v>0.36319444444444443</v>
      </c>
      <c r="G80" s="232" t="s">
        <v>679</v>
      </c>
      <c r="H80" s="233" t="s">
        <v>679</v>
      </c>
      <c r="I80" s="230" t="s">
        <v>679</v>
      </c>
      <c r="J80" s="233" t="s">
        <v>679</v>
      </c>
      <c r="K80" s="230" t="s">
        <v>679</v>
      </c>
      <c r="L80" s="247">
        <v>0.38055555555555554</v>
      </c>
      <c r="M80" s="246">
        <v>0.68680555555555556</v>
      </c>
      <c r="N80" s="248">
        <v>0.4548611111111111</v>
      </c>
      <c r="O80" s="232" t="s">
        <v>679</v>
      </c>
      <c r="P80" s="231" t="s">
        <v>679</v>
      </c>
      <c r="Q80" s="234" t="s">
        <v>679</v>
      </c>
      <c r="R80" s="261">
        <v>0.39583333333333331</v>
      </c>
      <c r="S80" s="246">
        <v>0.78402777777777777</v>
      </c>
      <c r="T80" s="233" t="s">
        <v>679</v>
      </c>
      <c r="U80" s="230" t="s">
        <v>679</v>
      </c>
      <c r="V80" s="247">
        <v>0.47361111111111109</v>
      </c>
      <c r="W80" s="246">
        <v>0.65694444444444444</v>
      </c>
      <c r="X80" s="247">
        <v>0.36458333333333331</v>
      </c>
      <c r="Y80" s="246">
        <v>0.62986111111111109</v>
      </c>
      <c r="Z80" s="247">
        <v>0.36944444444444446</v>
      </c>
      <c r="AA80" s="246">
        <v>0.66805555555555551</v>
      </c>
      <c r="AB80" s="231" t="s">
        <v>679</v>
      </c>
      <c r="AC80" s="234" t="s">
        <v>679</v>
      </c>
      <c r="AD80" s="232" t="s">
        <v>679</v>
      </c>
      <c r="AE80" s="234" t="s">
        <v>679</v>
      </c>
      <c r="AF80" s="207">
        <v>0.38611111111111113</v>
      </c>
      <c r="AG80" s="207">
        <v>0.67152777777777772</v>
      </c>
      <c r="AH80" s="206">
        <v>0.44444444444444442</v>
      </c>
      <c r="AI80" s="207">
        <v>0.75416666666666665</v>
      </c>
      <c r="AJ80" s="206">
        <v>0.47916666666666669</v>
      </c>
      <c r="AK80" s="207">
        <v>0.73402777777777772</v>
      </c>
      <c r="AL80" s="206">
        <v>0.38124999999999998</v>
      </c>
      <c r="AM80" s="207">
        <v>0.65138888888888891</v>
      </c>
      <c r="AN80" s="206">
        <v>0.37986111111111109</v>
      </c>
      <c r="AO80" s="207">
        <v>0.66874999999999996</v>
      </c>
      <c r="AP80" s="231" t="s">
        <v>679</v>
      </c>
      <c r="AQ80" s="234" t="s">
        <v>679</v>
      </c>
      <c r="AR80" s="232" t="s">
        <v>679</v>
      </c>
      <c r="AS80" s="234" t="s">
        <v>679</v>
      </c>
      <c r="AT80" s="207">
        <v>0.38333333333333336</v>
      </c>
      <c r="AU80" s="207">
        <v>0.65347222222222223</v>
      </c>
      <c r="AV80" s="206">
        <v>0.37152777777777779</v>
      </c>
      <c r="AW80" s="207">
        <v>0.74930555555555556</v>
      </c>
      <c r="AX80" s="204" t="s">
        <v>679</v>
      </c>
      <c r="AY80" s="207">
        <v>0.77152777777777781</v>
      </c>
      <c r="AZ80" s="206">
        <v>0.35625000000000001</v>
      </c>
      <c r="BA80" s="207">
        <v>0.74930555555555556</v>
      </c>
      <c r="BB80" s="206">
        <v>0.45347222222222222</v>
      </c>
      <c r="BC80" s="207">
        <v>0.72847222222222219</v>
      </c>
      <c r="BD80" s="231" t="s">
        <v>679</v>
      </c>
      <c r="BE80" s="234" t="s">
        <v>679</v>
      </c>
      <c r="BF80" s="232" t="s">
        <v>679</v>
      </c>
      <c r="BG80" s="234" t="s">
        <v>679</v>
      </c>
      <c r="BH80" s="207">
        <v>0.40763888888888888</v>
      </c>
      <c r="BI80" s="207">
        <v>0.76527777777777772</v>
      </c>
      <c r="BJ80" s="206">
        <v>0.47013888888888888</v>
      </c>
      <c r="BK80" s="207">
        <v>0.75277777777777777</v>
      </c>
      <c r="BL80" s="321">
        <v>18</v>
      </c>
      <c r="BM80" s="320">
        <v>18</v>
      </c>
      <c r="BN80" s="319" t="s">
        <v>683</v>
      </c>
      <c r="BO80" s="419"/>
    </row>
    <row r="81" spans="1:67" ht="17.25">
      <c r="A81" s="259" t="s">
        <v>123</v>
      </c>
      <c r="B81" s="259" t="s">
        <v>132</v>
      </c>
      <c r="C81" s="260" t="s">
        <v>133</v>
      </c>
      <c r="D81" s="246">
        <v>0.39861111111111114</v>
      </c>
      <c r="E81" s="294">
        <v>0.64861111111111114</v>
      </c>
      <c r="F81" s="248">
        <v>0.33055555555555555</v>
      </c>
      <c r="G81" s="251">
        <v>0.62083333333333335</v>
      </c>
      <c r="H81" s="247">
        <v>0.40555555555555556</v>
      </c>
      <c r="I81" s="246">
        <v>0.65694444444444444</v>
      </c>
      <c r="J81" s="247">
        <v>0.39861111111111114</v>
      </c>
      <c r="K81" s="246">
        <v>0.65902777777777777</v>
      </c>
      <c r="L81" s="247">
        <v>0.41736111111111113</v>
      </c>
      <c r="M81" s="246">
        <v>0.68958333333333333</v>
      </c>
      <c r="N81" s="248">
        <v>0.38124999999999998</v>
      </c>
      <c r="O81" s="232" t="s">
        <v>679</v>
      </c>
      <c r="P81" s="231" t="s">
        <v>679</v>
      </c>
      <c r="Q81" s="234" t="s">
        <v>679</v>
      </c>
      <c r="R81" s="246">
        <v>0.39305555555555555</v>
      </c>
      <c r="S81" s="246">
        <v>0.66597222222222219</v>
      </c>
      <c r="T81" s="247">
        <v>0.41041666666666665</v>
      </c>
      <c r="U81" s="246">
        <v>0.65277777777777779</v>
      </c>
      <c r="V81" s="247">
        <v>0.41319444444444442</v>
      </c>
      <c r="W81" s="246">
        <v>0.65902777777777777</v>
      </c>
      <c r="X81" s="247">
        <v>0.37361111111111112</v>
      </c>
      <c r="Y81" s="246">
        <v>0.63263888888888886</v>
      </c>
      <c r="Z81" s="247">
        <v>0.39930555555555558</v>
      </c>
      <c r="AA81" s="246">
        <v>0.64722222222222225</v>
      </c>
      <c r="AB81" s="231" t="s">
        <v>679</v>
      </c>
      <c r="AC81" s="234" t="s">
        <v>679</v>
      </c>
      <c r="AD81" s="232" t="s">
        <v>679</v>
      </c>
      <c r="AE81" s="234" t="s">
        <v>679</v>
      </c>
      <c r="AF81" s="207">
        <v>0.39930555555555558</v>
      </c>
      <c r="AG81" s="207">
        <v>0.64166666666666672</v>
      </c>
      <c r="AH81" s="206">
        <v>0.38819444444444445</v>
      </c>
      <c r="AI81" s="207">
        <v>0.6430555555555556</v>
      </c>
      <c r="AJ81" s="206">
        <v>0.39027777777777778</v>
      </c>
      <c r="AK81" s="207">
        <v>0.63680555555555551</v>
      </c>
      <c r="AL81" s="206">
        <v>0.38333333333333336</v>
      </c>
      <c r="AM81" s="207">
        <v>0.65277777777777779</v>
      </c>
      <c r="AN81" s="206">
        <v>0.39861111111111114</v>
      </c>
      <c r="AO81" s="207">
        <v>0.63749999999999996</v>
      </c>
      <c r="AP81" s="231" t="s">
        <v>679</v>
      </c>
      <c r="AQ81" s="234" t="s">
        <v>679</v>
      </c>
      <c r="AR81" s="232" t="s">
        <v>679</v>
      </c>
      <c r="AS81" s="234" t="s">
        <v>679</v>
      </c>
      <c r="AT81" s="207">
        <v>0.4</v>
      </c>
      <c r="AU81" s="207">
        <v>0.65138888888888891</v>
      </c>
      <c r="AV81" s="206">
        <v>0.38124999999999998</v>
      </c>
      <c r="AW81" s="207">
        <v>0.64236111111111116</v>
      </c>
      <c r="AX81" s="206">
        <v>0.40625</v>
      </c>
      <c r="AY81" s="207">
        <v>0.64583333333333337</v>
      </c>
      <c r="AZ81" s="206">
        <v>0.40694444444444444</v>
      </c>
      <c r="BA81" s="207">
        <v>0.63611111111111107</v>
      </c>
      <c r="BB81" s="206">
        <v>0.39513888888888887</v>
      </c>
      <c r="BC81" s="207">
        <v>0.65416666666666667</v>
      </c>
      <c r="BD81" s="231" t="s">
        <v>679</v>
      </c>
      <c r="BE81" s="234" t="s">
        <v>679</v>
      </c>
      <c r="BF81" s="232" t="s">
        <v>679</v>
      </c>
      <c r="BG81" s="234" t="s">
        <v>679</v>
      </c>
      <c r="BH81" s="207">
        <v>0.3923611111111111</v>
      </c>
      <c r="BI81" s="207">
        <v>0.7583333333333333</v>
      </c>
      <c r="BJ81" s="206">
        <v>0.3888888888888889</v>
      </c>
      <c r="BK81" s="207">
        <v>0.65347222222222223</v>
      </c>
      <c r="BL81" s="321">
        <v>22</v>
      </c>
      <c r="BM81" s="320">
        <v>22</v>
      </c>
      <c r="BN81" s="319" t="s">
        <v>697</v>
      </c>
      <c r="BO81" s="427"/>
    </row>
    <row r="82" spans="1:67" ht="15" customHeight="1">
      <c r="A82" s="217" t="s">
        <v>134</v>
      </c>
      <c r="B82" s="217" t="s">
        <v>135</v>
      </c>
      <c r="C82" s="218" t="s">
        <v>136</v>
      </c>
      <c r="D82" s="220">
        <v>0.35208333333333336</v>
      </c>
      <c r="E82" s="219" t="s">
        <v>679</v>
      </c>
      <c r="F82" s="221" t="s">
        <v>679</v>
      </c>
      <c r="G82" s="222" t="s">
        <v>679</v>
      </c>
      <c r="H82" s="224">
        <v>0.37013888888888891</v>
      </c>
      <c r="I82" s="219"/>
      <c r="J82" s="224">
        <v>0.36666666666666664</v>
      </c>
      <c r="K82" s="219"/>
      <c r="L82" s="224">
        <v>0.36180555555555555</v>
      </c>
      <c r="M82" s="219"/>
      <c r="N82" s="221" t="s">
        <v>679</v>
      </c>
      <c r="O82" s="222" t="s">
        <v>679</v>
      </c>
      <c r="P82" s="221" t="s">
        <v>679</v>
      </c>
      <c r="Q82" s="225" t="s">
        <v>679</v>
      </c>
      <c r="R82" s="220">
        <v>0.35694444444444445</v>
      </c>
      <c r="S82" s="219"/>
      <c r="T82" s="224">
        <v>0.35972222222222222</v>
      </c>
      <c r="U82" s="220">
        <v>0.65416666666666667</v>
      </c>
      <c r="V82" s="224">
        <v>0.38263888888888886</v>
      </c>
      <c r="W82" s="219"/>
      <c r="X82" s="224">
        <v>0.34861111111111109</v>
      </c>
      <c r="Y82" s="220">
        <v>0.63055555555555554</v>
      </c>
      <c r="Z82" s="224">
        <v>0.3611111111111111</v>
      </c>
      <c r="AA82" s="220">
        <v>0.65</v>
      </c>
      <c r="AB82" s="221" t="s">
        <v>679</v>
      </c>
      <c r="AC82" s="225" t="s">
        <v>679</v>
      </c>
      <c r="AD82" s="222" t="s">
        <v>679</v>
      </c>
      <c r="AE82" s="225" t="s">
        <v>679</v>
      </c>
      <c r="AF82" s="203">
        <v>0.36041666666666666</v>
      </c>
      <c r="AG82" s="203">
        <v>0.6333333333333333</v>
      </c>
      <c r="AH82" s="201">
        <v>0.35555555555555557</v>
      </c>
      <c r="AI82" s="203">
        <v>0.63194444444444442</v>
      </c>
      <c r="AJ82" s="201">
        <v>0.46944444444444444</v>
      </c>
      <c r="AK82" s="203">
        <v>0.6381944444444444</v>
      </c>
      <c r="AL82" s="201">
        <v>0.47986111111111113</v>
      </c>
      <c r="AM82" s="203">
        <v>0.64722222222222225</v>
      </c>
      <c r="AN82" s="201">
        <v>0.47638888888888886</v>
      </c>
      <c r="AO82" s="203">
        <v>0.65625</v>
      </c>
      <c r="AP82" s="221" t="s">
        <v>679</v>
      </c>
      <c r="AQ82" s="225" t="s">
        <v>679</v>
      </c>
      <c r="AR82" s="222" t="s">
        <v>679</v>
      </c>
      <c r="AS82" s="225" t="s">
        <v>679</v>
      </c>
      <c r="AT82" s="203">
        <v>0.35833333333333334</v>
      </c>
      <c r="AU82" s="203">
        <v>0.63055555555555554</v>
      </c>
      <c r="AV82" s="201">
        <v>0.36388888888888887</v>
      </c>
      <c r="AW82" s="203">
        <v>0.65069444444444446</v>
      </c>
      <c r="AX82" s="201">
        <v>0.36875000000000002</v>
      </c>
      <c r="AY82" s="203">
        <v>0.63541666666666663</v>
      </c>
      <c r="AZ82" s="201">
        <v>0.35902777777777778</v>
      </c>
      <c r="BA82" s="203">
        <v>0.64027777777777772</v>
      </c>
      <c r="BB82" s="201">
        <v>0.35138888888888886</v>
      </c>
      <c r="BC82" s="203">
        <v>0.63263888888888886</v>
      </c>
      <c r="BD82" s="221" t="s">
        <v>679</v>
      </c>
      <c r="BE82" s="225" t="s">
        <v>679</v>
      </c>
      <c r="BF82" s="222" t="s">
        <v>679</v>
      </c>
      <c r="BG82" s="225" t="s">
        <v>679</v>
      </c>
      <c r="BH82" s="203">
        <v>0.37916666666666665</v>
      </c>
      <c r="BI82" s="203">
        <v>0.62777777777777777</v>
      </c>
      <c r="BJ82" s="201">
        <v>0.37569444444444444</v>
      </c>
      <c r="BK82" s="203">
        <v>0.63263888888888886</v>
      </c>
      <c r="BL82" s="314">
        <v>21</v>
      </c>
      <c r="BM82" s="315">
        <v>21</v>
      </c>
      <c r="BN82" s="421" t="s">
        <v>689</v>
      </c>
      <c r="BO82" s="419" t="s">
        <v>705</v>
      </c>
    </row>
    <row r="83" spans="1:67" ht="17.25">
      <c r="A83" s="217" t="s">
        <v>134</v>
      </c>
      <c r="B83" s="217" t="s">
        <v>135</v>
      </c>
      <c r="C83" s="218" t="s">
        <v>137</v>
      </c>
      <c r="D83" s="219"/>
      <c r="E83" s="219"/>
      <c r="F83" s="221" t="s">
        <v>679</v>
      </c>
      <c r="G83" s="244">
        <v>0.6166666666666667</v>
      </c>
      <c r="H83" s="223" t="s">
        <v>679</v>
      </c>
      <c r="I83" s="220">
        <v>0.64930555555555558</v>
      </c>
      <c r="J83" s="223" t="s">
        <v>679</v>
      </c>
      <c r="K83" s="220">
        <v>0.63263888888888886</v>
      </c>
      <c r="L83" s="223" t="s">
        <v>679</v>
      </c>
      <c r="M83" s="220">
        <v>0.64722222222222225</v>
      </c>
      <c r="N83" s="221" t="s">
        <v>679</v>
      </c>
      <c r="O83" s="222" t="s">
        <v>679</v>
      </c>
      <c r="P83" s="221" t="s">
        <v>679</v>
      </c>
      <c r="Q83" s="225" t="s">
        <v>679</v>
      </c>
      <c r="R83" s="219"/>
      <c r="S83" s="220">
        <v>0.63194444444444442</v>
      </c>
      <c r="T83" s="223" t="s">
        <v>679</v>
      </c>
      <c r="U83" s="219"/>
      <c r="V83" s="223" t="s">
        <v>679</v>
      </c>
      <c r="W83" s="220">
        <v>0.64652777777777781</v>
      </c>
      <c r="X83" s="223" t="s">
        <v>679</v>
      </c>
      <c r="Y83" s="219"/>
      <c r="Z83" s="223" t="s">
        <v>679</v>
      </c>
      <c r="AA83" s="219"/>
      <c r="AB83" s="221" t="s">
        <v>679</v>
      </c>
      <c r="AC83" s="225" t="s">
        <v>679</v>
      </c>
      <c r="AD83" s="222" t="s">
        <v>679</v>
      </c>
      <c r="AE83" s="225" t="s">
        <v>679</v>
      </c>
      <c r="AF83" s="203">
        <v>0.47083333333333333</v>
      </c>
      <c r="AG83" s="203">
        <v>0.6333333333333333</v>
      </c>
      <c r="AH83" s="201">
        <v>0.35555555555555557</v>
      </c>
      <c r="AI83" s="203">
        <v>0.63194444444444442</v>
      </c>
      <c r="AJ83" s="201">
        <v>0.46944444444444444</v>
      </c>
      <c r="AK83" s="203">
        <v>0.6381944444444444</v>
      </c>
      <c r="AL83" s="201">
        <v>0.47986111111111113</v>
      </c>
      <c r="AM83" s="203">
        <v>0.64722222222222225</v>
      </c>
      <c r="AN83" s="201">
        <v>0.47638888888888886</v>
      </c>
      <c r="AO83" s="203">
        <v>0.65625</v>
      </c>
      <c r="AP83" s="221" t="s">
        <v>679</v>
      </c>
      <c r="AQ83" s="225" t="s">
        <v>679</v>
      </c>
      <c r="AR83" s="222" t="s">
        <v>679</v>
      </c>
      <c r="AS83" s="225" t="s">
        <v>679</v>
      </c>
      <c r="AT83" s="203">
        <v>0.35833333333333334</v>
      </c>
      <c r="AU83" s="203">
        <v>0.63055555555555554</v>
      </c>
      <c r="AV83" s="201">
        <v>0.36388888888888887</v>
      </c>
      <c r="AW83" s="203">
        <v>0.65069444444444446</v>
      </c>
      <c r="AX83" s="201">
        <v>0.36875000000000002</v>
      </c>
      <c r="AY83" s="203">
        <v>0.63541666666666663</v>
      </c>
      <c r="AZ83" s="201">
        <v>0.35902777777777778</v>
      </c>
      <c r="BA83" s="203">
        <v>0.64027777777777772</v>
      </c>
      <c r="BB83" s="201">
        <v>0.35138888888888886</v>
      </c>
      <c r="BC83" s="203">
        <v>0.63263888888888886</v>
      </c>
      <c r="BD83" s="221" t="s">
        <v>679</v>
      </c>
      <c r="BE83" s="225" t="s">
        <v>679</v>
      </c>
      <c r="BF83" s="222" t="s">
        <v>679</v>
      </c>
      <c r="BG83" s="225" t="s">
        <v>679</v>
      </c>
      <c r="BH83" s="203">
        <v>0.37916666666666665</v>
      </c>
      <c r="BI83" s="203">
        <v>0.62777777777777777</v>
      </c>
      <c r="BJ83" s="201">
        <v>0.37569444444444444</v>
      </c>
      <c r="BK83" s="203">
        <v>0.63263888888888886</v>
      </c>
      <c r="BL83" s="314">
        <v>21</v>
      </c>
      <c r="BM83" s="315">
        <v>21</v>
      </c>
      <c r="BN83" s="421"/>
      <c r="BO83" s="419"/>
    </row>
    <row r="84" spans="1:67" ht="17.25">
      <c r="A84" s="217" t="s">
        <v>134</v>
      </c>
      <c r="B84" s="217" t="s">
        <v>135</v>
      </c>
      <c r="C84" s="218" t="s">
        <v>138</v>
      </c>
      <c r="D84" s="219"/>
      <c r="E84" s="219"/>
      <c r="F84" s="221" t="s">
        <v>679</v>
      </c>
      <c r="G84" s="222" t="s">
        <v>679</v>
      </c>
      <c r="H84" s="223" t="s">
        <v>679</v>
      </c>
      <c r="I84" s="219"/>
      <c r="J84" s="223" t="s">
        <v>679</v>
      </c>
      <c r="K84" s="219"/>
      <c r="L84" s="223" t="s">
        <v>679</v>
      </c>
      <c r="M84" s="219"/>
      <c r="N84" s="221" t="s">
        <v>679</v>
      </c>
      <c r="O84" s="222" t="s">
        <v>679</v>
      </c>
      <c r="P84" s="221" t="s">
        <v>679</v>
      </c>
      <c r="Q84" s="225" t="s">
        <v>679</v>
      </c>
      <c r="R84" s="219"/>
      <c r="S84" s="219"/>
      <c r="T84" s="223" t="s">
        <v>679</v>
      </c>
      <c r="U84" s="219"/>
      <c r="V84" s="223" t="s">
        <v>679</v>
      </c>
      <c r="W84" s="219"/>
      <c r="X84" s="223" t="s">
        <v>679</v>
      </c>
      <c r="Y84" s="219"/>
      <c r="Z84" s="223" t="s">
        <v>679</v>
      </c>
      <c r="AA84" s="219"/>
      <c r="AB84" s="221" t="s">
        <v>679</v>
      </c>
      <c r="AC84" s="225" t="s">
        <v>679</v>
      </c>
      <c r="AD84" s="222" t="s">
        <v>679</v>
      </c>
      <c r="AE84" s="225" t="s">
        <v>679</v>
      </c>
      <c r="AF84" s="202" t="s">
        <v>679</v>
      </c>
      <c r="AG84" s="202"/>
      <c r="AH84" s="200" t="s">
        <v>679</v>
      </c>
      <c r="AI84" s="202"/>
      <c r="AJ84" s="200" t="s">
        <v>679</v>
      </c>
      <c r="AK84" s="202"/>
      <c r="AL84" s="200" t="s">
        <v>679</v>
      </c>
      <c r="AM84" s="202"/>
      <c r="AN84" s="200" t="s">
        <v>679</v>
      </c>
      <c r="AO84" s="202"/>
      <c r="AP84" s="221" t="s">
        <v>679</v>
      </c>
      <c r="AQ84" s="225" t="s">
        <v>679</v>
      </c>
      <c r="AR84" s="222" t="s">
        <v>679</v>
      </c>
      <c r="AS84" s="225" t="s">
        <v>679</v>
      </c>
      <c r="AT84" s="202" t="s">
        <v>679</v>
      </c>
      <c r="AU84" s="202"/>
      <c r="AV84" s="200" t="s">
        <v>679</v>
      </c>
      <c r="AW84" s="202"/>
      <c r="AX84" s="200" t="s">
        <v>679</v>
      </c>
      <c r="AY84" s="202"/>
      <c r="AZ84" s="200" t="s">
        <v>679</v>
      </c>
      <c r="BA84" s="202"/>
      <c r="BB84" s="200" t="s">
        <v>679</v>
      </c>
      <c r="BC84" s="202"/>
      <c r="BD84" s="221" t="s">
        <v>679</v>
      </c>
      <c r="BE84" s="225" t="s">
        <v>679</v>
      </c>
      <c r="BF84" s="222" t="s">
        <v>679</v>
      </c>
      <c r="BG84" s="225" t="s">
        <v>679</v>
      </c>
      <c r="BH84" s="202" t="s">
        <v>679</v>
      </c>
      <c r="BI84" s="202"/>
      <c r="BJ84" s="200" t="s">
        <v>679</v>
      </c>
      <c r="BK84" s="202"/>
      <c r="BL84" s="314">
        <v>21</v>
      </c>
      <c r="BM84" s="315">
        <v>21</v>
      </c>
      <c r="BN84" s="421"/>
      <c r="BO84" s="419"/>
    </row>
    <row r="85" spans="1:67" ht="17.25">
      <c r="A85" s="217" t="s">
        <v>134</v>
      </c>
      <c r="B85" s="217" t="s">
        <v>135</v>
      </c>
      <c r="C85" s="218" t="s">
        <v>139</v>
      </c>
      <c r="D85" s="219"/>
      <c r="E85" s="219"/>
      <c r="F85" s="221" t="s">
        <v>679</v>
      </c>
      <c r="G85" s="222" t="s">
        <v>679</v>
      </c>
      <c r="H85" s="223" t="s">
        <v>679</v>
      </c>
      <c r="I85" s="219"/>
      <c r="J85" s="223" t="s">
        <v>679</v>
      </c>
      <c r="K85" s="219"/>
      <c r="L85" s="223" t="s">
        <v>679</v>
      </c>
      <c r="M85" s="219"/>
      <c r="N85" s="221" t="s">
        <v>679</v>
      </c>
      <c r="O85" s="222" t="s">
        <v>679</v>
      </c>
      <c r="P85" s="221" t="s">
        <v>679</v>
      </c>
      <c r="Q85" s="225" t="s">
        <v>679</v>
      </c>
      <c r="R85" s="219"/>
      <c r="S85" s="219"/>
      <c r="T85" s="223" t="s">
        <v>679</v>
      </c>
      <c r="U85" s="219"/>
      <c r="V85" s="223" t="s">
        <v>679</v>
      </c>
      <c r="W85" s="219"/>
      <c r="X85" s="223" t="s">
        <v>679</v>
      </c>
      <c r="Y85" s="219"/>
      <c r="Z85" s="223" t="s">
        <v>679</v>
      </c>
      <c r="AA85" s="219"/>
      <c r="AB85" s="221" t="s">
        <v>679</v>
      </c>
      <c r="AC85" s="225" t="s">
        <v>679</v>
      </c>
      <c r="AD85" s="222" t="s">
        <v>679</v>
      </c>
      <c r="AE85" s="225" t="s">
        <v>679</v>
      </c>
      <c r="AF85" s="202" t="s">
        <v>679</v>
      </c>
      <c r="AG85" s="202"/>
      <c r="AH85" s="200" t="s">
        <v>679</v>
      </c>
      <c r="AI85" s="202"/>
      <c r="AJ85" s="200" t="s">
        <v>679</v>
      </c>
      <c r="AK85" s="202"/>
      <c r="AL85" s="200" t="s">
        <v>679</v>
      </c>
      <c r="AM85" s="202"/>
      <c r="AN85" s="200" t="s">
        <v>679</v>
      </c>
      <c r="AO85" s="202"/>
      <c r="AP85" s="221" t="s">
        <v>679</v>
      </c>
      <c r="AQ85" s="225" t="s">
        <v>679</v>
      </c>
      <c r="AR85" s="222" t="s">
        <v>679</v>
      </c>
      <c r="AS85" s="225" t="s">
        <v>679</v>
      </c>
      <c r="AT85" s="202" t="s">
        <v>679</v>
      </c>
      <c r="AU85" s="202"/>
      <c r="AV85" s="200" t="s">
        <v>679</v>
      </c>
      <c r="AW85" s="202"/>
      <c r="AX85" s="200" t="s">
        <v>679</v>
      </c>
      <c r="AY85" s="202"/>
      <c r="AZ85" s="200" t="s">
        <v>679</v>
      </c>
      <c r="BA85" s="202"/>
      <c r="BB85" s="200" t="s">
        <v>679</v>
      </c>
      <c r="BC85" s="202"/>
      <c r="BD85" s="221" t="s">
        <v>679</v>
      </c>
      <c r="BE85" s="225" t="s">
        <v>679</v>
      </c>
      <c r="BF85" s="222" t="s">
        <v>679</v>
      </c>
      <c r="BG85" s="225" t="s">
        <v>679</v>
      </c>
      <c r="BH85" s="202" t="s">
        <v>679</v>
      </c>
      <c r="BI85" s="202"/>
      <c r="BJ85" s="200" t="s">
        <v>679</v>
      </c>
      <c r="BK85" s="202"/>
      <c r="BL85" s="314">
        <v>21</v>
      </c>
      <c r="BM85" s="315">
        <v>21</v>
      </c>
      <c r="BN85" s="421"/>
      <c r="BO85" s="419"/>
    </row>
    <row r="86" spans="1:67" ht="17.25">
      <c r="A86" s="259" t="s">
        <v>134</v>
      </c>
      <c r="B86" s="259" t="s">
        <v>135</v>
      </c>
      <c r="C86" s="260" t="s">
        <v>140</v>
      </c>
      <c r="D86" s="230" t="s">
        <v>679</v>
      </c>
      <c r="E86" s="230" t="s">
        <v>679</v>
      </c>
      <c r="F86" s="231" t="s">
        <v>679</v>
      </c>
      <c r="G86" s="232" t="s">
        <v>679</v>
      </c>
      <c r="H86" s="233" t="s">
        <v>679</v>
      </c>
      <c r="I86" s="230" t="s">
        <v>679</v>
      </c>
      <c r="J86" s="233" t="s">
        <v>679</v>
      </c>
      <c r="K86" s="230" t="s">
        <v>679</v>
      </c>
      <c r="L86" s="233" t="s">
        <v>679</v>
      </c>
      <c r="M86" s="230" t="s">
        <v>679</v>
      </c>
      <c r="N86" s="231" t="s">
        <v>679</v>
      </c>
      <c r="O86" s="232" t="s">
        <v>679</v>
      </c>
      <c r="P86" s="231" t="s">
        <v>679</v>
      </c>
      <c r="Q86" s="234" t="s">
        <v>679</v>
      </c>
      <c r="R86" s="230" t="s">
        <v>679</v>
      </c>
      <c r="S86" s="230" t="s">
        <v>679</v>
      </c>
      <c r="T86" s="233" t="s">
        <v>679</v>
      </c>
      <c r="U86" s="230" t="s">
        <v>679</v>
      </c>
      <c r="V86" s="233" t="s">
        <v>679</v>
      </c>
      <c r="W86" s="230" t="s">
        <v>679</v>
      </c>
      <c r="X86" s="233" t="s">
        <v>679</v>
      </c>
      <c r="Y86" s="230" t="s">
        <v>679</v>
      </c>
      <c r="Z86" s="233" t="s">
        <v>679</v>
      </c>
      <c r="AA86" s="230" t="s">
        <v>679</v>
      </c>
      <c r="AB86" s="231" t="s">
        <v>679</v>
      </c>
      <c r="AC86" s="234" t="s">
        <v>679</v>
      </c>
      <c r="AD86" s="232" t="s">
        <v>679</v>
      </c>
      <c r="AE86" s="234" t="s">
        <v>679</v>
      </c>
      <c r="AF86" s="205" t="s">
        <v>679</v>
      </c>
      <c r="AG86" s="205" t="s">
        <v>679</v>
      </c>
      <c r="AH86" s="204" t="s">
        <v>679</v>
      </c>
      <c r="AI86" s="205" t="s">
        <v>679</v>
      </c>
      <c r="AJ86" s="204" t="s">
        <v>679</v>
      </c>
      <c r="AK86" s="205" t="s">
        <v>679</v>
      </c>
      <c r="AL86" s="204" t="s">
        <v>679</v>
      </c>
      <c r="AM86" s="205" t="s">
        <v>679</v>
      </c>
      <c r="AN86" s="204" t="s">
        <v>679</v>
      </c>
      <c r="AO86" s="205" t="s">
        <v>679</v>
      </c>
      <c r="AP86" s="231" t="s">
        <v>679</v>
      </c>
      <c r="AQ86" s="234" t="s">
        <v>679</v>
      </c>
      <c r="AR86" s="232" t="s">
        <v>679</v>
      </c>
      <c r="AS86" s="234" t="s">
        <v>679</v>
      </c>
      <c r="AT86" s="205" t="s">
        <v>679</v>
      </c>
      <c r="AU86" s="205" t="s">
        <v>679</v>
      </c>
      <c r="AV86" s="204" t="s">
        <v>679</v>
      </c>
      <c r="AW86" s="205" t="s">
        <v>679</v>
      </c>
      <c r="AX86" s="204" t="s">
        <v>679</v>
      </c>
      <c r="AY86" s="205" t="s">
        <v>679</v>
      </c>
      <c r="AZ86" s="204" t="s">
        <v>679</v>
      </c>
      <c r="BA86" s="205" t="s">
        <v>679</v>
      </c>
      <c r="BB86" s="204" t="s">
        <v>679</v>
      </c>
      <c r="BC86" s="205" t="s">
        <v>679</v>
      </c>
      <c r="BD86" s="231" t="s">
        <v>679</v>
      </c>
      <c r="BE86" s="234" t="s">
        <v>679</v>
      </c>
      <c r="BF86" s="232" t="s">
        <v>679</v>
      </c>
      <c r="BG86" s="234" t="s">
        <v>679</v>
      </c>
      <c r="BH86" s="205" t="s">
        <v>679</v>
      </c>
      <c r="BI86" s="205" t="s">
        <v>679</v>
      </c>
      <c r="BJ86" s="204" t="s">
        <v>679</v>
      </c>
      <c r="BK86" s="205" t="s">
        <v>679</v>
      </c>
      <c r="BL86" s="316">
        <v>21</v>
      </c>
      <c r="BM86" s="317">
        <v>21</v>
      </c>
      <c r="BN86" s="422"/>
      <c r="BO86" s="419"/>
    </row>
    <row r="87" spans="1:67" ht="15" customHeight="1">
      <c r="A87" s="217" t="s">
        <v>134</v>
      </c>
      <c r="B87" s="217" t="s">
        <v>141</v>
      </c>
      <c r="C87" s="218" t="s">
        <v>142</v>
      </c>
      <c r="D87" s="220">
        <v>0.4</v>
      </c>
      <c r="E87" s="219" t="s">
        <v>679</v>
      </c>
      <c r="F87" s="221" t="s">
        <v>679</v>
      </c>
      <c r="G87" s="222" t="s">
        <v>679</v>
      </c>
      <c r="H87" s="289">
        <v>0.40694444444444444</v>
      </c>
      <c r="I87" s="219"/>
      <c r="J87" s="224">
        <v>0.41597222222222224</v>
      </c>
      <c r="K87" s="219"/>
      <c r="L87" s="224">
        <v>0.40138888888888891</v>
      </c>
      <c r="M87" s="219"/>
      <c r="N87" s="221" t="s">
        <v>679</v>
      </c>
      <c r="O87" s="222" t="s">
        <v>679</v>
      </c>
      <c r="P87" s="221" t="s">
        <v>679</v>
      </c>
      <c r="Q87" s="225" t="s">
        <v>679</v>
      </c>
      <c r="R87" s="219"/>
      <c r="S87" s="220">
        <v>0.67500000000000004</v>
      </c>
      <c r="T87" s="223" t="s">
        <v>679</v>
      </c>
      <c r="U87" s="219"/>
      <c r="V87" s="223" t="s">
        <v>679</v>
      </c>
      <c r="W87" s="220">
        <v>0.65763888888888888</v>
      </c>
      <c r="X87" s="224">
        <v>0.39305555555555555</v>
      </c>
      <c r="Y87" s="220">
        <v>0.64236111111111116</v>
      </c>
      <c r="Z87" s="224">
        <v>0.40694444444444444</v>
      </c>
      <c r="AA87" s="220">
        <v>0.6743055555555556</v>
      </c>
      <c r="AB87" s="221" t="s">
        <v>679</v>
      </c>
      <c r="AC87" s="225" t="s">
        <v>679</v>
      </c>
      <c r="AD87" s="222" t="s">
        <v>679</v>
      </c>
      <c r="AE87" s="225" t="s">
        <v>679</v>
      </c>
      <c r="AF87" s="300">
        <v>0.39166666666666666</v>
      </c>
      <c r="AG87" s="203">
        <v>0.64652777777777781</v>
      </c>
      <c r="AH87" s="201">
        <v>0.35416666666666669</v>
      </c>
      <c r="AI87" s="203">
        <v>0.64722222222222225</v>
      </c>
      <c r="AJ87" s="201">
        <v>0.35416666666666669</v>
      </c>
      <c r="AK87" s="203">
        <v>0.65763888888888888</v>
      </c>
      <c r="AL87" s="201">
        <v>0.46180555555555558</v>
      </c>
      <c r="AM87" s="203">
        <v>0.64861111111111114</v>
      </c>
      <c r="AN87" s="201">
        <v>0.35555555555555557</v>
      </c>
      <c r="AO87" s="203">
        <v>0.76666666666666672</v>
      </c>
      <c r="AP87" s="221" t="s">
        <v>679</v>
      </c>
      <c r="AQ87" s="225" t="s">
        <v>679</v>
      </c>
      <c r="AR87" s="222" t="s">
        <v>679</v>
      </c>
      <c r="AS87" s="225" t="s">
        <v>679</v>
      </c>
      <c r="AT87" s="203">
        <v>0.35694444444444445</v>
      </c>
      <c r="AU87" s="203">
        <v>0.66249999999999998</v>
      </c>
      <c r="AV87" s="201">
        <v>0.37361111111111112</v>
      </c>
      <c r="AW87" s="203">
        <v>0.65208333333333335</v>
      </c>
      <c r="AX87" s="201">
        <v>0.38541666666666669</v>
      </c>
      <c r="AY87" s="203">
        <v>0.65763888888888888</v>
      </c>
      <c r="AZ87" s="201">
        <v>0.3888888888888889</v>
      </c>
      <c r="BA87" s="203">
        <v>0.65555555555555556</v>
      </c>
      <c r="BB87" s="201">
        <v>0.35416666666666669</v>
      </c>
      <c r="BC87" s="203">
        <v>0.66874999999999996</v>
      </c>
      <c r="BD87" s="221" t="s">
        <v>679</v>
      </c>
      <c r="BE87" s="225" t="s">
        <v>679</v>
      </c>
      <c r="BF87" s="222" t="s">
        <v>679</v>
      </c>
      <c r="BG87" s="225" t="s">
        <v>679</v>
      </c>
      <c r="BH87" s="203">
        <v>0.35416666666666669</v>
      </c>
      <c r="BI87" s="203">
        <v>0.65208333333333335</v>
      </c>
      <c r="BJ87" s="201">
        <v>0.39027777777777778</v>
      </c>
      <c r="BK87" s="203">
        <v>0.69652777777777775</v>
      </c>
      <c r="BL87" s="314">
        <v>18</v>
      </c>
      <c r="BM87" s="315">
        <v>16</v>
      </c>
      <c r="BN87" s="421" t="s">
        <v>707</v>
      </c>
      <c r="BO87" s="419"/>
    </row>
    <row r="88" spans="1:67" ht="17.25">
      <c r="A88" s="217" t="s">
        <v>134</v>
      </c>
      <c r="B88" s="217" t="s">
        <v>141</v>
      </c>
      <c r="C88" s="218" t="s">
        <v>143</v>
      </c>
      <c r="D88" s="219"/>
      <c r="E88" s="219"/>
      <c r="F88" s="221" t="s">
        <v>679</v>
      </c>
      <c r="G88" s="222" t="s">
        <v>679</v>
      </c>
      <c r="H88" s="223" t="s">
        <v>679</v>
      </c>
      <c r="I88" s="219"/>
      <c r="J88" s="223" t="s">
        <v>679</v>
      </c>
      <c r="K88" s="219"/>
      <c r="L88" s="223" t="s">
        <v>679</v>
      </c>
      <c r="M88" s="219"/>
      <c r="N88" s="221" t="s">
        <v>679</v>
      </c>
      <c r="O88" s="222" t="s">
        <v>679</v>
      </c>
      <c r="P88" s="221" t="s">
        <v>679</v>
      </c>
      <c r="Q88" s="225" t="s">
        <v>679</v>
      </c>
      <c r="R88" s="219"/>
      <c r="S88" s="219"/>
      <c r="T88" s="223" t="s">
        <v>679</v>
      </c>
      <c r="U88" s="219"/>
      <c r="V88" s="223" t="s">
        <v>679</v>
      </c>
      <c r="W88" s="219"/>
      <c r="X88" s="223" t="s">
        <v>679</v>
      </c>
      <c r="Y88" s="219"/>
      <c r="Z88" s="223" t="s">
        <v>679</v>
      </c>
      <c r="AA88" s="219"/>
      <c r="AB88" s="221" t="s">
        <v>679</v>
      </c>
      <c r="AC88" s="225" t="s">
        <v>679</v>
      </c>
      <c r="AD88" s="222" t="s">
        <v>679</v>
      </c>
      <c r="AE88" s="225" t="s">
        <v>679</v>
      </c>
      <c r="AF88" s="202" t="s">
        <v>679</v>
      </c>
      <c r="AG88" s="202"/>
      <c r="AH88" s="200" t="s">
        <v>679</v>
      </c>
      <c r="AI88" s="202"/>
      <c r="AJ88" s="200" t="s">
        <v>679</v>
      </c>
      <c r="AK88" s="202"/>
      <c r="AL88" s="200" t="s">
        <v>679</v>
      </c>
      <c r="AM88" s="202"/>
      <c r="AN88" s="200" t="s">
        <v>679</v>
      </c>
      <c r="AO88" s="202"/>
      <c r="AP88" s="221" t="s">
        <v>679</v>
      </c>
      <c r="AQ88" s="225" t="s">
        <v>679</v>
      </c>
      <c r="AR88" s="222" t="s">
        <v>679</v>
      </c>
      <c r="AS88" s="225" t="s">
        <v>679</v>
      </c>
      <c r="AT88" s="202" t="s">
        <v>679</v>
      </c>
      <c r="AU88" s="202"/>
      <c r="AV88" s="200" t="s">
        <v>679</v>
      </c>
      <c r="AW88" s="202"/>
      <c r="AX88" s="200" t="s">
        <v>679</v>
      </c>
      <c r="AY88" s="202"/>
      <c r="AZ88" s="200" t="s">
        <v>679</v>
      </c>
      <c r="BA88" s="202"/>
      <c r="BB88" s="200" t="s">
        <v>679</v>
      </c>
      <c r="BC88" s="202"/>
      <c r="BD88" s="221" t="s">
        <v>679</v>
      </c>
      <c r="BE88" s="225" t="s">
        <v>679</v>
      </c>
      <c r="BF88" s="222" t="s">
        <v>679</v>
      </c>
      <c r="BG88" s="225" t="s">
        <v>679</v>
      </c>
      <c r="BH88" s="202" t="s">
        <v>679</v>
      </c>
      <c r="BI88" s="202"/>
      <c r="BJ88" s="200" t="s">
        <v>679</v>
      </c>
      <c r="BK88" s="202"/>
      <c r="BL88" s="314">
        <v>18</v>
      </c>
      <c r="BM88" s="315">
        <v>16</v>
      </c>
      <c r="BN88" s="421"/>
      <c r="BO88" s="419"/>
    </row>
    <row r="89" spans="1:67" ht="17.25">
      <c r="A89" s="259" t="s">
        <v>134</v>
      </c>
      <c r="B89" s="259" t="s">
        <v>141</v>
      </c>
      <c r="C89" s="260" t="s">
        <v>144</v>
      </c>
      <c r="D89" s="230" t="s">
        <v>679</v>
      </c>
      <c r="E89" s="230" t="s">
        <v>679</v>
      </c>
      <c r="F89" s="231" t="s">
        <v>679</v>
      </c>
      <c r="G89" s="232" t="s">
        <v>679</v>
      </c>
      <c r="H89" s="233" t="s">
        <v>679</v>
      </c>
      <c r="I89" s="230" t="s">
        <v>679</v>
      </c>
      <c r="J89" s="233" t="s">
        <v>679</v>
      </c>
      <c r="K89" s="230" t="s">
        <v>679</v>
      </c>
      <c r="L89" s="233" t="s">
        <v>679</v>
      </c>
      <c r="M89" s="230" t="s">
        <v>679</v>
      </c>
      <c r="N89" s="231" t="s">
        <v>679</v>
      </c>
      <c r="O89" s="232" t="s">
        <v>679</v>
      </c>
      <c r="P89" s="231" t="s">
        <v>679</v>
      </c>
      <c r="Q89" s="234" t="s">
        <v>679</v>
      </c>
      <c r="R89" s="230" t="s">
        <v>679</v>
      </c>
      <c r="S89" s="230" t="s">
        <v>679</v>
      </c>
      <c r="T89" s="233" t="s">
        <v>679</v>
      </c>
      <c r="U89" s="230" t="s">
        <v>679</v>
      </c>
      <c r="V89" s="233" t="s">
        <v>679</v>
      </c>
      <c r="W89" s="230" t="s">
        <v>679</v>
      </c>
      <c r="X89" s="233" t="s">
        <v>679</v>
      </c>
      <c r="Y89" s="230" t="s">
        <v>679</v>
      </c>
      <c r="Z89" s="233" t="s">
        <v>679</v>
      </c>
      <c r="AA89" s="230" t="s">
        <v>679</v>
      </c>
      <c r="AB89" s="231" t="s">
        <v>679</v>
      </c>
      <c r="AC89" s="234" t="s">
        <v>679</v>
      </c>
      <c r="AD89" s="232" t="s">
        <v>679</v>
      </c>
      <c r="AE89" s="234" t="s">
        <v>679</v>
      </c>
      <c r="AF89" s="205" t="s">
        <v>679</v>
      </c>
      <c r="AG89" s="205" t="s">
        <v>679</v>
      </c>
      <c r="AH89" s="204" t="s">
        <v>679</v>
      </c>
      <c r="AI89" s="205" t="s">
        <v>679</v>
      </c>
      <c r="AJ89" s="204" t="s">
        <v>679</v>
      </c>
      <c r="AK89" s="205" t="s">
        <v>679</v>
      </c>
      <c r="AL89" s="204" t="s">
        <v>679</v>
      </c>
      <c r="AM89" s="205" t="s">
        <v>679</v>
      </c>
      <c r="AN89" s="204" t="s">
        <v>679</v>
      </c>
      <c r="AO89" s="205" t="s">
        <v>679</v>
      </c>
      <c r="AP89" s="231" t="s">
        <v>679</v>
      </c>
      <c r="AQ89" s="234" t="s">
        <v>679</v>
      </c>
      <c r="AR89" s="232" t="s">
        <v>679</v>
      </c>
      <c r="AS89" s="234" t="s">
        <v>679</v>
      </c>
      <c r="AT89" s="205" t="s">
        <v>679</v>
      </c>
      <c r="AU89" s="205" t="s">
        <v>679</v>
      </c>
      <c r="AV89" s="204" t="s">
        <v>679</v>
      </c>
      <c r="AW89" s="205" t="s">
        <v>679</v>
      </c>
      <c r="AX89" s="204" t="s">
        <v>679</v>
      </c>
      <c r="AY89" s="205" t="s">
        <v>679</v>
      </c>
      <c r="AZ89" s="204" t="s">
        <v>679</v>
      </c>
      <c r="BA89" s="205" t="s">
        <v>679</v>
      </c>
      <c r="BB89" s="204" t="s">
        <v>679</v>
      </c>
      <c r="BC89" s="205" t="s">
        <v>679</v>
      </c>
      <c r="BD89" s="231" t="s">
        <v>679</v>
      </c>
      <c r="BE89" s="234" t="s">
        <v>679</v>
      </c>
      <c r="BF89" s="232" t="s">
        <v>679</v>
      </c>
      <c r="BG89" s="234" t="s">
        <v>679</v>
      </c>
      <c r="BH89" s="205" t="s">
        <v>679</v>
      </c>
      <c r="BI89" s="205" t="s">
        <v>679</v>
      </c>
      <c r="BJ89" s="204" t="s">
        <v>679</v>
      </c>
      <c r="BK89" s="205" t="s">
        <v>679</v>
      </c>
      <c r="BL89" s="316">
        <v>18</v>
      </c>
      <c r="BM89" s="317">
        <v>16</v>
      </c>
      <c r="BN89" s="422"/>
      <c r="BO89" s="419"/>
    </row>
    <row r="90" spans="1:67" ht="17.25">
      <c r="A90" s="259" t="s">
        <v>134</v>
      </c>
      <c r="B90" s="259" t="s">
        <v>145</v>
      </c>
      <c r="C90" s="260" t="s">
        <v>146</v>
      </c>
      <c r="D90" s="246">
        <v>0.36249999999999999</v>
      </c>
      <c r="E90" s="230" t="s">
        <v>679</v>
      </c>
      <c r="F90" s="231" t="s">
        <v>679</v>
      </c>
      <c r="G90" s="232" t="s">
        <v>679</v>
      </c>
      <c r="H90" s="233" t="s">
        <v>679</v>
      </c>
      <c r="I90" s="230" t="s">
        <v>679</v>
      </c>
      <c r="J90" s="247">
        <v>0.42569444444444443</v>
      </c>
      <c r="K90" s="246">
        <v>0.69444444444444442</v>
      </c>
      <c r="L90" s="247">
        <v>0.42638888888888887</v>
      </c>
      <c r="M90" s="230" t="s">
        <v>679</v>
      </c>
      <c r="N90" s="231" t="s">
        <v>679</v>
      </c>
      <c r="O90" s="232" t="s">
        <v>679</v>
      </c>
      <c r="P90" s="231" t="s">
        <v>679</v>
      </c>
      <c r="Q90" s="234" t="s">
        <v>679</v>
      </c>
      <c r="R90" s="230" t="s">
        <v>679</v>
      </c>
      <c r="S90" s="230" t="s">
        <v>679</v>
      </c>
      <c r="T90" s="247">
        <v>0.40416666666666667</v>
      </c>
      <c r="U90" s="246">
        <v>0.69236111111111109</v>
      </c>
      <c r="V90" s="233" t="s">
        <v>679</v>
      </c>
      <c r="W90" s="230" t="s">
        <v>679</v>
      </c>
      <c r="X90" s="233" t="s">
        <v>679</v>
      </c>
      <c r="Y90" s="230" t="s">
        <v>679</v>
      </c>
      <c r="Z90" s="247">
        <v>0.39583333333333331</v>
      </c>
      <c r="AA90" s="230" t="s">
        <v>679</v>
      </c>
      <c r="AB90" s="231" t="s">
        <v>679</v>
      </c>
      <c r="AC90" s="234" t="s">
        <v>679</v>
      </c>
      <c r="AD90" s="232" t="s">
        <v>679</v>
      </c>
      <c r="AE90" s="234" t="s">
        <v>679</v>
      </c>
      <c r="AF90" s="205" t="s">
        <v>679</v>
      </c>
      <c r="AG90" s="205" t="s">
        <v>679</v>
      </c>
      <c r="AH90" s="204" t="s">
        <v>679</v>
      </c>
      <c r="AI90" s="205" t="s">
        <v>679</v>
      </c>
      <c r="AJ90" s="206">
        <v>0.40277777777777779</v>
      </c>
      <c r="AK90" s="207">
        <v>0.67638888888888893</v>
      </c>
      <c r="AL90" s="204" t="s">
        <v>679</v>
      </c>
      <c r="AM90" s="205" t="s">
        <v>679</v>
      </c>
      <c r="AN90" s="206">
        <v>0.40972222222222221</v>
      </c>
      <c r="AO90" s="207">
        <v>0.67361111111111116</v>
      </c>
      <c r="AP90" s="231" t="s">
        <v>679</v>
      </c>
      <c r="AQ90" s="234" t="s">
        <v>679</v>
      </c>
      <c r="AR90" s="232" t="s">
        <v>679</v>
      </c>
      <c r="AS90" s="234" t="s">
        <v>679</v>
      </c>
      <c r="AT90" s="205" t="s">
        <v>679</v>
      </c>
      <c r="AU90" s="205" t="s">
        <v>679</v>
      </c>
      <c r="AV90" s="204" t="s">
        <v>679</v>
      </c>
      <c r="AW90" s="205" t="s">
        <v>679</v>
      </c>
      <c r="AX90" s="206">
        <v>0.38472222222222224</v>
      </c>
      <c r="AY90" s="207">
        <v>0.66874999999999996</v>
      </c>
      <c r="AZ90" s="206">
        <v>0.36736111111111114</v>
      </c>
      <c r="BA90" s="207">
        <v>0.65902777777777777</v>
      </c>
      <c r="BB90" s="206">
        <v>0.38472222222222224</v>
      </c>
      <c r="BC90" s="207">
        <v>0.66527777777777775</v>
      </c>
      <c r="BD90" s="231" t="s">
        <v>679</v>
      </c>
      <c r="BE90" s="234" t="s">
        <v>679</v>
      </c>
      <c r="BF90" s="232" t="s">
        <v>679</v>
      </c>
      <c r="BG90" s="234" t="s">
        <v>679</v>
      </c>
      <c r="BH90" s="205" t="s">
        <v>679</v>
      </c>
      <c r="BI90" s="205" t="s">
        <v>679</v>
      </c>
      <c r="BJ90" s="204" t="s">
        <v>679</v>
      </c>
      <c r="BK90" s="205" t="s">
        <v>679</v>
      </c>
      <c r="BL90" s="321">
        <v>10</v>
      </c>
      <c r="BM90" s="320">
        <v>7</v>
      </c>
      <c r="BN90" s="319" t="s">
        <v>708</v>
      </c>
      <c r="BO90" s="420"/>
    </row>
    <row r="91" spans="1:67" ht="15" customHeight="1">
      <c r="A91" s="259" t="s">
        <v>147</v>
      </c>
      <c r="B91" s="259" t="s">
        <v>148</v>
      </c>
      <c r="C91" s="260" t="s">
        <v>149</v>
      </c>
      <c r="D91" s="230" t="s">
        <v>679</v>
      </c>
      <c r="E91" s="246">
        <v>0.70763888888888893</v>
      </c>
      <c r="F91" s="248">
        <v>0.32291666666666669</v>
      </c>
      <c r="G91" s="232" t="s">
        <v>679</v>
      </c>
      <c r="H91" s="233" t="s">
        <v>679</v>
      </c>
      <c r="I91" s="230" t="s">
        <v>679</v>
      </c>
      <c r="J91" s="233" t="s">
        <v>679</v>
      </c>
      <c r="K91" s="230" t="s">
        <v>679</v>
      </c>
      <c r="L91" s="233" t="s">
        <v>679</v>
      </c>
      <c r="M91" s="230" t="s">
        <v>679</v>
      </c>
      <c r="N91" s="231" t="s">
        <v>679</v>
      </c>
      <c r="O91" s="232" t="s">
        <v>679</v>
      </c>
      <c r="P91" s="231" t="s">
        <v>679</v>
      </c>
      <c r="Q91" s="234" t="s">
        <v>679</v>
      </c>
      <c r="R91" s="246">
        <v>0.42986111111111114</v>
      </c>
      <c r="S91" s="246">
        <v>0.68958333333333333</v>
      </c>
      <c r="T91" s="247">
        <v>0.34027777777777779</v>
      </c>
      <c r="U91" s="246">
        <v>0.80277777777777781</v>
      </c>
      <c r="V91" s="247">
        <v>0.42777777777777776</v>
      </c>
      <c r="W91" s="246">
        <v>0.65694444444444444</v>
      </c>
      <c r="X91" s="247">
        <v>0.35347222222222224</v>
      </c>
      <c r="Y91" s="246">
        <v>0.62916666666666665</v>
      </c>
      <c r="Z91" s="247">
        <v>0.36458333333333331</v>
      </c>
      <c r="AA91" s="246">
        <v>0.6479166666666667</v>
      </c>
      <c r="AB91" s="231" t="s">
        <v>679</v>
      </c>
      <c r="AC91" s="234" t="s">
        <v>679</v>
      </c>
      <c r="AD91" s="232" t="s">
        <v>679</v>
      </c>
      <c r="AE91" s="234" t="s">
        <v>679</v>
      </c>
      <c r="AF91" s="207">
        <v>0.37708333333333333</v>
      </c>
      <c r="AG91" s="207">
        <v>0.6791666666666667</v>
      </c>
      <c r="AH91" s="206">
        <v>0.36458333333333331</v>
      </c>
      <c r="AI91" s="205" t="s">
        <v>679</v>
      </c>
      <c r="AJ91" s="206">
        <v>0.3527777777777778</v>
      </c>
      <c r="AK91" s="207">
        <v>0.63680555555555551</v>
      </c>
      <c r="AL91" s="206">
        <v>0.34652777777777777</v>
      </c>
      <c r="AM91" s="207">
        <v>0.63263888888888886</v>
      </c>
      <c r="AN91" s="206">
        <v>0.34166666666666667</v>
      </c>
      <c r="AO91" s="205" t="s">
        <v>679</v>
      </c>
      <c r="AP91" s="231" t="s">
        <v>679</v>
      </c>
      <c r="AQ91" s="234" t="s">
        <v>679</v>
      </c>
      <c r="AR91" s="232" t="s">
        <v>679</v>
      </c>
      <c r="AS91" s="234" t="s">
        <v>679</v>
      </c>
      <c r="AT91" s="207">
        <v>0.3527777777777778</v>
      </c>
      <c r="AU91" s="207">
        <v>0.64166666666666672</v>
      </c>
      <c r="AV91" s="206">
        <v>0.30902777777777779</v>
      </c>
      <c r="AW91" s="207">
        <v>0.62430555555555556</v>
      </c>
      <c r="AX91" s="206">
        <v>0.35833333333333334</v>
      </c>
      <c r="AY91" s="207">
        <v>0.63263888888888886</v>
      </c>
      <c r="AZ91" s="206">
        <v>0.35625000000000001</v>
      </c>
      <c r="BA91" s="207">
        <v>0.6333333333333333</v>
      </c>
      <c r="BB91" s="206">
        <v>0.45416666666666666</v>
      </c>
      <c r="BC91" s="205" t="s">
        <v>679</v>
      </c>
      <c r="BD91" s="231" t="s">
        <v>679</v>
      </c>
      <c r="BE91" s="234" t="s">
        <v>679</v>
      </c>
      <c r="BF91" s="232" t="s">
        <v>679</v>
      </c>
      <c r="BG91" s="234" t="s">
        <v>679</v>
      </c>
      <c r="BH91" s="207">
        <v>0.3576388888888889</v>
      </c>
      <c r="BI91" s="207">
        <v>0.63055555555555554</v>
      </c>
      <c r="BJ91" s="206">
        <v>0.35416666666666669</v>
      </c>
      <c r="BK91" s="207">
        <v>0.61388888888888893</v>
      </c>
      <c r="BL91" s="321">
        <v>18</v>
      </c>
      <c r="BM91" s="320">
        <v>15</v>
      </c>
      <c r="BN91" s="319" t="s">
        <v>687</v>
      </c>
      <c r="BO91" s="419" t="s">
        <v>705</v>
      </c>
    </row>
    <row r="92" spans="1:67" ht="17.25">
      <c r="A92" s="259" t="s">
        <v>147</v>
      </c>
      <c r="B92" s="259" t="s">
        <v>679</v>
      </c>
      <c r="C92" s="260" t="s">
        <v>195</v>
      </c>
      <c r="D92" s="246">
        <v>0.33888888888888891</v>
      </c>
      <c r="E92" s="230" t="s">
        <v>679</v>
      </c>
      <c r="F92" s="248">
        <v>0.32500000000000001</v>
      </c>
      <c r="G92" s="251">
        <v>0.65486111111111112</v>
      </c>
      <c r="H92" s="247">
        <v>0.31527777777777777</v>
      </c>
      <c r="I92" s="246">
        <v>0.68611111111111112</v>
      </c>
      <c r="J92" s="247">
        <v>0.38750000000000001</v>
      </c>
      <c r="K92" s="246">
        <v>0.7055555555555556</v>
      </c>
      <c r="L92" s="247">
        <v>0.33611111111111114</v>
      </c>
      <c r="M92" s="246">
        <v>0.68819444444444444</v>
      </c>
      <c r="N92" s="231" t="s">
        <v>679</v>
      </c>
      <c r="O92" s="232" t="s">
        <v>679</v>
      </c>
      <c r="P92" s="231" t="s">
        <v>679</v>
      </c>
      <c r="Q92" s="234" t="s">
        <v>679</v>
      </c>
      <c r="R92" s="246">
        <v>0.34930555555555554</v>
      </c>
      <c r="S92" s="230" t="s">
        <v>679</v>
      </c>
      <c r="T92" s="247">
        <v>0.41597222222222224</v>
      </c>
      <c r="U92" s="246">
        <v>0.68402777777777779</v>
      </c>
      <c r="V92" s="247">
        <v>0.34652777777777777</v>
      </c>
      <c r="W92" s="246">
        <v>0.61250000000000004</v>
      </c>
      <c r="X92" s="247">
        <v>0.40069444444444446</v>
      </c>
      <c r="Y92" s="246">
        <v>0.63472222222222219</v>
      </c>
      <c r="Z92" s="247">
        <v>0.3840277777777778</v>
      </c>
      <c r="AA92" s="246">
        <v>0.62916666666666665</v>
      </c>
      <c r="AB92" s="231" t="s">
        <v>679</v>
      </c>
      <c r="AC92" s="234" t="s">
        <v>679</v>
      </c>
      <c r="AD92" s="232" t="s">
        <v>679</v>
      </c>
      <c r="AE92" s="234" t="s">
        <v>679</v>
      </c>
      <c r="AF92" s="207">
        <v>0.40833333333333333</v>
      </c>
      <c r="AG92" s="207">
        <v>0.65902777777777777</v>
      </c>
      <c r="AH92" s="206">
        <v>0.34652777777777777</v>
      </c>
      <c r="AI92" s="207">
        <v>0.6645833333333333</v>
      </c>
      <c r="AJ92" s="206">
        <v>0.37152777777777779</v>
      </c>
      <c r="AK92" s="207">
        <v>0.64513888888888893</v>
      </c>
      <c r="AL92" s="206">
        <v>0.35902777777777778</v>
      </c>
      <c r="AM92" s="207">
        <v>0.64583333333333337</v>
      </c>
      <c r="AN92" s="206">
        <v>0.36527777777777776</v>
      </c>
      <c r="AO92" s="207">
        <v>0.66736111111111107</v>
      </c>
      <c r="AP92" s="231" t="s">
        <v>679</v>
      </c>
      <c r="AQ92" s="234" t="s">
        <v>679</v>
      </c>
      <c r="AR92" s="232" t="s">
        <v>679</v>
      </c>
      <c r="AS92" s="234" t="s">
        <v>679</v>
      </c>
      <c r="AT92" s="207">
        <v>0.36666666666666664</v>
      </c>
      <c r="AU92" s="207">
        <v>0.63055555555555554</v>
      </c>
      <c r="AV92" s="206">
        <v>0.35694444444444445</v>
      </c>
      <c r="AW92" s="207">
        <v>0.6645833333333333</v>
      </c>
      <c r="AX92" s="206">
        <v>0.3576388888888889</v>
      </c>
      <c r="AY92" s="207">
        <v>0.64930555555555558</v>
      </c>
      <c r="AZ92" s="206">
        <v>0.39791666666666664</v>
      </c>
      <c r="BA92" s="205" t="s">
        <v>679</v>
      </c>
      <c r="BB92" s="206">
        <v>0.40208333333333335</v>
      </c>
      <c r="BC92" s="207">
        <v>0.6694444444444444</v>
      </c>
      <c r="BD92" s="231" t="s">
        <v>679</v>
      </c>
      <c r="BE92" s="234" t="s">
        <v>679</v>
      </c>
      <c r="BF92" s="232" t="s">
        <v>679</v>
      </c>
      <c r="BG92" s="234" t="s">
        <v>679</v>
      </c>
      <c r="BH92" s="207">
        <v>0.36527777777777776</v>
      </c>
      <c r="BI92" s="207">
        <v>0.66249999999999998</v>
      </c>
      <c r="BJ92" s="206">
        <v>0.37847222222222221</v>
      </c>
      <c r="BK92" s="207">
        <v>0.63958333333333328</v>
      </c>
      <c r="BL92" s="321">
        <v>22</v>
      </c>
      <c r="BM92" s="320">
        <v>19</v>
      </c>
      <c r="BN92" s="319" t="s">
        <v>682</v>
      </c>
      <c r="BO92" s="419"/>
    </row>
    <row r="93" spans="1:67" ht="17.25">
      <c r="A93" s="259" t="s">
        <v>147</v>
      </c>
      <c r="B93" s="259" t="s">
        <v>642</v>
      </c>
      <c r="C93" s="260" t="s">
        <v>643</v>
      </c>
      <c r="D93" s="246">
        <v>0.35347222222222224</v>
      </c>
      <c r="E93" s="246">
        <v>0.68680555555555556</v>
      </c>
      <c r="F93" s="248">
        <v>0.34861111111111109</v>
      </c>
      <c r="G93" s="251">
        <v>0.69652777777777775</v>
      </c>
      <c r="H93" s="247">
        <v>0.36388888888888887</v>
      </c>
      <c r="I93" s="246">
        <v>0.70208333333333328</v>
      </c>
      <c r="J93" s="247">
        <v>0.35208333333333336</v>
      </c>
      <c r="K93" s="230" t="s">
        <v>709</v>
      </c>
      <c r="L93" s="247">
        <v>0.35625000000000001</v>
      </c>
      <c r="M93" s="246">
        <v>0.63541666666666663</v>
      </c>
      <c r="N93" s="248">
        <v>0.35416666666666669</v>
      </c>
      <c r="O93" s="232" t="s">
        <v>679</v>
      </c>
      <c r="P93" s="231" t="s">
        <v>679</v>
      </c>
      <c r="Q93" s="234" t="s">
        <v>679</v>
      </c>
      <c r="R93" s="246">
        <v>0.35416666666666669</v>
      </c>
      <c r="S93" s="246">
        <v>0.67291666666666672</v>
      </c>
      <c r="T93" s="247">
        <v>0.35972222222222222</v>
      </c>
      <c r="U93" s="246">
        <v>0.68402777777777779</v>
      </c>
      <c r="V93" s="247">
        <v>0.375</v>
      </c>
      <c r="W93" s="230" t="s">
        <v>679</v>
      </c>
      <c r="X93" s="247">
        <v>0.35555555555555557</v>
      </c>
      <c r="Y93" s="246">
        <v>0.67500000000000004</v>
      </c>
      <c r="Z93" s="247">
        <v>0.35625000000000001</v>
      </c>
      <c r="AA93" s="246">
        <v>0.67083333333333328</v>
      </c>
      <c r="AB93" s="231" t="s">
        <v>679</v>
      </c>
      <c r="AC93" s="234" t="s">
        <v>679</v>
      </c>
      <c r="AD93" s="232" t="s">
        <v>679</v>
      </c>
      <c r="AE93" s="234" t="s">
        <v>679</v>
      </c>
      <c r="AF93" s="207">
        <v>0.48125000000000001</v>
      </c>
      <c r="AG93" s="205" t="s">
        <v>679</v>
      </c>
      <c r="AH93" s="204" t="s">
        <v>679</v>
      </c>
      <c r="AI93" s="205" t="s">
        <v>679</v>
      </c>
      <c r="AJ93" s="204" t="s">
        <v>679</v>
      </c>
      <c r="AK93" s="205" t="s">
        <v>679</v>
      </c>
      <c r="AL93" s="204" t="s">
        <v>679</v>
      </c>
      <c r="AM93" s="205" t="s">
        <v>679</v>
      </c>
      <c r="AN93" s="204" t="s">
        <v>679</v>
      </c>
      <c r="AO93" s="205" t="s">
        <v>679</v>
      </c>
      <c r="AP93" s="231" t="s">
        <v>679</v>
      </c>
      <c r="AQ93" s="234" t="s">
        <v>679</v>
      </c>
      <c r="AR93" s="232" t="s">
        <v>679</v>
      </c>
      <c r="AS93" s="234" t="s">
        <v>679</v>
      </c>
      <c r="AT93" s="205" t="s">
        <v>679</v>
      </c>
      <c r="AU93" s="205" t="s">
        <v>679</v>
      </c>
      <c r="AV93" s="204" t="s">
        <v>679</v>
      </c>
      <c r="AW93" s="205" t="s">
        <v>679</v>
      </c>
      <c r="AX93" s="204" t="s">
        <v>679</v>
      </c>
      <c r="AY93" s="205" t="s">
        <v>679</v>
      </c>
      <c r="AZ93" s="204" t="s">
        <v>679</v>
      </c>
      <c r="BA93" s="205" t="s">
        <v>679</v>
      </c>
      <c r="BB93" s="204" t="s">
        <v>679</v>
      </c>
      <c r="BC93" s="205" t="s">
        <v>679</v>
      </c>
      <c r="BD93" s="231" t="s">
        <v>679</v>
      </c>
      <c r="BE93" s="234" t="s">
        <v>679</v>
      </c>
      <c r="BF93" s="232" t="s">
        <v>679</v>
      </c>
      <c r="BG93" s="234" t="s">
        <v>679</v>
      </c>
      <c r="BH93" s="205" t="s">
        <v>679</v>
      </c>
      <c r="BI93" s="205" t="s">
        <v>679</v>
      </c>
      <c r="BJ93" s="204" t="s">
        <v>679</v>
      </c>
      <c r="BK93" s="205" t="s">
        <v>679</v>
      </c>
      <c r="BL93" s="321">
        <v>11</v>
      </c>
      <c r="BM93" s="320">
        <v>8</v>
      </c>
      <c r="BN93" s="319" t="s">
        <v>694</v>
      </c>
      <c r="BO93" s="420"/>
    </row>
    <row r="94" spans="1:67" ht="15" customHeight="1">
      <c r="A94" s="259" t="s">
        <v>150</v>
      </c>
      <c r="B94" s="259" t="s">
        <v>151</v>
      </c>
      <c r="C94" s="301" t="s">
        <v>152</v>
      </c>
      <c r="D94" s="230" t="s">
        <v>679</v>
      </c>
      <c r="E94" s="230" t="s">
        <v>679</v>
      </c>
      <c r="F94" s="231" t="s">
        <v>679</v>
      </c>
      <c r="G94" s="232" t="s">
        <v>679</v>
      </c>
      <c r="H94" s="233" t="s">
        <v>679</v>
      </c>
      <c r="I94" s="230" t="s">
        <v>679</v>
      </c>
      <c r="J94" s="233" t="s">
        <v>679</v>
      </c>
      <c r="K94" s="230" t="s">
        <v>679</v>
      </c>
      <c r="L94" s="233" t="s">
        <v>679</v>
      </c>
      <c r="M94" s="230" t="s">
        <v>679</v>
      </c>
      <c r="N94" s="231" t="s">
        <v>679</v>
      </c>
      <c r="O94" s="232" t="s">
        <v>679</v>
      </c>
      <c r="P94" s="231" t="s">
        <v>679</v>
      </c>
      <c r="Q94" s="234" t="s">
        <v>679</v>
      </c>
      <c r="R94" s="230" t="s">
        <v>679</v>
      </c>
      <c r="S94" s="230" t="s">
        <v>679</v>
      </c>
      <c r="T94" s="293">
        <v>0.43194444444444446</v>
      </c>
      <c r="U94" s="294">
        <v>0.68402777777777779</v>
      </c>
      <c r="V94" s="233" t="s">
        <v>679</v>
      </c>
      <c r="W94" s="230" t="s">
        <v>679</v>
      </c>
      <c r="X94" s="233" t="s">
        <v>679</v>
      </c>
      <c r="Y94" s="230" t="s">
        <v>679</v>
      </c>
      <c r="Z94" s="233" t="s">
        <v>679</v>
      </c>
      <c r="AA94" s="230" t="s">
        <v>679</v>
      </c>
      <c r="AB94" s="231" t="s">
        <v>679</v>
      </c>
      <c r="AC94" s="234" t="s">
        <v>679</v>
      </c>
      <c r="AD94" s="232" t="s">
        <v>679</v>
      </c>
      <c r="AE94" s="234" t="s">
        <v>679</v>
      </c>
      <c r="AF94" s="205" t="s">
        <v>679</v>
      </c>
      <c r="AG94" s="205" t="s">
        <v>679</v>
      </c>
      <c r="AH94" s="204" t="s">
        <v>679</v>
      </c>
      <c r="AI94" s="205" t="s">
        <v>679</v>
      </c>
      <c r="AJ94" s="204" t="s">
        <v>679</v>
      </c>
      <c r="AK94" s="205" t="s">
        <v>679</v>
      </c>
      <c r="AL94" s="204" t="s">
        <v>679</v>
      </c>
      <c r="AM94" s="205" t="s">
        <v>679</v>
      </c>
      <c r="AN94" s="204" t="s">
        <v>679</v>
      </c>
      <c r="AO94" s="205" t="s">
        <v>679</v>
      </c>
      <c r="AP94" s="231" t="s">
        <v>679</v>
      </c>
      <c r="AQ94" s="234" t="s">
        <v>679</v>
      </c>
      <c r="AR94" s="232" t="s">
        <v>679</v>
      </c>
      <c r="AS94" s="234" t="s">
        <v>679</v>
      </c>
      <c r="AT94" s="205" t="s">
        <v>679</v>
      </c>
      <c r="AU94" s="205" t="s">
        <v>679</v>
      </c>
      <c r="AV94" s="204" t="s">
        <v>679</v>
      </c>
      <c r="AW94" s="205" t="s">
        <v>679</v>
      </c>
      <c r="AX94" s="204" t="s">
        <v>679</v>
      </c>
      <c r="AY94" s="205" t="s">
        <v>679</v>
      </c>
      <c r="AZ94" s="204" t="s">
        <v>679</v>
      </c>
      <c r="BA94" s="205" t="s">
        <v>679</v>
      </c>
      <c r="BB94" s="204" t="s">
        <v>679</v>
      </c>
      <c r="BC94" s="205" t="s">
        <v>679</v>
      </c>
      <c r="BD94" s="231" t="s">
        <v>679</v>
      </c>
      <c r="BE94" s="234" t="s">
        <v>679</v>
      </c>
      <c r="BF94" s="232" t="s">
        <v>679</v>
      </c>
      <c r="BG94" s="234" t="s">
        <v>679</v>
      </c>
      <c r="BH94" s="205" t="s">
        <v>679</v>
      </c>
      <c r="BI94" s="205" t="s">
        <v>679</v>
      </c>
      <c r="BJ94" s="204" t="s">
        <v>679</v>
      </c>
      <c r="BK94" s="205" t="s">
        <v>679</v>
      </c>
      <c r="BL94" s="321">
        <v>1</v>
      </c>
      <c r="BM94" s="320">
        <v>1</v>
      </c>
      <c r="BN94" s="319" t="s">
        <v>710</v>
      </c>
      <c r="BO94" s="419" t="s">
        <v>711</v>
      </c>
    </row>
    <row r="95" spans="1:67" ht="15" customHeight="1">
      <c r="A95" s="217" t="s">
        <v>150</v>
      </c>
      <c r="B95" s="302" t="s">
        <v>198</v>
      </c>
      <c r="C95" s="218" t="s">
        <v>153</v>
      </c>
      <c r="D95" s="220">
        <v>0.41736111111111113</v>
      </c>
      <c r="E95" s="220">
        <v>0.67777777777777781</v>
      </c>
      <c r="F95" s="221" t="s">
        <v>679</v>
      </c>
      <c r="G95" s="222" t="s">
        <v>679</v>
      </c>
      <c r="H95" s="223" t="s">
        <v>679</v>
      </c>
      <c r="I95" s="219"/>
      <c r="J95" s="224">
        <v>0.44930555555555557</v>
      </c>
      <c r="K95" s="219"/>
      <c r="L95" s="223" t="s">
        <v>679</v>
      </c>
      <c r="M95" s="219"/>
      <c r="N95" s="221" t="s">
        <v>679</v>
      </c>
      <c r="O95" s="222" t="s">
        <v>679</v>
      </c>
      <c r="P95" s="221" t="s">
        <v>679</v>
      </c>
      <c r="Q95" s="225" t="s">
        <v>679</v>
      </c>
      <c r="R95" s="219"/>
      <c r="S95" s="219"/>
      <c r="T95" s="224">
        <v>0.67013888888888884</v>
      </c>
      <c r="U95" s="220">
        <v>0.68333333333333335</v>
      </c>
      <c r="V95" s="223" t="s">
        <v>679</v>
      </c>
      <c r="W95" s="219"/>
      <c r="X95" s="224">
        <v>0.41249999999999998</v>
      </c>
      <c r="Y95" s="219"/>
      <c r="Z95" s="223" t="s">
        <v>679</v>
      </c>
      <c r="AA95" s="219"/>
      <c r="AB95" s="221" t="s">
        <v>679</v>
      </c>
      <c r="AC95" s="225" t="s">
        <v>679</v>
      </c>
      <c r="AD95" s="222" t="s">
        <v>679</v>
      </c>
      <c r="AE95" s="225" t="s">
        <v>679</v>
      </c>
      <c r="AF95" s="202" t="s">
        <v>679</v>
      </c>
      <c r="AG95" s="203">
        <v>0.61875000000000002</v>
      </c>
      <c r="AH95" s="200" t="s">
        <v>679</v>
      </c>
      <c r="AI95" s="202"/>
      <c r="AJ95" s="201">
        <v>0.39791666666666664</v>
      </c>
      <c r="AK95" s="203">
        <v>0.71666666666666667</v>
      </c>
      <c r="AL95" s="201">
        <v>0.42499999999999999</v>
      </c>
      <c r="AM95" s="202"/>
      <c r="AN95" s="201">
        <v>0.43194444444444446</v>
      </c>
      <c r="AO95" s="203">
        <v>0.70347222222222228</v>
      </c>
      <c r="AP95" s="221" t="s">
        <v>679</v>
      </c>
      <c r="AQ95" s="225" t="s">
        <v>679</v>
      </c>
      <c r="AR95" s="222" t="s">
        <v>679</v>
      </c>
      <c r="AS95" s="225" t="s">
        <v>679</v>
      </c>
      <c r="AT95" s="203">
        <v>0.41944444444444445</v>
      </c>
      <c r="AU95" s="203">
        <v>0.69791666666666663</v>
      </c>
      <c r="AV95" s="201">
        <v>0.46458333333333335</v>
      </c>
      <c r="AW95" s="202"/>
      <c r="AX95" s="201">
        <v>0.40277777777777779</v>
      </c>
      <c r="AY95" s="202"/>
      <c r="AZ95" s="200" t="s">
        <v>679</v>
      </c>
      <c r="BA95" s="202"/>
      <c r="BB95" s="201">
        <v>0.47013888888888888</v>
      </c>
      <c r="BC95" s="203">
        <v>0.71736111111111112</v>
      </c>
      <c r="BD95" s="221" t="s">
        <v>679</v>
      </c>
      <c r="BE95" s="225" t="s">
        <v>679</v>
      </c>
      <c r="BF95" s="222" t="s">
        <v>679</v>
      </c>
      <c r="BG95" s="225" t="s">
        <v>679</v>
      </c>
      <c r="BH95" s="203">
        <v>0.46736111111111112</v>
      </c>
      <c r="BI95" s="202"/>
      <c r="BJ95" s="201">
        <v>0.48472222222222222</v>
      </c>
      <c r="BK95" s="202"/>
      <c r="BL95" s="314">
        <v>20</v>
      </c>
      <c r="BM95" s="315">
        <v>19</v>
      </c>
      <c r="BN95" s="421" t="s">
        <v>691</v>
      </c>
      <c r="BO95" s="419"/>
    </row>
    <row r="96" spans="1:67" ht="17.25">
      <c r="A96" s="259" t="s">
        <v>150</v>
      </c>
      <c r="B96" s="303" t="s">
        <v>198</v>
      </c>
      <c r="C96" s="260" t="s">
        <v>154</v>
      </c>
      <c r="D96" s="230" t="s">
        <v>679</v>
      </c>
      <c r="E96" s="230" t="s">
        <v>679</v>
      </c>
      <c r="F96" s="248">
        <v>0.41597222222222224</v>
      </c>
      <c r="G96" s="251">
        <v>0.69097222222222221</v>
      </c>
      <c r="H96" s="247">
        <v>0.39930555555555558</v>
      </c>
      <c r="I96" s="246">
        <v>0.68055555555555558</v>
      </c>
      <c r="J96" s="233" t="s">
        <v>679</v>
      </c>
      <c r="K96" s="246">
        <v>0.68333333333333335</v>
      </c>
      <c r="L96" s="247">
        <v>0.41249999999999998</v>
      </c>
      <c r="M96" s="246">
        <v>0.64375000000000004</v>
      </c>
      <c r="N96" s="231" t="s">
        <v>679</v>
      </c>
      <c r="O96" s="232" t="s">
        <v>679</v>
      </c>
      <c r="P96" s="231" t="s">
        <v>679</v>
      </c>
      <c r="Q96" s="234" t="s">
        <v>679</v>
      </c>
      <c r="R96" s="230" t="s">
        <v>679</v>
      </c>
      <c r="S96" s="230" t="s">
        <v>679</v>
      </c>
      <c r="T96" s="247">
        <v>0.41180555555555554</v>
      </c>
      <c r="U96" s="230" t="s">
        <v>679</v>
      </c>
      <c r="V96" s="233" t="s">
        <v>679</v>
      </c>
      <c r="W96" s="230" t="s">
        <v>679</v>
      </c>
      <c r="X96" s="233" t="s">
        <v>679</v>
      </c>
      <c r="Y96" s="230" t="s">
        <v>679</v>
      </c>
      <c r="Z96" s="247">
        <v>0.3923611111111111</v>
      </c>
      <c r="AA96" s="246">
        <v>0.64930555555555558</v>
      </c>
      <c r="AB96" s="231" t="s">
        <v>679</v>
      </c>
      <c r="AC96" s="234" t="s">
        <v>679</v>
      </c>
      <c r="AD96" s="232" t="s">
        <v>679</v>
      </c>
      <c r="AE96" s="234" t="s">
        <v>679</v>
      </c>
      <c r="AF96" s="207">
        <v>0.40694444444444444</v>
      </c>
      <c r="AG96" s="207">
        <v>0.62916666666666665</v>
      </c>
      <c r="AH96" s="206">
        <v>0.38680555555555557</v>
      </c>
      <c r="AI96" s="207">
        <v>0.64513888888888893</v>
      </c>
      <c r="AJ96" s="206">
        <v>0.40763888888888888</v>
      </c>
      <c r="AK96" s="207">
        <v>0.62847222222222221</v>
      </c>
      <c r="AL96" s="206">
        <v>0.38958333333333334</v>
      </c>
      <c r="AM96" s="207">
        <v>0.63749999999999996</v>
      </c>
      <c r="AN96" s="206">
        <v>0.39791666666666664</v>
      </c>
      <c r="AO96" s="207">
        <v>0.64513888888888893</v>
      </c>
      <c r="AP96" s="231" t="s">
        <v>679</v>
      </c>
      <c r="AQ96" s="234" t="s">
        <v>679</v>
      </c>
      <c r="AR96" s="232" t="s">
        <v>679</v>
      </c>
      <c r="AS96" s="234" t="s">
        <v>679</v>
      </c>
      <c r="AT96" s="207">
        <v>0.39166666666666666</v>
      </c>
      <c r="AU96" s="207">
        <v>0.62708333333333333</v>
      </c>
      <c r="AV96" s="206">
        <v>0.39097222222222222</v>
      </c>
      <c r="AW96" s="207">
        <v>0.6875</v>
      </c>
      <c r="AX96" s="206">
        <v>0.44583333333333336</v>
      </c>
      <c r="AY96" s="207">
        <v>0.71458333333333335</v>
      </c>
      <c r="AZ96" s="206">
        <v>0.4</v>
      </c>
      <c r="BA96" s="207">
        <v>0.62430555555555556</v>
      </c>
      <c r="BB96" s="206">
        <v>0.39861111111111114</v>
      </c>
      <c r="BC96" s="207">
        <v>0.69861111111111107</v>
      </c>
      <c r="BD96" s="231" t="s">
        <v>679</v>
      </c>
      <c r="BE96" s="234" t="s">
        <v>679</v>
      </c>
      <c r="BF96" s="232" t="s">
        <v>679</v>
      </c>
      <c r="BG96" s="234" t="s">
        <v>679</v>
      </c>
      <c r="BH96" s="207">
        <v>0.38055555555555554</v>
      </c>
      <c r="BI96" s="207">
        <v>0.66874999999999996</v>
      </c>
      <c r="BJ96" s="206">
        <v>0.41666666666666669</v>
      </c>
      <c r="BK96" s="207">
        <v>0.63749999999999996</v>
      </c>
      <c r="BL96" s="316">
        <v>20</v>
      </c>
      <c r="BM96" s="317">
        <v>19</v>
      </c>
      <c r="BN96" s="422"/>
      <c r="BO96" s="419"/>
    </row>
    <row r="97" spans="1:67" ht="17.25">
      <c r="A97" s="259" t="s">
        <v>150</v>
      </c>
      <c r="B97" s="259" t="s">
        <v>155</v>
      </c>
      <c r="C97" s="260" t="s">
        <v>156</v>
      </c>
      <c r="D97" s="246">
        <v>0.39097222222222222</v>
      </c>
      <c r="E97" s="246">
        <v>0.6791666666666667</v>
      </c>
      <c r="F97" s="248">
        <v>0.39166666666666666</v>
      </c>
      <c r="G97" s="251">
        <v>0.63472222222222219</v>
      </c>
      <c r="H97" s="233" t="s">
        <v>679</v>
      </c>
      <c r="I97" s="246">
        <v>0.65555555555555556</v>
      </c>
      <c r="J97" s="247">
        <v>0.38750000000000001</v>
      </c>
      <c r="K97" s="246">
        <v>0.64097222222222228</v>
      </c>
      <c r="L97" s="247">
        <v>0.38680555555555557</v>
      </c>
      <c r="M97" s="230" t="s">
        <v>679</v>
      </c>
      <c r="N97" s="231" t="s">
        <v>679</v>
      </c>
      <c r="O97" s="232" t="s">
        <v>679</v>
      </c>
      <c r="P97" s="231" t="s">
        <v>679</v>
      </c>
      <c r="Q97" s="234" t="s">
        <v>679</v>
      </c>
      <c r="R97" s="246">
        <v>0.38333333333333336</v>
      </c>
      <c r="S97" s="246">
        <v>0.63680555555555551</v>
      </c>
      <c r="T97" s="247">
        <v>0.38958333333333334</v>
      </c>
      <c r="U97" s="246">
        <v>0.63194444444444442</v>
      </c>
      <c r="V97" s="247">
        <v>0.41388888888888886</v>
      </c>
      <c r="W97" s="246">
        <v>0.63611111111111107</v>
      </c>
      <c r="X97" s="247">
        <v>0.3840277777777778</v>
      </c>
      <c r="Y97" s="230" t="s">
        <v>679</v>
      </c>
      <c r="Z97" s="247">
        <v>0.38055555555555554</v>
      </c>
      <c r="AA97" s="246">
        <v>0.6430555555555556</v>
      </c>
      <c r="AB97" s="231" t="s">
        <v>679</v>
      </c>
      <c r="AC97" s="234" t="s">
        <v>679</v>
      </c>
      <c r="AD97" s="232" t="s">
        <v>679</v>
      </c>
      <c r="AE97" s="234" t="s">
        <v>679</v>
      </c>
      <c r="AF97" s="207">
        <v>0.39374999999999999</v>
      </c>
      <c r="AG97" s="207">
        <v>0.63958333333333328</v>
      </c>
      <c r="AH97" s="206">
        <v>0.38680555555555557</v>
      </c>
      <c r="AI97" s="207">
        <v>0.6479166666666667</v>
      </c>
      <c r="AJ97" s="206">
        <v>0.38819444444444445</v>
      </c>
      <c r="AK97" s="207">
        <v>0.64166666666666672</v>
      </c>
      <c r="AL97" s="206">
        <v>0.38055555555555554</v>
      </c>
      <c r="AM97" s="207">
        <v>0.6381944444444444</v>
      </c>
      <c r="AN97" s="206">
        <v>0.38541666666666669</v>
      </c>
      <c r="AO97" s="207">
        <v>0.625</v>
      </c>
      <c r="AP97" s="231" t="s">
        <v>679</v>
      </c>
      <c r="AQ97" s="234" t="s">
        <v>679</v>
      </c>
      <c r="AR97" s="232" t="s">
        <v>679</v>
      </c>
      <c r="AS97" s="234" t="s">
        <v>679</v>
      </c>
      <c r="AT97" s="207">
        <v>0.39861111111111114</v>
      </c>
      <c r="AU97" s="207">
        <v>0.64097222222222228</v>
      </c>
      <c r="AV97" s="206">
        <v>0.38819444444444445</v>
      </c>
      <c r="AW97" s="207">
        <v>0.63541666666666663</v>
      </c>
      <c r="AX97" s="206">
        <v>0.39583333333333331</v>
      </c>
      <c r="AY97" s="207">
        <v>0.62986111111111109</v>
      </c>
      <c r="AZ97" s="206">
        <v>0.38472222222222224</v>
      </c>
      <c r="BA97" s="207">
        <v>0.70902777777777781</v>
      </c>
      <c r="BB97" s="206">
        <v>0.38680555555555557</v>
      </c>
      <c r="BC97" s="207">
        <v>0.6430555555555556</v>
      </c>
      <c r="BD97" s="231" t="s">
        <v>679</v>
      </c>
      <c r="BE97" s="234" t="s">
        <v>679</v>
      </c>
      <c r="BF97" s="232" t="s">
        <v>679</v>
      </c>
      <c r="BG97" s="234" t="s">
        <v>679</v>
      </c>
      <c r="BH97" s="207">
        <v>0.41805555555555557</v>
      </c>
      <c r="BI97" s="207">
        <v>0.65</v>
      </c>
      <c r="BJ97" s="206">
        <v>0.39305555555555555</v>
      </c>
      <c r="BK97" s="207">
        <v>0.65</v>
      </c>
      <c r="BL97" s="316">
        <v>21</v>
      </c>
      <c r="BM97" s="317">
        <v>20</v>
      </c>
      <c r="BN97" s="319" t="s">
        <v>682</v>
      </c>
      <c r="BO97" s="419"/>
    </row>
    <row r="98" spans="1:67" ht="15" customHeight="1">
      <c r="A98" s="217" t="s">
        <v>150</v>
      </c>
      <c r="B98" s="217" t="s">
        <v>157</v>
      </c>
      <c r="C98" s="218" t="s">
        <v>158</v>
      </c>
      <c r="D98" s="219"/>
      <c r="E98" s="219"/>
      <c r="F98" s="221" t="s">
        <v>679</v>
      </c>
      <c r="G98" s="222" t="s">
        <v>679</v>
      </c>
      <c r="H98" s="224">
        <v>0.42569444444444443</v>
      </c>
      <c r="I98" s="219"/>
      <c r="J98" s="224">
        <v>0.41041666666666665</v>
      </c>
      <c r="K98" s="219"/>
      <c r="L98" s="223" t="s">
        <v>679</v>
      </c>
      <c r="M98" s="219"/>
      <c r="N98" s="221" t="s">
        <v>679</v>
      </c>
      <c r="O98" s="222" t="s">
        <v>679</v>
      </c>
      <c r="P98" s="221" t="s">
        <v>679</v>
      </c>
      <c r="Q98" s="225" t="s">
        <v>679</v>
      </c>
      <c r="R98" s="220">
        <v>0.48333333333333334</v>
      </c>
      <c r="S98" s="219"/>
      <c r="T98" s="223" t="s">
        <v>679</v>
      </c>
      <c r="U98" s="219"/>
      <c r="V98" s="223" t="s">
        <v>679</v>
      </c>
      <c r="W98" s="219"/>
      <c r="X98" s="224">
        <v>0.49305555555555558</v>
      </c>
      <c r="Y98" s="219"/>
      <c r="Z98" s="223" t="s">
        <v>679</v>
      </c>
      <c r="AA98" s="219"/>
      <c r="AB98" s="221" t="s">
        <v>679</v>
      </c>
      <c r="AC98" s="225" t="s">
        <v>679</v>
      </c>
      <c r="AD98" s="222" t="s">
        <v>679</v>
      </c>
      <c r="AE98" s="225" t="s">
        <v>679</v>
      </c>
      <c r="AF98" s="203">
        <v>0.42430555555555555</v>
      </c>
      <c r="AG98" s="202"/>
      <c r="AH98" s="200" t="s">
        <v>679</v>
      </c>
      <c r="AI98" s="202"/>
      <c r="AJ98" s="200" t="s">
        <v>679</v>
      </c>
      <c r="AK98" s="202"/>
      <c r="AL98" s="200" t="s">
        <v>679</v>
      </c>
      <c r="AM98" s="202"/>
      <c r="AN98" s="201">
        <v>0.4548611111111111</v>
      </c>
      <c r="AO98" s="202"/>
      <c r="AP98" s="221" t="s">
        <v>679</v>
      </c>
      <c r="AQ98" s="225" t="s">
        <v>679</v>
      </c>
      <c r="AR98" s="222" t="s">
        <v>679</v>
      </c>
      <c r="AS98" s="225" t="s">
        <v>679</v>
      </c>
      <c r="AT98" s="202" t="s">
        <v>679</v>
      </c>
      <c r="AU98" s="202"/>
      <c r="AV98" s="200" t="s">
        <v>679</v>
      </c>
      <c r="AW98" s="202"/>
      <c r="AX98" s="201">
        <v>0.49861111111111112</v>
      </c>
      <c r="AY98" s="202"/>
      <c r="AZ98" s="201">
        <v>0.52638888888888891</v>
      </c>
      <c r="BA98" s="202"/>
      <c r="BB98" s="200" t="s">
        <v>679</v>
      </c>
      <c r="BC98" s="202"/>
      <c r="BD98" s="221" t="s">
        <v>679</v>
      </c>
      <c r="BE98" s="225" t="s">
        <v>679</v>
      </c>
      <c r="BF98" s="222" t="s">
        <v>679</v>
      </c>
      <c r="BG98" s="225" t="s">
        <v>679</v>
      </c>
      <c r="BH98" s="202" t="s">
        <v>679</v>
      </c>
      <c r="BI98" s="202"/>
      <c r="BJ98" s="200" t="s">
        <v>679</v>
      </c>
      <c r="BK98" s="202"/>
      <c r="BL98" s="314">
        <v>9</v>
      </c>
      <c r="BM98" s="315">
        <v>0</v>
      </c>
      <c r="BN98" s="421" t="s">
        <v>712</v>
      </c>
      <c r="BO98" s="419"/>
    </row>
    <row r="99" spans="1:67" ht="17.25">
      <c r="A99" s="259" t="s">
        <v>150</v>
      </c>
      <c r="B99" s="259" t="s">
        <v>157</v>
      </c>
      <c r="C99" s="260" t="s">
        <v>159</v>
      </c>
      <c r="D99" s="230" t="s">
        <v>679</v>
      </c>
      <c r="E99" s="230" t="s">
        <v>679</v>
      </c>
      <c r="F99" s="231">
        <v>935</v>
      </c>
      <c r="G99" s="232" t="s">
        <v>679</v>
      </c>
      <c r="H99" s="233" t="s">
        <v>679</v>
      </c>
      <c r="I99" s="230" t="s">
        <v>679</v>
      </c>
      <c r="J99" s="233" t="s">
        <v>679</v>
      </c>
      <c r="K99" s="230" t="s">
        <v>679</v>
      </c>
      <c r="L99" s="233" t="s">
        <v>679</v>
      </c>
      <c r="M99" s="230" t="s">
        <v>679</v>
      </c>
      <c r="N99" s="231" t="s">
        <v>679</v>
      </c>
      <c r="O99" s="232" t="s">
        <v>679</v>
      </c>
      <c r="P99" s="231" t="s">
        <v>679</v>
      </c>
      <c r="Q99" s="234" t="s">
        <v>679</v>
      </c>
      <c r="R99" s="230" t="s">
        <v>679</v>
      </c>
      <c r="S99" s="230" t="s">
        <v>679</v>
      </c>
      <c r="T99" s="233" t="s">
        <v>679</v>
      </c>
      <c r="U99" s="230" t="s">
        <v>679</v>
      </c>
      <c r="V99" s="233" t="s">
        <v>679</v>
      </c>
      <c r="W99" s="230" t="s">
        <v>679</v>
      </c>
      <c r="X99" s="233" t="s">
        <v>679</v>
      </c>
      <c r="Y99" s="230" t="s">
        <v>679</v>
      </c>
      <c r="Z99" s="233" t="s">
        <v>679</v>
      </c>
      <c r="AA99" s="230" t="s">
        <v>679</v>
      </c>
      <c r="AB99" s="231" t="s">
        <v>679</v>
      </c>
      <c r="AC99" s="234" t="s">
        <v>679</v>
      </c>
      <c r="AD99" s="232" t="s">
        <v>679</v>
      </c>
      <c r="AE99" s="234" t="s">
        <v>679</v>
      </c>
      <c r="AF99" s="205" t="s">
        <v>679</v>
      </c>
      <c r="AG99" s="205" t="s">
        <v>679</v>
      </c>
      <c r="AH99" s="204" t="s">
        <v>679</v>
      </c>
      <c r="AI99" s="205" t="s">
        <v>679</v>
      </c>
      <c r="AJ99" s="204" t="s">
        <v>679</v>
      </c>
      <c r="AK99" s="205" t="s">
        <v>679</v>
      </c>
      <c r="AL99" s="204" t="s">
        <v>679</v>
      </c>
      <c r="AM99" s="205" t="s">
        <v>679</v>
      </c>
      <c r="AN99" s="204" t="s">
        <v>679</v>
      </c>
      <c r="AO99" s="205" t="s">
        <v>679</v>
      </c>
      <c r="AP99" s="231" t="s">
        <v>679</v>
      </c>
      <c r="AQ99" s="234" t="s">
        <v>679</v>
      </c>
      <c r="AR99" s="232" t="s">
        <v>679</v>
      </c>
      <c r="AS99" s="234" t="s">
        <v>679</v>
      </c>
      <c r="AT99" s="205" t="s">
        <v>679</v>
      </c>
      <c r="AU99" s="205" t="s">
        <v>679</v>
      </c>
      <c r="AV99" s="204" t="s">
        <v>679</v>
      </c>
      <c r="AW99" s="205" t="s">
        <v>679</v>
      </c>
      <c r="AX99" s="204" t="s">
        <v>679</v>
      </c>
      <c r="AY99" s="205" t="s">
        <v>679</v>
      </c>
      <c r="AZ99" s="204" t="s">
        <v>679</v>
      </c>
      <c r="BA99" s="205" t="s">
        <v>679</v>
      </c>
      <c r="BB99" s="204" t="s">
        <v>679</v>
      </c>
      <c r="BC99" s="205" t="s">
        <v>679</v>
      </c>
      <c r="BD99" s="231" t="s">
        <v>679</v>
      </c>
      <c r="BE99" s="234" t="s">
        <v>679</v>
      </c>
      <c r="BF99" s="232" t="s">
        <v>679</v>
      </c>
      <c r="BG99" s="234" t="s">
        <v>679</v>
      </c>
      <c r="BH99" s="205" t="s">
        <v>679</v>
      </c>
      <c r="BI99" s="205" t="s">
        <v>679</v>
      </c>
      <c r="BJ99" s="204" t="s">
        <v>679</v>
      </c>
      <c r="BK99" s="205" t="s">
        <v>679</v>
      </c>
      <c r="BL99" s="316">
        <v>9</v>
      </c>
      <c r="BM99" s="317">
        <v>0</v>
      </c>
      <c r="BN99" s="422"/>
      <c r="BO99" s="419"/>
    </row>
    <row r="100" spans="1:67" ht="15" customHeight="1">
      <c r="A100" s="217" t="s">
        <v>150</v>
      </c>
      <c r="B100" s="217" t="s">
        <v>162</v>
      </c>
      <c r="C100" s="218" t="s">
        <v>161</v>
      </c>
      <c r="D100" s="219"/>
      <c r="E100" s="219"/>
      <c r="F100" s="221" t="s">
        <v>679</v>
      </c>
      <c r="G100" s="244">
        <v>0.71944444444444444</v>
      </c>
      <c r="H100" s="223" t="s">
        <v>679</v>
      </c>
      <c r="I100" s="219"/>
      <c r="J100" s="223" t="s">
        <v>679</v>
      </c>
      <c r="K100" s="219"/>
      <c r="L100" s="223" t="s">
        <v>679</v>
      </c>
      <c r="M100" s="220">
        <v>0.64444444444444449</v>
      </c>
      <c r="N100" s="221" t="s">
        <v>679</v>
      </c>
      <c r="O100" s="222" t="s">
        <v>679</v>
      </c>
      <c r="P100" s="221" t="s">
        <v>679</v>
      </c>
      <c r="Q100" s="225" t="s">
        <v>679</v>
      </c>
      <c r="R100" s="219"/>
      <c r="S100" s="219"/>
      <c r="T100" s="224">
        <v>0.39652777777777776</v>
      </c>
      <c r="U100" s="219"/>
      <c r="V100" s="223" t="s">
        <v>679</v>
      </c>
      <c r="W100" s="219"/>
      <c r="X100" s="223" t="s">
        <v>679</v>
      </c>
      <c r="Y100" s="220">
        <v>0.67013888888888884</v>
      </c>
      <c r="Z100" s="223" t="s">
        <v>679</v>
      </c>
      <c r="AA100" s="219"/>
      <c r="AB100" s="221" t="s">
        <v>679</v>
      </c>
      <c r="AC100" s="225" t="s">
        <v>679</v>
      </c>
      <c r="AD100" s="222" t="s">
        <v>679</v>
      </c>
      <c r="AE100" s="225" t="s">
        <v>679</v>
      </c>
      <c r="AF100" s="203">
        <v>0.41180555555555554</v>
      </c>
      <c r="AG100" s="203">
        <v>0.69652777777777775</v>
      </c>
      <c r="AH100" s="201">
        <v>0.40208333333333335</v>
      </c>
      <c r="AI100" s="203">
        <v>0.69722222222222219</v>
      </c>
      <c r="AJ100" s="201">
        <v>0.4201388888888889</v>
      </c>
      <c r="AK100" s="203">
        <v>0.73402777777777772</v>
      </c>
      <c r="AL100" s="201">
        <v>0.42777777777777776</v>
      </c>
      <c r="AM100" s="203">
        <v>0.75</v>
      </c>
      <c r="AN100" s="201">
        <v>0.40208333333333335</v>
      </c>
      <c r="AO100" s="203">
        <v>0.67986111111111114</v>
      </c>
      <c r="AP100" s="221" t="s">
        <v>679</v>
      </c>
      <c r="AQ100" s="225" t="s">
        <v>679</v>
      </c>
      <c r="AR100" s="222" t="s">
        <v>679</v>
      </c>
      <c r="AS100" s="225" t="s">
        <v>679</v>
      </c>
      <c r="AT100" s="203">
        <v>0.40416666666666667</v>
      </c>
      <c r="AU100" s="203">
        <v>0.71250000000000002</v>
      </c>
      <c r="AV100" s="201">
        <v>0.40277777777777779</v>
      </c>
      <c r="AW100" s="203">
        <v>0.71805555555555556</v>
      </c>
      <c r="AX100" s="201">
        <v>0.41736111111111113</v>
      </c>
      <c r="AY100" s="203">
        <v>0.69652777777777775</v>
      </c>
      <c r="AZ100" s="201">
        <v>0.40277777777777779</v>
      </c>
      <c r="BA100" s="203">
        <v>0.6958333333333333</v>
      </c>
      <c r="BB100" s="201">
        <v>0.43472222222222223</v>
      </c>
      <c r="BC100" s="203">
        <v>0.65138888888888891</v>
      </c>
      <c r="BD100" s="221" t="s">
        <v>679</v>
      </c>
      <c r="BE100" s="225" t="s">
        <v>679</v>
      </c>
      <c r="BF100" s="222" t="s">
        <v>679</v>
      </c>
      <c r="BG100" s="225" t="s">
        <v>679</v>
      </c>
      <c r="BH100" s="203">
        <v>0.43472222222222223</v>
      </c>
      <c r="BI100" s="203">
        <v>0.70763888888888893</v>
      </c>
      <c r="BJ100" s="201">
        <v>0.43402777777777779</v>
      </c>
      <c r="BK100" s="203">
        <v>0.63611111111111107</v>
      </c>
      <c r="BL100" s="314">
        <v>21</v>
      </c>
      <c r="BM100" s="315">
        <v>19</v>
      </c>
      <c r="BN100" s="421" t="s">
        <v>684</v>
      </c>
      <c r="BO100" s="419"/>
    </row>
    <row r="101" spans="1:67" ht="17.25">
      <c r="A101" s="259" t="s">
        <v>150</v>
      </c>
      <c r="B101" s="259" t="s">
        <v>162</v>
      </c>
      <c r="C101" s="260" t="s">
        <v>163</v>
      </c>
      <c r="D101" s="230" t="s">
        <v>679</v>
      </c>
      <c r="E101" s="230" t="s">
        <v>679</v>
      </c>
      <c r="F101" s="243">
        <v>0.39374999999999999</v>
      </c>
      <c r="G101" s="222" t="s">
        <v>679</v>
      </c>
      <c r="H101" s="247">
        <v>0.39444444444444443</v>
      </c>
      <c r="I101" s="230" t="s">
        <v>679</v>
      </c>
      <c r="J101" s="247">
        <v>0.37708333333333333</v>
      </c>
      <c r="K101" s="246">
        <v>0.65833333333333333</v>
      </c>
      <c r="L101" s="247">
        <v>0.4284722222222222</v>
      </c>
      <c r="M101" s="230" t="s">
        <v>679</v>
      </c>
      <c r="N101" s="231" t="s">
        <v>679</v>
      </c>
      <c r="O101" s="304" t="s">
        <v>679</v>
      </c>
      <c r="P101" s="231" t="s">
        <v>679</v>
      </c>
      <c r="Q101" s="234" t="s">
        <v>679</v>
      </c>
      <c r="R101" s="246">
        <v>0.39583333333333331</v>
      </c>
      <c r="S101" s="246">
        <v>0.71736111111111112</v>
      </c>
      <c r="T101" s="233" t="s">
        <v>679</v>
      </c>
      <c r="U101" s="230" t="s">
        <v>679</v>
      </c>
      <c r="V101" s="247">
        <v>0.44930555555555557</v>
      </c>
      <c r="W101" s="246">
        <v>0.68194444444444446</v>
      </c>
      <c r="X101" s="247">
        <v>0.4</v>
      </c>
      <c r="Y101" s="230" t="s">
        <v>679</v>
      </c>
      <c r="Z101" s="247">
        <v>0.40138888888888891</v>
      </c>
      <c r="AA101" s="246">
        <v>0.64236111111111116</v>
      </c>
      <c r="AB101" s="231" t="s">
        <v>679</v>
      </c>
      <c r="AC101" s="234" t="s">
        <v>679</v>
      </c>
      <c r="AD101" s="232" t="s">
        <v>679</v>
      </c>
      <c r="AE101" s="234" t="s">
        <v>679</v>
      </c>
      <c r="AF101" s="305">
        <v>0.41180555555555554</v>
      </c>
      <c r="AG101" s="207">
        <v>0.69652777777777775</v>
      </c>
      <c r="AH101" s="206">
        <v>0.40208333333333335</v>
      </c>
      <c r="AI101" s="207">
        <v>0.69722222222222219</v>
      </c>
      <c r="AJ101" s="206">
        <v>0.4201388888888889</v>
      </c>
      <c r="AK101" s="207">
        <v>0.73402777777777772</v>
      </c>
      <c r="AL101" s="206">
        <v>0.42777777777777776</v>
      </c>
      <c r="AM101" s="207">
        <v>0.75</v>
      </c>
      <c r="AN101" s="206">
        <v>0.40208333333333335</v>
      </c>
      <c r="AO101" s="207">
        <v>0.67986111111111114</v>
      </c>
      <c r="AP101" s="231" t="s">
        <v>679</v>
      </c>
      <c r="AQ101" s="234" t="s">
        <v>679</v>
      </c>
      <c r="AR101" s="232" t="s">
        <v>679</v>
      </c>
      <c r="AS101" s="234" t="s">
        <v>679</v>
      </c>
      <c r="AT101" s="207">
        <v>0.40416666666666667</v>
      </c>
      <c r="AU101" s="207">
        <v>0.71250000000000002</v>
      </c>
      <c r="AV101" s="206">
        <v>0.40277777777777779</v>
      </c>
      <c r="AW101" s="207">
        <v>0.71805555555555556</v>
      </c>
      <c r="AX101" s="206">
        <v>0.41736111111111113</v>
      </c>
      <c r="AY101" s="207">
        <v>0.69652777777777775</v>
      </c>
      <c r="AZ101" s="206">
        <v>0.40277777777777779</v>
      </c>
      <c r="BA101" s="207">
        <v>0.6958333333333333</v>
      </c>
      <c r="BB101" s="206">
        <v>0.43472222222222223</v>
      </c>
      <c r="BC101" s="207">
        <v>0.65138888888888891</v>
      </c>
      <c r="BD101" s="231" t="s">
        <v>679</v>
      </c>
      <c r="BE101" s="234" t="s">
        <v>679</v>
      </c>
      <c r="BF101" s="232" t="s">
        <v>679</v>
      </c>
      <c r="BG101" s="234" t="s">
        <v>679</v>
      </c>
      <c r="BH101" s="207">
        <v>0.43472222222222223</v>
      </c>
      <c r="BI101" s="207">
        <v>0.70763888888888893</v>
      </c>
      <c r="BJ101" s="206">
        <v>0.43402777777777779</v>
      </c>
      <c r="BK101" s="207">
        <v>0.63611111111111107</v>
      </c>
      <c r="BL101" s="316">
        <v>21</v>
      </c>
      <c r="BM101" s="317">
        <v>19</v>
      </c>
      <c r="BN101" s="422"/>
      <c r="BO101" s="420"/>
    </row>
    <row r="102" spans="1:67">
      <c r="A102" s="295"/>
      <c r="B102" s="295"/>
      <c r="C102" s="295"/>
      <c r="D102" s="295"/>
      <c r="E102" s="295"/>
      <c r="F102" s="445" t="s">
        <v>713</v>
      </c>
      <c r="G102" s="446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295"/>
      <c r="AM102" s="295"/>
      <c r="AN102" s="295"/>
      <c r="AO102" s="295"/>
      <c r="AP102" s="295"/>
      <c r="AQ102" s="295"/>
      <c r="AR102" s="295"/>
      <c r="AS102" s="295"/>
      <c r="AT102" s="295"/>
      <c r="AU102" s="295"/>
      <c r="AV102" s="295"/>
      <c r="AW102" s="295"/>
      <c r="AX102" s="295"/>
      <c r="AY102" s="295"/>
      <c r="AZ102" s="295"/>
      <c r="BA102" s="295"/>
      <c r="BB102" s="295"/>
      <c r="BC102" s="295"/>
      <c r="BD102" s="295"/>
      <c r="BE102" s="295"/>
      <c r="BF102" s="295"/>
      <c r="BG102" s="295"/>
      <c r="BH102" s="295"/>
      <c r="BI102" s="295"/>
      <c r="BJ102" s="295"/>
      <c r="BK102" s="295"/>
      <c r="BL102" s="323"/>
      <c r="BM102" s="323"/>
      <c r="BN102" s="323"/>
      <c r="BO102" s="323"/>
    </row>
    <row r="103" spans="1:67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5"/>
      <c r="AE103" s="295"/>
      <c r="AF103" s="295"/>
      <c r="AG103" s="295"/>
      <c r="AH103" s="295"/>
      <c r="AI103" s="295"/>
      <c r="AJ103" s="295"/>
      <c r="AK103" s="295"/>
      <c r="AL103" s="295"/>
      <c r="AM103" s="295"/>
      <c r="AN103" s="295"/>
      <c r="AO103" s="295"/>
      <c r="AP103" s="295"/>
      <c r="AQ103" s="295"/>
      <c r="AR103" s="295"/>
      <c r="AS103" s="295"/>
      <c r="AT103" s="295"/>
      <c r="AU103" s="295"/>
      <c r="AV103" s="295"/>
      <c r="AW103" s="295"/>
      <c r="AX103" s="295"/>
      <c r="AY103" s="295"/>
      <c r="AZ103" s="295"/>
      <c r="BA103" s="295"/>
      <c r="BB103" s="295"/>
      <c r="BC103" s="295"/>
      <c r="BD103" s="295"/>
      <c r="BE103" s="295"/>
      <c r="BF103" s="295"/>
      <c r="BG103" s="295"/>
      <c r="BH103" s="295"/>
      <c r="BI103" s="295"/>
      <c r="BJ103" s="295"/>
      <c r="BK103" s="295"/>
      <c r="BL103" s="323"/>
      <c r="BM103" s="323"/>
      <c r="BN103" s="323"/>
      <c r="BO103" s="323"/>
    </row>
    <row r="104" spans="1:67">
      <c r="A104" s="306" t="s">
        <v>679</v>
      </c>
      <c r="B104" s="307" t="s">
        <v>714</v>
      </c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  <c r="AD104" s="295"/>
      <c r="AE104" s="295"/>
      <c r="AF104" s="295"/>
      <c r="AG104" s="295"/>
      <c r="AH104" s="295"/>
      <c r="AI104" s="295"/>
      <c r="AJ104" s="295"/>
      <c r="AK104" s="295"/>
      <c r="AL104" s="295"/>
      <c r="AM104" s="295"/>
      <c r="AN104" s="295"/>
      <c r="AO104" s="295"/>
      <c r="AP104" s="295"/>
      <c r="AQ104" s="295"/>
      <c r="AR104" s="295"/>
      <c r="AS104" s="295"/>
      <c r="AT104" s="295"/>
      <c r="AU104" s="295"/>
      <c r="AV104" s="295"/>
      <c r="AW104" s="295"/>
      <c r="AX104" s="295"/>
      <c r="AY104" s="295"/>
      <c r="AZ104" s="295"/>
      <c r="BA104" s="295"/>
      <c r="BB104" s="295"/>
      <c r="BC104" s="295"/>
      <c r="BD104" s="295"/>
      <c r="BE104" s="295"/>
      <c r="BF104" s="295"/>
      <c r="BG104" s="295"/>
      <c r="BH104" s="295"/>
      <c r="BI104" s="295"/>
      <c r="BJ104" s="295"/>
      <c r="BK104" s="295"/>
      <c r="BL104" s="323"/>
      <c r="BM104" s="323"/>
      <c r="BN104" s="323"/>
      <c r="BO104" s="323"/>
    </row>
    <row r="105" spans="1:67">
      <c r="A105" s="308" t="s">
        <v>679</v>
      </c>
      <c r="B105" s="309" t="s">
        <v>715</v>
      </c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  <c r="AD105" s="295"/>
      <c r="AE105" s="295"/>
      <c r="AF105" s="295"/>
      <c r="AG105" s="295"/>
      <c r="AH105" s="295"/>
      <c r="AI105" s="295"/>
      <c r="AJ105" s="295"/>
      <c r="AK105" s="295"/>
      <c r="AL105" s="295"/>
      <c r="AM105" s="295"/>
      <c r="AN105" s="295"/>
      <c r="AO105" s="295"/>
      <c r="AP105" s="295"/>
      <c r="AQ105" s="295"/>
      <c r="AR105" s="295"/>
      <c r="AS105" s="295"/>
      <c r="AT105" s="295"/>
      <c r="AU105" s="295"/>
      <c r="AV105" s="295"/>
      <c r="AW105" s="295"/>
      <c r="AX105" s="295"/>
      <c r="AY105" s="295"/>
      <c r="AZ105" s="295"/>
      <c r="BA105" s="295"/>
      <c r="BB105" s="295"/>
      <c r="BC105" s="295"/>
      <c r="BD105" s="295"/>
      <c r="BE105" s="295"/>
      <c r="BF105" s="295"/>
      <c r="BG105" s="295"/>
      <c r="BH105" s="295"/>
      <c r="BI105" s="295"/>
      <c r="BJ105" s="295"/>
      <c r="BK105" s="295"/>
      <c r="BL105" s="323"/>
      <c r="BM105" s="323"/>
      <c r="BN105" s="323"/>
      <c r="BO105" s="323"/>
    </row>
    <row r="106" spans="1:67">
      <c r="A106" s="310" t="s">
        <v>679</v>
      </c>
      <c r="B106" s="309" t="s">
        <v>716</v>
      </c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  <c r="AD106" s="295"/>
      <c r="AE106" s="295"/>
      <c r="AF106" s="295"/>
      <c r="AG106" s="295"/>
      <c r="AH106" s="295"/>
      <c r="AI106" s="295"/>
      <c r="AJ106" s="295"/>
      <c r="AK106" s="295"/>
      <c r="AL106" s="295"/>
      <c r="AM106" s="295"/>
      <c r="AN106" s="295"/>
      <c r="AO106" s="295"/>
      <c r="AP106" s="295"/>
      <c r="AQ106" s="295"/>
      <c r="AR106" s="295"/>
      <c r="AS106" s="295"/>
      <c r="AT106" s="295"/>
      <c r="AU106" s="295"/>
      <c r="AV106" s="295"/>
      <c r="AW106" s="295"/>
      <c r="AX106" s="295"/>
      <c r="AY106" s="295"/>
      <c r="AZ106" s="295"/>
      <c r="BA106" s="295"/>
      <c r="BB106" s="295"/>
      <c r="BC106" s="295"/>
      <c r="BD106" s="295"/>
      <c r="BE106" s="295"/>
      <c r="BF106" s="295"/>
      <c r="BG106" s="295"/>
      <c r="BH106" s="295"/>
      <c r="BI106" s="295"/>
      <c r="BJ106" s="295"/>
      <c r="BK106" s="295"/>
      <c r="BL106" s="323"/>
      <c r="BM106" s="323"/>
      <c r="BN106" s="323"/>
      <c r="BO106" s="323"/>
    </row>
    <row r="107" spans="1:67">
      <c r="A107" s="311" t="s">
        <v>679</v>
      </c>
      <c r="B107" s="312" t="s">
        <v>717</v>
      </c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5"/>
      <c r="AJ107" s="295"/>
      <c r="AK107" s="295"/>
      <c r="AL107" s="295"/>
      <c r="AM107" s="295"/>
      <c r="AN107" s="295"/>
      <c r="AO107" s="295"/>
      <c r="AP107" s="295"/>
      <c r="AQ107" s="295"/>
      <c r="AR107" s="295"/>
      <c r="AS107" s="295"/>
      <c r="AT107" s="295"/>
      <c r="AU107" s="295"/>
      <c r="AV107" s="295"/>
      <c r="AW107" s="295"/>
      <c r="AX107" s="295"/>
      <c r="AY107" s="295"/>
      <c r="AZ107" s="295"/>
      <c r="BA107" s="295"/>
      <c r="BB107" s="295"/>
      <c r="BC107" s="295"/>
      <c r="BD107" s="295"/>
      <c r="BE107" s="295"/>
      <c r="BF107" s="295"/>
      <c r="BG107" s="295"/>
      <c r="BH107" s="295"/>
      <c r="BI107" s="295"/>
      <c r="BJ107" s="295"/>
      <c r="BK107" s="295"/>
      <c r="BL107" s="323"/>
      <c r="BM107" s="323"/>
      <c r="BN107" s="323"/>
      <c r="BO107" s="323"/>
    </row>
    <row r="108" spans="1:67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5"/>
      <c r="AV108" s="295"/>
      <c r="AW108" s="295"/>
      <c r="AX108" s="295"/>
      <c r="AY108" s="295"/>
      <c r="AZ108" s="295"/>
      <c r="BA108" s="295"/>
      <c r="BB108" s="295"/>
      <c r="BC108" s="295"/>
      <c r="BD108" s="295"/>
      <c r="BE108" s="295"/>
      <c r="BF108" s="295"/>
      <c r="BG108" s="295"/>
      <c r="BH108" s="295"/>
      <c r="BI108" s="295"/>
      <c r="BJ108" s="295"/>
      <c r="BK108" s="295"/>
      <c r="BL108" s="323"/>
      <c r="BM108" s="323"/>
      <c r="BN108" s="323"/>
      <c r="BO108" s="323"/>
    </row>
    <row r="109" spans="1:67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5"/>
      <c r="AV109" s="295"/>
      <c r="AW109" s="295"/>
      <c r="AX109" s="295"/>
      <c r="AY109" s="295"/>
      <c r="AZ109" s="295"/>
      <c r="BA109" s="295"/>
      <c r="BB109" s="295"/>
      <c r="BC109" s="295"/>
      <c r="BD109" s="295"/>
      <c r="BE109" s="295"/>
      <c r="BF109" s="295"/>
      <c r="BG109" s="295"/>
      <c r="BH109" s="295"/>
      <c r="BI109" s="295"/>
      <c r="BJ109" s="295"/>
      <c r="BK109" s="295"/>
      <c r="BL109" s="323"/>
      <c r="BM109" s="323"/>
      <c r="BN109" s="323"/>
      <c r="BO109" s="323"/>
    </row>
    <row r="110" spans="1:67">
      <c r="A110" s="313" t="s">
        <v>169</v>
      </c>
      <c r="B110" s="313" t="s">
        <v>718</v>
      </c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295"/>
      <c r="AM110" s="295"/>
      <c r="AN110" s="295"/>
      <c r="AO110" s="295"/>
      <c r="AP110" s="295"/>
      <c r="AQ110" s="295"/>
      <c r="AR110" s="295"/>
      <c r="AS110" s="295"/>
      <c r="AT110" s="295"/>
      <c r="AU110" s="295"/>
      <c r="AV110" s="295"/>
      <c r="AW110" s="295"/>
      <c r="AX110" s="295"/>
      <c r="AY110" s="295"/>
      <c r="AZ110" s="295"/>
      <c r="BA110" s="295"/>
      <c r="BB110" s="295"/>
      <c r="BC110" s="295"/>
      <c r="BD110" s="295"/>
      <c r="BE110" s="295"/>
      <c r="BF110" s="295"/>
      <c r="BG110" s="295"/>
      <c r="BH110" s="295"/>
      <c r="BI110" s="295"/>
      <c r="BJ110" s="295"/>
      <c r="BK110" s="295"/>
      <c r="BL110" s="323"/>
      <c r="BM110" s="323"/>
      <c r="BN110" s="324"/>
      <c r="BO110" s="323"/>
    </row>
    <row r="111" spans="1:67">
      <c r="A111" s="295" t="s">
        <v>5</v>
      </c>
      <c r="B111" s="295" t="s">
        <v>698</v>
      </c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/>
      <c r="AQ111" s="295"/>
      <c r="AR111" s="295"/>
      <c r="AS111" s="295"/>
      <c r="AT111" s="295"/>
      <c r="AU111" s="295"/>
      <c r="AV111" s="295"/>
      <c r="AW111" s="295"/>
      <c r="AX111" s="295"/>
      <c r="AY111" s="295"/>
      <c r="AZ111" s="295"/>
      <c r="BA111" s="295"/>
      <c r="BB111" s="295"/>
      <c r="BC111" s="295"/>
      <c r="BD111" s="295"/>
      <c r="BE111" s="295"/>
      <c r="BF111" s="295"/>
      <c r="BG111" s="295"/>
      <c r="BH111" s="295"/>
      <c r="BI111" s="295"/>
      <c r="BJ111" s="295"/>
      <c r="BK111" s="295"/>
      <c r="BL111" s="323"/>
      <c r="BM111" s="323"/>
      <c r="BN111" s="324"/>
      <c r="BO111" s="323"/>
    </row>
    <row r="112" spans="1:67">
      <c r="A112" s="295" t="s">
        <v>26</v>
      </c>
      <c r="B112" s="295" t="s">
        <v>719</v>
      </c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5"/>
      <c r="AK112" s="295"/>
      <c r="AL112" s="295"/>
      <c r="AM112" s="295"/>
      <c r="AN112" s="295"/>
      <c r="AO112" s="295"/>
      <c r="AP112" s="295"/>
      <c r="AQ112" s="295"/>
      <c r="AR112" s="295"/>
      <c r="AS112" s="295"/>
      <c r="AT112" s="295"/>
      <c r="AU112" s="295"/>
      <c r="AV112" s="295"/>
      <c r="AW112" s="295"/>
      <c r="AX112" s="295"/>
      <c r="AY112" s="295"/>
      <c r="AZ112" s="295"/>
      <c r="BA112" s="295"/>
      <c r="BB112" s="295"/>
      <c r="BC112" s="295"/>
      <c r="BD112" s="295"/>
      <c r="BE112" s="295"/>
      <c r="BF112" s="295"/>
      <c r="BG112" s="295"/>
      <c r="BH112" s="295"/>
      <c r="BI112" s="295"/>
      <c r="BJ112" s="295"/>
      <c r="BK112" s="295"/>
      <c r="BL112" s="323"/>
      <c r="BM112" s="323"/>
      <c r="BN112" s="324"/>
      <c r="BO112" s="323"/>
    </row>
    <row r="113" spans="1:67">
      <c r="A113" s="295" t="s">
        <v>43</v>
      </c>
      <c r="B113" s="295" t="s">
        <v>682</v>
      </c>
      <c r="C113" s="295"/>
      <c r="D113" s="295"/>
      <c r="E113" s="295"/>
      <c r="F113" s="295"/>
      <c r="G113" s="295"/>
      <c r="H113" s="295"/>
      <c r="I113" s="295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5"/>
      <c r="AK113" s="295"/>
      <c r="AL113" s="295"/>
      <c r="AM113" s="295"/>
      <c r="AN113" s="295"/>
      <c r="AO113" s="295"/>
      <c r="AP113" s="295"/>
      <c r="AQ113" s="295"/>
      <c r="AR113" s="295"/>
      <c r="AS113" s="295"/>
      <c r="AT113" s="295"/>
      <c r="AU113" s="295"/>
      <c r="AV113" s="295"/>
      <c r="AW113" s="295"/>
      <c r="AX113" s="295"/>
      <c r="AY113" s="295"/>
      <c r="AZ113" s="295"/>
      <c r="BA113" s="295"/>
      <c r="BB113" s="295"/>
      <c r="BC113" s="295"/>
      <c r="BD113" s="295"/>
      <c r="BE113" s="295"/>
      <c r="BF113" s="295"/>
      <c r="BG113" s="295"/>
      <c r="BH113" s="295"/>
      <c r="BI113" s="295"/>
      <c r="BJ113" s="295"/>
      <c r="BK113" s="295"/>
      <c r="BL113" s="323"/>
      <c r="BM113" s="323"/>
      <c r="BN113" s="324"/>
      <c r="BO113" s="323"/>
    </row>
    <row r="114" spans="1:67">
      <c r="A114" s="295" t="s">
        <v>56</v>
      </c>
      <c r="B114" s="295" t="s">
        <v>720</v>
      </c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5"/>
      <c r="AS114" s="295"/>
      <c r="AT114" s="295"/>
      <c r="AU114" s="295"/>
      <c r="AV114" s="295"/>
      <c r="AW114" s="295"/>
      <c r="AX114" s="295"/>
      <c r="AY114" s="295"/>
      <c r="AZ114" s="295"/>
      <c r="BA114" s="295"/>
      <c r="BB114" s="295"/>
      <c r="BC114" s="295"/>
      <c r="BD114" s="295"/>
      <c r="BE114" s="295"/>
      <c r="BF114" s="295"/>
      <c r="BG114" s="295"/>
      <c r="BH114" s="295"/>
      <c r="BI114" s="295"/>
      <c r="BJ114" s="295"/>
      <c r="BK114" s="295"/>
      <c r="BL114" s="323"/>
      <c r="BM114" s="323"/>
      <c r="BN114" s="324"/>
      <c r="BO114" s="323"/>
    </row>
    <row r="115" spans="1:67">
      <c r="A115" s="295" t="s">
        <v>72</v>
      </c>
      <c r="B115" s="295" t="s">
        <v>721</v>
      </c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  <c r="AD115" s="295"/>
      <c r="AE115" s="295"/>
      <c r="AF115" s="295"/>
      <c r="AG115" s="295"/>
      <c r="AH115" s="295"/>
      <c r="AI115" s="295"/>
      <c r="AJ115" s="295"/>
      <c r="AK115" s="295"/>
      <c r="AL115" s="295"/>
      <c r="AM115" s="295"/>
      <c r="AN115" s="295"/>
      <c r="AO115" s="295"/>
      <c r="AP115" s="295"/>
      <c r="AQ115" s="295"/>
      <c r="AR115" s="295"/>
      <c r="AS115" s="295"/>
      <c r="AT115" s="295"/>
      <c r="AU115" s="295"/>
      <c r="AV115" s="295"/>
      <c r="AW115" s="295"/>
      <c r="AX115" s="295"/>
      <c r="AY115" s="295"/>
      <c r="AZ115" s="295"/>
      <c r="BA115" s="295"/>
      <c r="BB115" s="295"/>
      <c r="BC115" s="295"/>
      <c r="BD115" s="295"/>
      <c r="BE115" s="295"/>
      <c r="BF115" s="295"/>
      <c r="BG115" s="295"/>
      <c r="BH115" s="295"/>
      <c r="BI115" s="295"/>
      <c r="BJ115" s="295"/>
      <c r="BK115" s="295"/>
      <c r="BL115" s="323"/>
      <c r="BM115" s="323"/>
      <c r="BN115" s="324"/>
      <c r="BO115" s="323"/>
    </row>
    <row r="116" spans="1:67">
      <c r="A116" s="295" t="s">
        <v>94</v>
      </c>
      <c r="B116" s="295" t="s">
        <v>697</v>
      </c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  <c r="AD116" s="295"/>
      <c r="AE116" s="295"/>
      <c r="AF116" s="295"/>
      <c r="AG116" s="295"/>
      <c r="AH116" s="295"/>
      <c r="AI116" s="295"/>
      <c r="AJ116" s="295"/>
      <c r="AK116" s="295"/>
      <c r="AL116" s="295"/>
      <c r="AM116" s="295"/>
      <c r="AN116" s="295"/>
      <c r="AO116" s="295"/>
      <c r="AP116" s="295"/>
      <c r="AQ116" s="295"/>
      <c r="AR116" s="295"/>
      <c r="AS116" s="295"/>
      <c r="AT116" s="295"/>
      <c r="AU116" s="295"/>
      <c r="AV116" s="295"/>
      <c r="AW116" s="295"/>
      <c r="AX116" s="295"/>
      <c r="AY116" s="295"/>
      <c r="AZ116" s="295"/>
      <c r="BA116" s="295"/>
      <c r="BB116" s="295"/>
      <c r="BC116" s="295"/>
      <c r="BD116" s="295"/>
      <c r="BE116" s="295"/>
      <c r="BF116" s="295"/>
      <c r="BG116" s="295"/>
      <c r="BH116" s="295"/>
      <c r="BI116" s="295"/>
      <c r="BJ116" s="295"/>
      <c r="BK116" s="295"/>
      <c r="BL116" s="323"/>
      <c r="BM116" s="323"/>
      <c r="BN116" s="324"/>
      <c r="BO116" s="323"/>
    </row>
    <row r="117" spans="1:67">
      <c r="A117" s="295" t="s">
        <v>97</v>
      </c>
      <c r="B117" s="295" t="s">
        <v>722</v>
      </c>
      <c r="C117" s="295"/>
      <c r="D117" s="295"/>
      <c r="E117" s="295"/>
      <c r="F117" s="295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295"/>
      <c r="AS117" s="295"/>
      <c r="AT117" s="295"/>
      <c r="AU117" s="295"/>
      <c r="AV117" s="295"/>
      <c r="AW117" s="295"/>
      <c r="AX117" s="295"/>
      <c r="AY117" s="295"/>
      <c r="AZ117" s="295"/>
      <c r="BA117" s="295"/>
      <c r="BB117" s="295"/>
      <c r="BC117" s="295"/>
      <c r="BD117" s="295"/>
      <c r="BE117" s="295"/>
      <c r="BF117" s="295"/>
      <c r="BG117" s="295"/>
      <c r="BH117" s="295"/>
      <c r="BI117" s="295"/>
      <c r="BJ117" s="295"/>
      <c r="BK117" s="295"/>
      <c r="BL117" s="323"/>
      <c r="BM117" s="323"/>
      <c r="BN117" s="324"/>
      <c r="BO117" s="323"/>
    </row>
    <row r="118" spans="1:67">
      <c r="A118" s="295" t="s">
        <v>108</v>
      </c>
      <c r="B118" s="295" t="s">
        <v>723</v>
      </c>
      <c r="C118" s="295"/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5"/>
      <c r="AC118" s="295"/>
      <c r="AD118" s="295"/>
      <c r="AE118" s="295"/>
      <c r="AF118" s="295"/>
      <c r="AG118" s="295"/>
      <c r="AH118" s="295"/>
      <c r="AI118" s="295"/>
      <c r="AJ118" s="295"/>
      <c r="AK118" s="295"/>
      <c r="AL118" s="295"/>
      <c r="AM118" s="295"/>
      <c r="AN118" s="295"/>
      <c r="AO118" s="295"/>
      <c r="AP118" s="295"/>
      <c r="AQ118" s="295"/>
      <c r="AR118" s="295"/>
      <c r="AS118" s="295"/>
      <c r="AT118" s="295"/>
      <c r="AU118" s="295"/>
      <c r="AV118" s="295"/>
      <c r="AW118" s="295"/>
      <c r="AX118" s="295"/>
      <c r="AY118" s="295"/>
      <c r="AZ118" s="295"/>
      <c r="BA118" s="295"/>
      <c r="BB118" s="295"/>
      <c r="BC118" s="295"/>
      <c r="BD118" s="295"/>
      <c r="BE118" s="295"/>
      <c r="BF118" s="295"/>
      <c r="BG118" s="295"/>
      <c r="BH118" s="295"/>
      <c r="BI118" s="295"/>
      <c r="BJ118" s="295"/>
      <c r="BK118" s="295"/>
      <c r="BL118" s="323"/>
      <c r="BM118" s="323"/>
      <c r="BN118" s="324"/>
      <c r="BO118" s="323"/>
    </row>
    <row r="119" spans="1:67">
      <c r="A119" s="295" t="s">
        <v>123</v>
      </c>
      <c r="B119" s="295" t="s">
        <v>724</v>
      </c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  <c r="AD119" s="295"/>
      <c r="AE119" s="295"/>
      <c r="AF119" s="295"/>
      <c r="AG119" s="295"/>
      <c r="AH119" s="295"/>
      <c r="AI119" s="295"/>
      <c r="AJ119" s="295"/>
      <c r="AK119" s="295"/>
      <c r="AL119" s="295"/>
      <c r="AM119" s="295"/>
      <c r="AN119" s="295"/>
      <c r="AO119" s="295"/>
      <c r="AP119" s="295"/>
      <c r="AQ119" s="295"/>
      <c r="AR119" s="295"/>
      <c r="AS119" s="295"/>
      <c r="AT119" s="295"/>
      <c r="AU119" s="295"/>
      <c r="AV119" s="295"/>
      <c r="AW119" s="295"/>
      <c r="AX119" s="295"/>
      <c r="AY119" s="295"/>
      <c r="AZ119" s="295"/>
      <c r="BA119" s="295"/>
      <c r="BB119" s="295"/>
      <c r="BC119" s="295"/>
      <c r="BD119" s="295"/>
      <c r="BE119" s="295"/>
      <c r="BF119" s="295"/>
      <c r="BG119" s="295"/>
      <c r="BH119" s="295"/>
      <c r="BI119" s="295"/>
      <c r="BJ119" s="295"/>
      <c r="BK119" s="295"/>
      <c r="BL119" s="323"/>
      <c r="BM119" s="323"/>
      <c r="BN119" s="324"/>
      <c r="BO119" s="323"/>
    </row>
    <row r="120" spans="1:67">
      <c r="A120" s="295" t="s">
        <v>134</v>
      </c>
      <c r="B120" s="295" t="s">
        <v>725</v>
      </c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  <c r="AD120" s="295"/>
      <c r="AE120" s="295"/>
      <c r="AF120" s="295"/>
      <c r="AG120" s="295"/>
      <c r="AH120" s="295"/>
      <c r="AI120" s="295"/>
      <c r="AJ120" s="295"/>
      <c r="AK120" s="295"/>
      <c r="AL120" s="295"/>
      <c r="AM120" s="295"/>
      <c r="AN120" s="295"/>
      <c r="AO120" s="295"/>
      <c r="AP120" s="295"/>
      <c r="AQ120" s="295"/>
      <c r="AR120" s="295"/>
      <c r="AS120" s="295"/>
      <c r="AT120" s="295"/>
      <c r="AU120" s="295"/>
      <c r="AV120" s="295"/>
      <c r="AW120" s="295"/>
      <c r="AX120" s="295"/>
      <c r="AY120" s="295"/>
      <c r="AZ120" s="295"/>
      <c r="BA120" s="295"/>
      <c r="BB120" s="295"/>
      <c r="BC120" s="295"/>
      <c r="BD120" s="295"/>
      <c r="BE120" s="295"/>
      <c r="BF120" s="295"/>
      <c r="BG120" s="295"/>
      <c r="BH120" s="295"/>
      <c r="BI120" s="295"/>
      <c r="BJ120" s="295"/>
      <c r="BK120" s="295"/>
      <c r="BL120" s="323"/>
      <c r="BM120" s="323"/>
      <c r="BN120" s="324"/>
      <c r="BO120" s="323"/>
    </row>
    <row r="121" spans="1:67">
      <c r="A121" s="295" t="s">
        <v>147</v>
      </c>
      <c r="B121" s="295" t="s">
        <v>726</v>
      </c>
      <c r="C121" s="295"/>
      <c r="D121" s="295"/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  <c r="AD121" s="295"/>
      <c r="AE121" s="295"/>
      <c r="AF121" s="295"/>
      <c r="AG121" s="295"/>
      <c r="AH121" s="295"/>
      <c r="AI121" s="295"/>
      <c r="AJ121" s="295"/>
      <c r="AK121" s="295"/>
      <c r="AL121" s="295"/>
      <c r="AM121" s="295"/>
      <c r="AN121" s="295"/>
      <c r="AO121" s="295"/>
      <c r="AP121" s="295"/>
      <c r="AQ121" s="295"/>
      <c r="AR121" s="295"/>
      <c r="AS121" s="295"/>
      <c r="AT121" s="295"/>
      <c r="AU121" s="295"/>
      <c r="AV121" s="295"/>
      <c r="AW121" s="295"/>
      <c r="AX121" s="295"/>
      <c r="AY121" s="295"/>
      <c r="AZ121" s="295"/>
      <c r="BA121" s="295"/>
      <c r="BB121" s="295"/>
      <c r="BC121" s="295"/>
      <c r="BD121" s="295"/>
      <c r="BE121" s="295"/>
      <c r="BF121" s="295"/>
      <c r="BG121" s="295"/>
      <c r="BH121" s="295"/>
      <c r="BI121" s="295"/>
      <c r="BJ121" s="295"/>
      <c r="BK121" s="295"/>
      <c r="BL121" s="323"/>
      <c r="BM121" s="323"/>
      <c r="BN121" s="324"/>
      <c r="BO121" s="323"/>
    </row>
    <row r="122" spans="1:67">
      <c r="A122" s="295" t="s">
        <v>150</v>
      </c>
      <c r="B122" s="295" t="s">
        <v>680</v>
      </c>
      <c r="C122" s="295"/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  <c r="AE122" s="295"/>
      <c r="AF122" s="295"/>
      <c r="AG122" s="295"/>
      <c r="AH122" s="295"/>
      <c r="AI122" s="295"/>
      <c r="AJ122" s="295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5"/>
      <c r="AV122" s="295"/>
      <c r="AW122" s="295"/>
      <c r="AX122" s="295"/>
      <c r="AY122" s="295"/>
      <c r="AZ122" s="295"/>
      <c r="BA122" s="295"/>
      <c r="BB122" s="295"/>
      <c r="BC122" s="295"/>
      <c r="BD122" s="295"/>
      <c r="BE122" s="295"/>
      <c r="BF122" s="295"/>
      <c r="BG122" s="295"/>
      <c r="BH122" s="295"/>
      <c r="BI122" s="295"/>
      <c r="BJ122" s="295"/>
      <c r="BK122" s="295"/>
      <c r="BL122" s="323"/>
      <c r="BM122" s="323"/>
      <c r="BN122" s="323"/>
      <c r="BO122" s="323"/>
    </row>
    <row r="123" spans="1:67">
      <c r="A123" s="295"/>
      <c r="B123" s="295" t="s">
        <v>727</v>
      </c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  <c r="AD123" s="295"/>
      <c r="AE123" s="295"/>
      <c r="AF123" s="295"/>
      <c r="AG123" s="295"/>
      <c r="AH123" s="295"/>
      <c r="AI123" s="295"/>
      <c r="AJ123" s="295"/>
      <c r="AK123" s="295"/>
      <c r="AL123" s="295"/>
      <c r="AM123" s="295"/>
      <c r="AN123" s="295"/>
      <c r="AO123" s="295"/>
      <c r="AP123" s="295"/>
      <c r="AQ123" s="295"/>
      <c r="AR123" s="295"/>
      <c r="AS123" s="295"/>
      <c r="AT123" s="295"/>
      <c r="AU123" s="295"/>
      <c r="AV123" s="295"/>
      <c r="AW123" s="295"/>
      <c r="AX123" s="295"/>
      <c r="AY123" s="295"/>
      <c r="AZ123" s="295"/>
      <c r="BA123" s="295"/>
      <c r="BB123" s="295"/>
      <c r="BC123" s="295"/>
      <c r="BD123" s="295"/>
      <c r="BE123" s="295"/>
      <c r="BF123" s="295"/>
      <c r="BG123" s="295"/>
      <c r="BH123" s="295"/>
      <c r="BI123" s="295"/>
      <c r="BJ123" s="295"/>
      <c r="BK123" s="295"/>
      <c r="BL123" s="323"/>
      <c r="BM123" s="323"/>
      <c r="BN123" s="323"/>
      <c r="BO123" s="323"/>
    </row>
  </sheetData>
  <mergeCells count="68">
    <mergeCell ref="BO94:BO101"/>
    <mergeCell ref="BN95:BN96"/>
    <mergeCell ref="BN98:BN99"/>
    <mergeCell ref="BN100:BN101"/>
    <mergeCell ref="BO76:BO81"/>
    <mergeCell ref="BN82:BN86"/>
    <mergeCell ref="BO82:BO90"/>
    <mergeCell ref="BN87:BN89"/>
    <mergeCell ref="BO91:BO93"/>
    <mergeCell ref="BO62:BO67"/>
    <mergeCell ref="BN66:BN67"/>
    <mergeCell ref="BN68:BN69"/>
    <mergeCell ref="BO68:BO75"/>
    <mergeCell ref="BN70:BN71"/>
    <mergeCell ref="BN38:BN39"/>
    <mergeCell ref="BO38:BO46"/>
    <mergeCell ref="BN47:BN48"/>
    <mergeCell ref="BO47:BO60"/>
    <mergeCell ref="BN49:BN53"/>
    <mergeCell ref="BN54:BN55"/>
    <mergeCell ref="BN56:BN58"/>
    <mergeCell ref="BN59:BN60"/>
    <mergeCell ref="BO31:BO37"/>
    <mergeCell ref="BN33:BN34"/>
    <mergeCell ref="BN35:BN36"/>
    <mergeCell ref="BN1:BN2"/>
    <mergeCell ref="BO1:BO2"/>
    <mergeCell ref="BN3:BN4"/>
    <mergeCell ref="BO3:BO18"/>
    <mergeCell ref="BN5:BN9"/>
    <mergeCell ref="BN10:BN15"/>
    <mergeCell ref="BN16:BN18"/>
    <mergeCell ref="F102:G102"/>
    <mergeCell ref="BF1:BG1"/>
    <mergeCell ref="BH1:BI1"/>
    <mergeCell ref="BJ1:BK1"/>
    <mergeCell ref="BL1:BL2"/>
    <mergeCell ref="AH1:AI1"/>
    <mergeCell ref="AJ1:AK1"/>
    <mergeCell ref="AL1:AM1"/>
    <mergeCell ref="AN1:AO1"/>
    <mergeCell ref="AP1:AQ1"/>
    <mergeCell ref="AR1:AS1"/>
    <mergeCell ref="V1:W1"/>
    <mergeCell ref="X1:Y1"/>
    <mergeCell ref="Z1:AA1"/>
    <mergeCell ref="AB1:AC1"/>
    <mergeCell ref="AD1:AE1"/>
    <mergeCell ref="BM1:BM2"/>
    <mergeCell ref="AT1:AU1"/>
    <mergeCell ref="AV1:AW1"/>
    <mergeCell ref="AX1:AY1"/>
    <mergeCell ref="AZ1:BA1"/>
    <mergeCell ref="BB1:BC1"/>
    <mergeCell ref="BD1:BE1"/>
    <mergeCell ref="AF1:AG1"/>
    <mergeCell ref="J1:K1"/>
    <mergeCell ref="L1:M1"/>
    <mergeCell ref="N1:O1"/>
    <mergeCell ref="P1:Q1"/>
    <mergeCell ref="R1:S1"/>
    <mergeCell ref="T1:U1"/>
    <mergeCell ref="H1:I1"/>
    <mergeCell ref="A1:A2"/>
    <mergeCell ref="B1:B2"/>
    <mergeCell ref="C1:C2"/>
    <mergeCell ref="D1:E1"/>
    <mergeCell ref="F1:G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633C-05B7-4D88-8D94-C7BD716D0F7E}">
  <dimension ref="A1:BO107"/>
  <sheetViews>
    <sheetView tabSelected="1" topLeftCell="A62" workbookViewId="0">
      <selection activeCell="B78" sqref="B78"/>
    </sheetView>
  </sheetViews>
  <sheetFormatPr defaultColWidth="9.140625" defaultRowHeight="15"/>
  <cols>
    <col min="1" max="1" width="10.5703125" customWidth="1"/>
    <col min="2" max="2" width="33" customWidth="1"/>
    <col min="3" max="3" width="37.42578125" customWidth="1"/>
    <col min="4" max="21" width="9.140625" customWidth="1"/>
    <col min="22" max="22" width="9.140625" bestFit="1" customWidth="1"/>
    <col min="66" max="66" width="16.140625" customWidth="1"/>
    <col min="67" max="67" width="16.85546875" customWidth="1"/>
    <col min="68" max="68" width="21.140625" customWidth="1"/>
    <col min="69" max="69" width="17.5703125" customWidth="1"/>
  </cols>
  <sheetData>
    <row r="1" spans="1:67" ht="16.5" customHeight="1">
      <c r="A1" s="355" t="s">
        <v>589</v>
      </c>
      <c r="B1" s="355" t="s">
        <v>590</v>
      </c>
      <c r="C1" s="357" t="s">
        <v>591</v>
      </c>
      <c r="D1" s="353">
        <v>46204</v>
      </c>
      <c r="E1" s="354"/>
      <c r="F1" s="353">
        <v>46205</v>
      </c>
      <c r="G1" s="354"/>
      <c r="H1" s="353">
        <v>46206</v>
      </c>
      <c r="I1" s="354"/>
      <c r="J1" s="359">
        <v>46207</v>
      </c>
      <c r="K1" s="360"/>
      <c r="L1" s="359">
        <v>46208</v>
      </c>
      <c r="M1" s="360"/>
      <c r="N1" s="353">
        <v>46209</v>
      </c>
      <c r="O1" s="354"/>
      <c r="P1" s="353">
        <v>46210</v>
      </c>
      <c r="Q1" s="354"/>
      <c r="R1" s="353">
        <v>46211</v>
      </c>
      <c r="S1" s="354"/>
      <c r="T1" s="353">
        <v>46212</v>
      </c>
      <c r="U1" s="354"/>
      <c r="V1" s="353">
        <v>46213</v>
      </c>
      <c r="W1" s="354"/>
      <c r="X1" s="359">
        <v>46214</v>
      </c>
      <c r="Y1" s="360"/>
      <c r="Z1" s="359">
        <v>46215</v>
      </c>
      <c r="AA1" s="360"/>
      <c r="AB1" s="353">
        <v>46216</v>
      </c>
      <c r="AC1" s="354"/>
      <c r="AD1" s="353">
        <v>46217</v>
      </c>
      <c r="AE1" s="354"/>
      <c r="AF1" s="353">
        <v>46218</v>
      </c>
      <c r="AG1" s="354"/>
      <c r="AH1" s="353">
        <v>46219</v>
      </c>
      <c r="AI1" s="354"/>
      <c r="AJ1" s="353">
        <v>46220</v>
      </c>
      <c r="AK1" s="354"/>
      <c r="AL1" s="359">
        <v>46221</v>
      </c>
      <c r="AM1" s="360"/>
      <c r="AN1" s="359">
        <v>46222</v>
      </c>
      <c r="AO1" s="360"/>
      <c r="AP1" s="353">
        <v>46223</v>
      </c>
      <c r="AQ1" s="354"/>
      <c r="AR1" s="353">
        <v>46224</v>
      </c>
      <c r="AS1" s="354"/>
      <c r="AT1" s="353">
        <v>46225</v>
      </c>
      <c r="AU1" s="354"/>
      <c r="AV1" s="353">
        <v>46226</v>
      </c>
      <c r="AW1" s="354"/>
      <c r="AX1" s="353">
        <v>46227</v>
      </c>
      <c r="AY1" s="354"/>
      <c r="AZ1" s="359">
        <v>46228</v>
      </c>
      <c r="BA1" s="360"/>
      <c r="BB1" s="359">
        <v>46229</v>
      </c>
      <c r="BC1" s="360"/>
      <c r="BD1" s="353">
        <v>46230</v>
      </c>
      <c r="BE1" s="354"/>
      <c r="BF1" s="353">
        <v>46231</v>
      </c>
      <c r="BG1" s="354"/>
      <c r="BH1" s="353">
        <v>46232</v>
      </c>
      <c r="BI1" s="354"/>
      <c r="BJ1" s="353">
        <v>46233</v>
      </c>
      <c r="BK1" s="354"/>
      <c r="BL1" s="353">
        <v>46234</v>
      </c>
      <c r="BM1" s="365"/>
      <c r="BN1" s="361" t="s">
        <v>637</v>
      </c>
      <c r="BO1" s="363" t="s">
        <v>638</v>
      </c>
    </row>
    <row r="2" spans="1:67" ht="16.5" customHeight="1">
      <c r="A2" s="356"/>
      <c r="B2" s="356"/>
      <c r="C2" s="358"/>
      <c r="D2" s="182" t="s">
        <v>3</v>
      </c>
      <c r="E2" s="182" t="s">
        <v>4</v>
      </c>
      <c r="F2" s="182" t="s">
        <v>3</v>
      </c>
      <c r="G2" s="182" t="s">
        <v>4</v>
      </c>
      <c r="H2" s="182" t="s">
        <v>3</v>
      </c>
      <c r="I2" s="182" t="s">
        <v>4</v>
      </c>
      <c r="J2" s="195" t="s">
        <v>3</v>
      </c>
      <c r="K2" s="195" t="s">
        <v>4</v>
      </c>
      <c r="L2" s="195" t="s">
        <v>3</v>
      </c>
      <c r="M2" s="195" t="s">
        <v>4</v>
      </c>
      <c r="N2" s="182" t="s">
        <v>3</v>
      </c>
      <c r="O2" s="182" t="s">
        <v>4</v>
      </c>
      <c r="P2" s="182" t="s">
        <v>3</v>
      </c>
      <c r="Q2" s="182" t="s">
        <v>4</v>
      </c>
      <c r="R2" s="182" t="s">
        <v>3</v>
      </c>
      <c r="S2" s="182" t="s">
        <v>4</v>
      </c>
      <c r="T2" s="182" t="s">
        <v>3</v>
      </c>
      <c r="U2" s="182" t="s">
        <v>4</v>
      </c>
      <c r="V2" s="182" t="s">
        <v>3</v>
      </c>
      <c r="W2" s="182" t="s">
        <v>4</v>
      </c>
      <c r="X2" s="195" t="s">
        <v>3</v>
      </c>
      <c r="Y2" s="195" t="s">
        <v>4</v>
      </c>
      <c r="Z2" s="195" t="s">
        <v>3</v>
      </c>
      <c r="AA2" s="195" t="s">
        <v>4</v>
      </c>
      <c r="AB2" s="182" t="s">
        <v>3</v>
      </c>
      <c r="AC2" s="182" t="s">
        <v>4</v>
      </c>
      <c r="AD2" s="182" t="s">
        <v>3</v>
      </c>
      <c r="AE2" s="182" t="s">
        <v>4</v>
      </c>
      <c r="AF2" s="182" t="s">
        <v>3</v>
      </c>
      <c r="AG2" s="182" t="s">
        <v>4</v>
      </c>
      <c r="AH2" s="182" t="s">
        <v>3</v>
      </c>
      <c r="AI2" s="182" t="s">
        <v>4</v>
      </c>
      <c r="AJ2" s="182" t="s">
        <v>3</v>
      </c>
      <c r="AK2" s="182" t="s">
        <v>4</v>
      </c>
      <c r="AL2" s="195" t="s">
        <v>3</v>
      </c>
      <c r="AM2" s="195" t="s">
        <v>4</v>
      </c>
      <c r="AN2" s="195" t="s">
        <v>3</v>
      </c>
      <c r="AO2" s="195" t="s">
        <v>4</v>
      </c>
      <c r="AP2" s="182" t="s">
        <v>3</v>
      </c>
      <c r="AQ2" s="182" t="s">
        <v>4</v>
      </c>
      <c r="AR2" s="182" t="s">
        <v>3</v>
      </c>
      <c r="AS2" s="182" t="s">
        <v>4</v>
      </c>
      <c r="AT2" s="182" t="s">
        <v>3</v>
      </c>
      <c r="AU2" s="182" t="s">
        <v>4</v>
      </c>
      <c r="AV2" s="182" t="s">
        <v>3</v>
      </c>
      <c r="AW2" s="182" t="s">
        <v>4</v>
      </c>
      <c r="AX2" s="182" t="s">
        <v>3</v>
      </c>
      <c r="AY2" s="182" t="s">
        <v>4</v>
      </c>
      <c r="AZ2" s="195" t="s">
        <v>3</v>
      </c>
      <c r="BA2" s="195" t="s">
        <v>4</v>
      </c>
      <c r="BB2" s="195" t="s">
        <v>3</v>
      </c>
      <c r="BC2" s="195" t="s">
        <v>4</v>
      </c>
      <c r="BD2" s="182" t="s">
        <v>3</v>
      </c>
      <c r="BE2" s="182" t="s">
        <v>4</v>
      </c>
      <c r="BF2" s="182" t="s">
        <v>3</v>
      </c>
      <c r="BG2" s="182" t="s">
        <v>4</v>
      </c>
      <c r="BH2" s="182" t="s">
        <v>3</v>
      </c>
      <c r="BI2" s="183" t="s">
        <v>4</v>
      </c>
      <c r="BJ2" s="184" t="s">
        <v>3</v>
      </c>
      <c r="BK2" s="185" t="s">
        <v>4</v>
      </c>
      <c r="BL2" s="184" t="s">
        <v>3</v>
      </c>
      <c r="BM2" s="194" t="s">
        <v>4</v>
      </c>
      <c r="BN2" s="362"/>
      <c r="BO2" s="364"/>
    </row>
    <row r="3" spans="1:67" ht="16.5">
      <c r="A3" s="170" t="s">
        <v>5</v>
      </c>
      <c r="B3" s="170" t="s">
        <v>6</v>
      </c>
      <c r="C3" s="172" t="s">
        <v>7</v>
      </c>
      <c r="D3" s="203">
        <v>0.35694444444444445</v>
      </c>
      <c r="E3" s="203">
        <v>0.66805555555555551</v>
      </c>
      <c r="F3" s="201">
        <v>0.35625000000000001</v>
      </c>
      <c r="G3" s="203">
        <v>0.67152777777777772</v>
      </c>
      <c r="H3" s="201">
        <v>0.375</v>
      </c>
      <c r="I3" s="203">
        <v>0.67638888888888893</v>
      </c>
      <c r="J3" s="335" t="s">
        <v>679</v>
      </c>
      <c r="K3" s="336" t="s">
        <v>679</v>
      </c>
      <c r="L3" s="335" t="s">
        <v>679</v>
      </c>
      <c r="M3" s="336" t="s">
        <v>679</v>
      </c>
      <c r="N3" s="201">
        <v>0.3576388888888889</v>
      </c>
      <c r="O3" s="203">
        <v>0.68472222222222223</v>
      </c>
      <c r="P3" s="201">
        <v>0.34097222222222223</v>
      </c>
      <c r="Q3" s="203">
        <v>0.66666666666666663</v>
      </c>
      <c r="R3" s="201">
        <v>0.35555555555555557</v>
      </c>
      <c r="S3" s="203">
        <v>0.66319444444444442</v>
      </c>
      <c r="T3" s="201">
        <v>0.3576388888888889</v>
      </c>
      <c r="U3" s="203">
        <v>0.66805555555555551</v>
      </c>
      <c r="V3" s="201">
        <v>0.3576388888888889</v>
      </c>
      <c r="W3" s="203">
        <v>0.66666666666666663</v>
      </c>
      <c r="X3" s="337">
        <v>0.3659722222222222</v>
      </c>
      <c r="Y3" s="338">
        <v>0.50555555555555554</v>
      </c>
      <c r="Z3" s="335" t="s">
        <v>679</v>
      </c>
      <c r="AA3" s="336" t="s">
        <v>679</v>
      </c>
      <c r="AB3" s="201">
        <v>0.35486111111111113</v>
      </c>
      <c r="AC3" s="203">
        <v>0.67152777777777772</v>
      </c>
      <c r="AD3" s="201">
        <v>0.38611111111111113</v>
      </c>
      <c r="AE3" s="202"/>
      <c r="AF3" s="201">
        <v>0.36249999999999999</v>
      </c>
      <c r="AG3" s="203">
        <v>0.66805555555555551</v>
      </c>
      <c r="AH3" s="201">
        <v>0.35833333333333334</v>
      </c>
      <c r="AI3" s="203">
        <v>0.66527777777777775</v>
      </c>
      <c r="AJ3" s="201">
        <v>0.37083333333333335</v>
      </c>
      <c r="AK3" s="203">
        <v>0.66319444444444442</v>
      </c>
      <c r="AL3" s="335" t="s">
        <v>679</v>
      </c>
      <c r="AM3" s="336" t="s">
        <v>679</v>
      </c>
      <c r="AN3" s="335" t="s">
        <v>679</v>
      </c>
      <c r="AO3" s="336" t="s">
        <v>679</v>
      </c>
      <c r="AP3" s="201">
        <v>0.35208333333333336</v>
      </c>
      <c r="AQ3" s="203">
        <v>0.77013888888888893</v>
      </c>
      <c r="AR3" s="201">
        <v>0.35833333333333334</v>
      </c>
      <c r="AS3" s="203">
        <v>0.65555555555555556</v>
      </c>
      <c r="AT3" s="200" t="s">
        <v>679</v>
      </c>
      <c r="AU3" s="202"/>
      <c r="AV3" s="201">
        <v>0.36666666666666664</v>
      </c>
      <c r="AW3" s="202"/>
      <c r="AX3" s="200" t="s">
        <v>679</v>
      </c>
      <c r="AY3" s="202"/>
      <c r="AZ3" s="198"/>
      <c r="BA3" s="199"/>
      <c r="BB3" s="198"/>
      <c r="BC3" s="199"/>
      <c r="BD3" s="179"/>
      <c r="BE3" s="147"/>
      <c r="BF3" s="179"/>
      <c r="BG3" s="147"/>
      <c r="BH3" s="179"/>
      <c r="BI3" s="147"/>
      <c r="BJ3" s="179"/>
      <c r="BK3" s="147"/>
      <c r="BL3" s="179"/>
      <c r="BM3" s="147"/>
      <c r="BN3" s="198">
        <f>COUNTA(D3,F3,H3,N3,P3,R3,T3,V3,,AB3,AD3,AF3,AH3,AJ3,AP3,AR3,AT3,AV3,AX3,BD3,BF3,BH3,BJ3,BL3)</f>
        <v>19</v>
      </c>
      <c r="BO3" s="199">
        <f>COUNTA(E3,G3,I3,O3,Q3,S3,U3,W3,AC3,AE3,AG3,AI3,AK3,AQ3,AS3,AU3,AW3,AY3,BE3,BG3,BI3,BK35:BK43,BK3,BM3)</f>
        <v>14</v>
      </c>
    </row>
    <row r="4" spans="1:67" ht="16.5">
      <c r="A4" s="170" t="s">
        <v>5</v>
      </c>
      <c r="B4" s="170" t="s">
        <v>6</v>
      </c>
      <c r="C4" s="172" t="s">
        <v>8</v>
      </c>
      <c r="D4" s="205" t="s">
        <v>679</v>
      </c>
      <c r="E4" s="205" t="s">
        <v>679</v>
      </c>
      <c r="F4" s="204" t="s">
        <v>679</v>
      </c>
      <c r="G4" s="205" t="s">
        <v>679</v>
      </c>
      <c r="H4" s="204" t="s">
        <v>679</v>
      </c>
      <c r="I4" s="205" t="s">
        <v>679</v>
      </c>
      <c r="J4" s="339" t="s">
        <v>679</v>
      </c>
      <c r="K4" s="340" t="s">
        <v>679</v>
      </c>
      <c r="L4" s="339" t="s">
        <v>679</v>
      </c>
      <c r="M4" s="340" t="s">
        <v>679</v>
      </c>
      <c r="N4" s="204" t="s">
        <v>679</v>
      </c>
      <c r="O4" s="205" t="s">
        <v>679</v>
      </c>
      <c r="P4" s="204" t="s">
        <v>679</v>
      </c>
      <c r="Q4" s="205" t="s">
        <v>679</v>
      </c>
      <c r="R4" s="204" t="s">
        <v>679</v>
      </c>
      <c r="S4" s="205" t="s">
        <v>679</v>
      </c>
      <c r="T4" s="204" t="s">
        <v>679</v>
      </c>
      <c r="U4" s="205" t="s">
        <v>679</v>
      </c>
      <c r="V4" s="204" t="s">
        <v>679</v>
      </c>
      <c r="W4" s="205" t="s">
        <v>679</v>
      </c>
      <c r="X4" s="339" t="s">
        <v>679</v>
      </c>
      <c r="Y4" s="340" t="s">
        <v>679</v>
      </c>
      <c r="Z4" s="339" t="s">
        <v>679</v>
      </c>
      <c r="AA4" s="340" t="s">
        <v>679</v>
      </c>
      <c r="AB4" s="204" t="s">
        <v>679</v>
      </c>
      <c r="AC4" s="205" t="s">
        <v>679</v>
      </c>
      <c r="AD4" s="204" t="s">
        <v>679</v>
      </c>
      <c r="AE4" s="205" t="s">
        <v>679</v>
      </c>
      <c r="AF4" s="204" t="s">
        <v>679</v>
      </c>
      <c r="AG4" s="205" t="s">
        <v>679</v>
      </c>
      <c r="AH4" s="204" t="s">
        <v>679</v>
      </c>
      <c r="AI4" s="205" t="s">
        <v>679</v>
      </c>
      <c r="AJ4" s="204" t="s">
        <v>679</v>
      </c>
      <c r="AK4" s="205" t="s">
        <v>679</v>
      </c>
      <c r="AL4" s="339" t="s">
        <v>679</v>
      </c>
      <c r="AM4" s="340" t="s">
        <v>679</v>
      </c>
      <c r="AN4" s="339" t="s">
        <v>679</v>
      </c>
      <c r="AO4" s="340" t="s">
        <v>679</v>
      </c>
      <c r="AP4" s="204" t="s">
        <v>679</v>
      </c>
      <c r="AQ4" s="205" t="s">
        <v>679</v>
      </c>
      <c r="AR4" s="204" t="s">
        <v>679</v>
      </c>
      <c r="AS4" s="205" t="s">
        <v>679</v>
      </c>
      <c r="AT4" s="204" t="s">
        <v>679</v>
      </c>
      <c r="AU4" s="205" t="s">
        <v>679</v>
      </c>
      <c r="AV4" s="204" t="s">
        <v>679</v>
      </c>
      <c r="AW4" s="205" t="s">
        <v>679</v>
      </c>
      <c r="AX4" s="204" t="s">
        <v>679</v>
      </c>
      <c r="AY4" s="205" t="s">
        <v>679</v>
      </c>
      <c r="AZ4" s="196"/>
      <c r="BA4" s="197"/>
      <c r="BB4" s="196"/>
      <c r="BC4" s="197"/>
      <c r="BD4" s="181"/>
      <c r="BE4" s="180"/>
      <c r="BF4" s="181"/>
      <c r="BG4" s="180"/>
      <c r="BH4" s="181"/>
      <c r="BI4" s="180"/>
      <c r="BJ4" s="181"/>
      <c r="BK4" s="180"/>
      <c r="BL4" s="181"/>
      <c r="BM4" s="180"/>
      <c r="BN4" s="198">
        <f t="shared" ref="BN4:BN67" si="0">COUNTA(D4,F4,H4,N4,P4,R4,T4,V4,,AB4,AD4,AF4,AH4,AJ4,AP4,AR4,AT4,AV4,AX4,BD4,BF4,BH4,BJ4,BL4)</f>
        <v>19</v>
      </c>
      <c r="BO4" s="199">
        <f t="shared" ref="BO4:BO67" si="1">COUNTA(E4,G4,I4,O4,Q4,S4,U4,W4,AC4,AE4,AG4,AI4,AK4,AQ4,AS4,AU4,AW4,AY4,BE4,BG4,BI4,BK36:BK44,BK4,BM4)</f>
        <v>18</v>
      </c>
    </row>
    <row r="5" spans="1:67" ht="16.5">
      <c r="A5" s="171" t="s">
        <v>5</v>
      </c>
      <c r="B5" s="171" t="s">
        <v>41</v>
      </c>
      <c r="C5" s="174" t="s">
        <v>42</v>
      </c>
      <c r="D5" s="207">
        <v>0.37152777777777779</v>
      </c>
      <c r="E5" s="207">
        <v>0.66249999999999998</v>
      </c>
      <c r="F5" s="206">
        <v>0.37708333333333333</v>
      </c>
      <c r="G5" s="207">
        <v>0.63958333333333328</v>
      </c>
      <c r="H5" s="206">
        <v>0.35972222222222222</v>
      </c>
      <c r="I5" s="207">
        <v>0.6333333333333333</v>
      </c>
      <c r="J5" s="339" t="s">
        <v>679</v>
      </c>
      <c r="K5" s="340" t="s">
        <v>679</v>
      </c>
      <c r="L5" s="339" t="s">
        <v>679</v>
      </c>
      <c r="M5" s="340" t="s">
        <v>679</v>
      </c>
      <c r="N5" s="206">
        <v>0.35347222222222224</v>
      </c>
      <c r="O5" s="207">
        <v>0.6333333333333333</v>
      </c>
      <c r="P5" s="206">
        <v>0.35833333333333334</v>
      </c>
      <c r="Q5" s="207">
        <v>0.62430555555555556</v>
      </c>
      <c r="R5" s="206">
        <v>0.36527777777777776</v>
      </c>
      <c r="S5" s="207">
        <v>0.63749999999999996</v>
      </c>
      <c r="T5" s="206">
        <v>0.39027777777777778</v>
      </c>
      <c r="U5" s="207">
        <v>0.63263888888888886</v>
      </c>
      <c r="V5" s="206">
        <v>0.35694444444444445</v>
      </c>
      <c r="W5" s="207">
        <v>0.62847222222222221</v>
      </c>
      <c r="X5" s="339" t="s">
        <v>679</v>
      </c>
      <c r="Y5" s="340" t="s">
        <v>679</v>
      </c>
      <c r="Z5" s="339" t="s">
        <v>679</v>
      </c>
      <c r="AA5" s="340" t="s">
        <v>679</v>
      </c>
      <c r="AB5" s="206">
        <v>0.41180555555555554</v>
      </c>
      <c r="AC5" s="207">
        <v>0.63402777777777775</v>
      </c>
      <c r="AD5" s="206">
        <v>0.37569444444444444</v>
      </c>
      <c r="AE5" s="207">
        <v>0.63402777777777775</v>
      </c>
      <c r="AF5" s="206">
        <v>0.34236111111111112</v>
      </c>
      <c r="AG5" s="207">
        <v>0.6645833333333333</v>
      </c>
      <c r="AH5" s="206">
        <v>0.38541666666666669</v>
      </c>
      <c r="AI5" s="207">
        <v>0.69722222222222219</v>
      </c>
      <c r="AJ5" s="206">
        <v>0.38333333333333336</v>
      </c>
      <c r="AK5" s="205" t="s">
        <v>679</v>
      </c>
      <c r="AL5" s="339" t="s">
        <v>679</v>
      </c>
      <c r="AM5" s="340" t="s">
        <v>679</v>
      </c>
      <c r="AN5" s="339" t="s">
        <v>679</v>
      </c>
      <c r="AO5" s="340" t="s">
        <v>679</v>
      </c>
      <c r="AP5" s="204" t="s">
        <v>679</v>
      </c>
      <c r="AQ5" s="205" t="s">
        <v>679</v>
      </c>
      <c r="AR5" s="206">
        <v>0.36666666666666664</v>
      </c>
      <c r="AS5" s="207">
        <v>0.65763888888888888</v>
      </c>
      <c r="AT5" s="206">
        <v>0.36249999999999999</v>
      </c>
      <c r="AU5" s="207">
        <v>0.63680555555555551</v>
      </c>
      <c r="AV5" s="206">
        <v>0.35694444444444445</v>
      </c>
      <c r="AW5" s="205" t="s">
        <v>679</v>
      </c>
      <c r="AX5" s="204" t="s">
        <v>679</v>
      </c>
      <c r="AY5" s="205" t="s">
        <v>679</v>
      </c>
      <c r="AZ5" s="196"/>
      <c r="BA5" s="197"/>
      <c r="BB5" s="196"/>
      <c r="BC5" s="197"/>
      <c r="BD5" s="181"/>
      <c r="BE5" s="180"/>
      <c r="BF5" s="181"/>
      <c r="BG5" s="180"/>
      <c r="BH5" s="181"/>
      <c r="BI5" s="180"/>
      <c r="BJ5" s="181"/>
      <c r="BK5" s="180"/>
      <c r="BL5" s="181"/>
      <c r="BM5" s="180"/>
      <c r="BN5" s="198">
        <f t="shared" si="0"/>
        <v>19</v>
      </c>
      <c r="BO5" s="199">
        <f t="shared" si="1"/>
        <v>18</v>
      </c>
    </row>
    <row r="6" spans="1:67" ht="16.5">
      <c r="A6" s="168" t="s">
        <v>5</v>
      </c>
      <c r="B6" s="168" t="s">
        <v>9</v>
      </c>
      <c r="C6" s="173" t="s">
        <v>10</v>
      </c>
      <c r="D6" s="203">
        <v>0.33680555555555558</v>
      </c>
      <c r="E6" s="203">
        <v>0.63402777777777775</v>
      </c>
      <c r="F6" s="201">
        <v>0.36319444444444443</v>
      </c>
      <c r="G6" s="203">
        <v>0.65277777777777779</v>
      </c>
      <c r="H6" s="201">
        <v>0.35138888888888886</v>
      </c>
      <c r="I6" s="203">
        <v>0.67013888888888884</v>
      </c>
      <c r="J6" s="335" t="s">
        <v>679</v>
      </c>
      <c r="K6" s="336" t="s">
        <v>679</v>
      </c>
      <c r="L6" s="335" t="s">
        <v>679</v>
      </c>
      <c r="M6" s="336" t="s">
        <v>679</v>
      </c>
      <c r="N6" s="201">
        <v>0.35902777777777778</v>
      </c>
      <c r="O6" s="203">
        <v>0.63402777777777775</v>
      </c>
      <c r="P6" s="201">
        <v>0.3576388888888889</v>
      </c>
      <c r="Q6" s="203">
        <v>0.64513888888888893</v>
      </c>
      <c r="R6" s="201">
        <v>0.35347222222222224</v>
      </c>
      <c r="S6" s="203">
        <v>0.66388888888888886</v>
      </c>
      <c r="T6" s="201">
        <v>0.37986111111111109</v>
      </c>
      <c r="U6" s="203">
        <v>0.64930555555555558</v>
      </c>
      <c r="V6" s="200" t="s">
        <v>679</v>
      </c>
      <c r="W6" s="202"/>
      <c r="X6" s="335" t="s">
        <v>679</v>
      </c>
      <c r="Y6" s="336" t="s">
        <v>679</v>
      </c>
      <c r="Z6" s="335" t="s">
        <v>679</v>
      </c>
      <c r="AA6" s="336" t="s">
        <v>679</v>
      </c>
      <c r="AB6" s="201">
        <v>0.34722222222222221</v>
      </c>
      <c r="AC6" s="203">
        <v>0.64166666666666672</v>
      </c>
      <c r="AD6" s="201">
        <v>0.33541666666666664</v>
      </c>
      <c r="AE6" s="203">
        <v>0.64097222222222228</v>
      </c>
      <c r="AF6" s="201">
        <v>0.34861111111111109</v>
      </c>
      <c r="AG6" s="203">
        <v>0.67152777777777772</v>
      </c>
      <c r="AH6" s="201">
        <v>0.34722222222222221</v>
      </c>
      <c r="AI6" s="203">
        <v>0.64027777777777772</v>
      </c>
      <c r="AJ6" s="201">
        <v>0.35069444444444442</v>
      </c>
      <c r="AK6" s="203">
        <v>0.64097222222222228</v>
      </c>
      <c r="AL6" s="335" t="s">
        <v>679</v>
      </c>
      <c r="AM6" s="336" t="s">
        <v>679</v>
      </c>
      <c r="AN6" s="335" t="s">
        <v>679</v>
      </c>
      <c r="AO6" s="336" t="s">
        <v>679</v>
      </c>
      <c r="AP6" s="201">
        <v>0.34305555555555556</v>
      </c>
      <c r="AQ6" s="203">
        <v>0.63541666666666663</v>
      </c>
      <c r="AR6" s="201">
        <v>0.34861111111111109</v>
      </c>
      <c r="AS6" s="203">
        <v>0.63055555555555554</v>
      </c>
      <c r="AT6" s="201">
        <v>0.35208333333333336</v>
      </c>
      <c r="AU6" s="203">
        <v>0.69027777777777777</v>
      </c>
      <c r="AV6" s="201">
        <v>0.34444444444444444</v>
      </c>
      <c r="AW6" s="202"/>
      <c r="AX6" s="200" t="s">
        <v>679</v>
      </c>
      <c r="AY6" s="202"/>
      <c r="AZ6" s="198"/>
      <c r="BA6" s="199"/>
      <c r="BB6" s="198"/>
      <c r="BC6" s="199"/>
      <c r="BD6" s="179"/>
      <c r="BE6" s="147"/>
      <c r="BF6" s="179"/>
      <c r="BG6" s="147"/>
      <c r="BH6" s="179"/>
      <c r="BI6" s="147"/>
      <c r="BJ6" s="179"/>
      <c r="BK6" s="147"/>
      <c r="BL6" s="179"/>
      <c r="BM6" s="147"/>
      <c r="BN6" s="198">
        <f t="shared" si="0"/>
        <v>19</v>
      </c>
      <c r="BO6" s="199">
        <f t="shared" si="1"/>
        <v>15</v>
      </c>
    </row>
    <row r="7" spans="1:67" ht="16.5">
      <c r="A7" s="170" t="s">
        <v>5</v>
      </c>
      <c r="B7" s="170" t="s">
        <v>9</v>
      </c>
      <c r="C7" s="172" t="s">
        <v>11</v>
      </c>
      <c r="D7" s="202"/>
      <c r="E7" s="202"/>
      <c r="F7" s="200" t="s">
        <v>679</v>
      </c>
      <c r="G7" s="202"/>
      <c r="H7" s="200" t="s">
        <v>679</v>
      </c>
      <c r="I7" s="202"/>
      <c r="J7" s="335" t="s">
        <v>679</v>
      </c>
      <c r="K7" s="336" t="s">
        <v>679</v>
      </c>
      <c r="L7" s="335" t="s">
        <v>679</v>
      </c>
      <c r="M7" s="336" t="s">
        <v>679</v>
      </c>
      <c r="N7" s="200" t="s">
        <v>679</v>
      </c>
      <c r="O7" s="202"/>
      <c r="P7" s="200" t="s">
        <v>679</v>
      </c>
      <c r="Q7" s="202"/>
      <c r="R7" s="200" t="s">
        <v>679</v>
      </c>
      <c r="S7" s="202"/>
      <c r="T7" s="200" t="s">
        <v>679</v>
      </c>
      <c r="U7" s="202"/>
      <c r="V7" s="200" t="s">
        <v>679</v>
      </c>
      <c r="W7" s="202"/>
      <c r="X7" s="335" t="s">
        <v>679</v>
      </c>
      <c r="Y7" s="336" t="s">
        <v>679</v>
      </c>
      <c r="Z7" s="335" t="s">
        <v>679</v>
      </c>
      <c r="AA7" s="336" t="s">
        <v>679</v>
      </c>
      <c r="AB7" s="200" t="s">
        <v>679</v>
      </c>
      <c r="AC7" s="202"/>
      <c r="AD7" s="200" t="s">
        <v>679</v>
      </c>
      <c r="AE7" s="202"/>
      <c r="AF7" s="200" t="s">
        <v>679</v>
      </c>
      <c r="AG7" s="202"/>
      <c r="AH7" s="200" t="s">
        <v>679</v>
      </c>
      <c r="AI7" s="202"/>
      <c r="AJ7" s="200" t="s">
        <v>679</v>
      </c>
      <c r="AK7" s="202"/>
      <c r="AL7" s="335" t="s">
        <v>679</v>
      </c>
      <c r="AM7" s="336" t="s">
        <v>679</v>
      </c>
      <c r="AN7" s="335" t="s">
        <v>679</v>
      </c>
      <c r="AO7" s="336" t="s">
        <v>679</v>
      </c>
      <c r="AP7" s="200" t="s">
        <v>679</v>
      </c>
      <c r="AQ7" s="202"/>
      <c r="AR7" s="200" t="s">
        <v>679</v>
      </c>
      <c r="AS7" s="202"/>
      <c r="AT7" s="200" t="s">
        <v>679</v>
      </c>
      <c r="AU7" s="202"/>
      <c r="AV7" s="200" t="s">
        <v>679</v>
      </c>
      <c r="AW7" s="202"/>
      <c r="AX7" s="200" t="s">
        <v>679</v>
      </c>
      <c r="AY7" s="202"/>
      <c r="AZ7" s="198"/>
      <c r="BA7" s="199"/>
      <c r="BB7" s="198"/>
      <c r="BC7" s="199"/>
      <c r="BD7" s="179"/>
      <c r="BE7" s="147"/>
      <c r="BF7" s="179"/>
      <c r="BG7" s="147"/>
      <c r="BH7" s="179"/>
      <c r="BI7" s="147"/>
      <c r="BJ7" s="179"/>
      <c r="BK7" s="147"/>
      <c r="BL7" s="179"/>
      <c r="BM7" s="147"/>
      <c r="BN7" s="198">
        <f t="shared" si="0"/>
        <v>18</v>
      </c>
      <c r="BO7" s="199">
        <f t="shared" si="1"/>
        <v>0</v>
      </c>
    </row>
    <row r="8" spans="1:67" ht="16.5">
      <c r="A8" s="170" t="s">
        <v>5</v>
      </c>
      <c r="B8" s="170" t="s">
        <v>9</v>
      </c>
      <c r="C8" s="172" t="s">
        <v>12</v>
      </c>
      <c r="D8" s="202"/>
      <c r="E8" s="202"/>
      <c r="F8" s="200" t="s">
        <v>679</v>
      </c>
      <c r="G8" s="202"/>
      <c r="H8" s="200" t="s">
        <v>679</v>
      </c>
      <c r="I8" s="202"/>
      <c r="J8" s="335" t="s">
        <v>679</v>
      </c>
      <c r="K8" s="336" t="s">
        <v>679</v>
      </c>
      <c r="L8" s="335" t="s">
        <v>679</v>
      </c>
      <c r="M8" s="336" t="s">
        <v>679</v>
      </c>
      <c r="N8" s="200" t="s">
        <v>679</v>
      </c>
      <c r="O8" s="202"/>
      <c r="P8" s="200" t="s">
        <v>679</v>
      </c>
      <c r="Q8" s="202"/>
      <c r="R8" s="200" t="s">
        <v>679</v>
      </c>
      <c r="S8" s="202"/>
      <c r="T8" s="200" t="s">
        <v>679</v>
      </c>
      <c r="U8" s="341" t="s">
        <v>679</v>
      </c>
      <c r="V8" s="203">
        <v>0.34722222222222221</v>
      </c>
      <c r="W8" s="203">
        <v>0.65138888888888891</v>
      </c>
      <c r="X8" s="335" t="s">
        <v>679</v>
      </c>
      <c r="Y8" s="336" t="s">
        <v>679</v>
      </c>
      <c r="Z8" s="335" t="s">
        <v>679</v>
      </c>
      <c r="AA8" s="336" t="s">
        <v>679</v>
      </c>
      <c r="AB8" s="200" t="s">
        <v>679</v>
      </c>
      <c r="AC8" s="202"/>
      <c r="AD8" s="200" t="s">
        <v>679</v>
      </c>
      <c r="AE8" s="202"/>
      <c r="AF8" s="200" t="s">
        <v>679</v>
      </c>
      <c r="AG8" s="202"/>
      <c r="AH8" s="200" t="s">
        <v>679</v>
      </c>
      <c r="AI8" s="202"/>
      <c r="AJ8" s="200" t="s">
        <v>679</v>
      </c>
      <c r="AK8" s="202"/>
      <c r="AL8" s="335" t="s">
        <v>679</v>
      </c>
      <c r="AM8" s="336" t="s">
        <v>679</v>
      </c>
      <c r="AN8" s="335" t="s">
        <v>679</v>
      </c>
      <c r="AO8" s="336" t="s">
        <v>679</v>
      </c>
      <c r="AP8" s="200" t="s">
        <v>679</v>
      </c>
      <c r="AQ8" s="202"/>
      <c r="AR8" s="200" t="s">
        <v>679</v>
      </c>
      <c r="AS8" s="202"/>
      <c r="AT8" s="200" t="s">
        <v>679</v>
      </c>
      <c r="AU8" s="202"/>
      <c r="AV8" s="200" t="s">
        <v>679</v>
      </c>
      <c r="AW8" s="202"/>
      <c r="AX8" s="200" t="s">
        <v>679</v>
      </c>
      <c r="AY8" s="202"/>
      <c r="AZ8" s="198"/>
      <c r="BA8" s="199"/>
      <c r="BB8" s="198"/>
      <c r="BC8" s="199"/>
      <c r="BD8" s="179"/>
      <c r="BE8" s="147"/>
      <c r="BF8" s="179"/>
      <c r="BG8" s="147"/>
      <c r="BH8" s="179"/>
      <c r="BI8" s="147"/>
      <c r="BJ8" s="179"/>
      <c r="BK8" s="147"/>
      <c r="BL8" s="179"/>
      <c r="BM8" s="147"/>
      <c r="BN8" s="198">
        <f t="shared" si="0"/>
        <v>18</v>
      </c>
      <c r="BO8" s="199">
        <f t="shared" si="1"/>
        <v>2</v>
      </c>
    </row>
    <row r="9" spans="1:67" ht="16.5">
      <c r="A9" s="170" t="s">
        <v>5</v>
      </c>
      <c r="B9" s="170" t="s">
        <v>9</v>
      </c>
      <c r="C9" s="172" t="s">
        <v>13</v>
      </c>
      <c r="D9" s="202"/>
      <c r="E9" s="202"/>
      <c r="F9" s="200" t="s">
        <v>679</v>
      </c>
      <c r="G9" s="202"/>
      <c r="H9" s="200" t="s">
        <v>679</v>
      </c>
      <c r="I9" s="202"/>
      <c r="J9" s="335" t="s">
        <v>679</v>
      </c>
      <c r="K9" s="336" t="s">
        <v>679</v>
      </c>
      <c r="L9" s="335" t="s">
        <v>679</v>
      </c>
      <c r="M9" s="336" t="s">
        <v>679</v>
      </c>
      <c r="N9" s="200" t="s">
        <v>679</v>
      </c>
      <c r="O9" s="202"/>
      <c r="P9" s="200" t="s">
        <v>679</v>
      </c>
      <c r="Q9" s="202"/>
      <c r="R9" s="200" t="s">
        <v>679</v>
      </c>
      <c r="S9" s="202"/>
      <c r="T9" s="200" t="s">
        <v>679</v>
      </c>
      <c r="U9" s="202"/>
      <c r="V9" s="200" t="s">
        <v>679</v>
      </c>
      <c r="W9" s="202"/>
      <c r="X9" s="335" t="s">
        <v>679</v>
      </c>
      <c r="Y9" s="336" t="s">
        <v>679</v>
      </c>
      <c r="Z9" s="335" t="s">
        <v>679</v>
      </c>
      <c r="AA9" s="336" t="s">
        <v>679</v>
      </c>
      <c r="AB9" s="200" t="s">
        <v>679</v>
      </c>
      <c r="AC9" s="202"/>
      <c r="AD9" s="200" t="s">
        <v>679</v>
      </c>
      <c r="AE9" s="202"/>
      <c r="AF9" s="200" t="s">
        <v>679</v>
      </c>
      <c r="AG9" s="202"/>
      <c r="AH9" s="200" t="s">
        <v>679</v>
      </c>
      <c r="AI9" s="202"/>
      <c r="AJ9" s="200" t="s">
        <v>679</v>
      </c>
      <c r="AK9" s="202"/>
      <c r="AL9" s="335" t="s">
        <v>679</v>
      </c>
      <c r="AM9" s="336" t="s">
        <v>679</v>
      </c>
      <c r="AN9" s="335" t="s">
        <v>679</v>
      </c>
      <c r="AO9" s="336" t="s">
        <v>679</v>
      </c>
      <c r="AP9" s="200" t="s">
        <v>679</v>
      </c>
      <c r="AQ9" s="202"/>
      <c r="AR9" s="200" t="s">
        <v>679</v>
      </c>
      <c r="AS9" s="202"/>
      <c r="AT9" s="200" t="s">
        <v>679</v>
      </c>
      <c r="AU9" s="202"/>
      <c r="AV9" s="200" t="s">
        <v>679</v>
      </c>
      <c r="AW9" s="202"/>
      <c r="AX9" s="200" t="s">
        <v>679</v>
      </c>
      <c r="AY9" s="202"/>
      <c r="AZ9" s="198"/>
      <c r="BA9" s="199"/>
      <c r="BB9" s="198"/>
      <c r="BC9" s="199"/>
      <c r="BD9" s="179"/>
      <c r="BE9" s="147"/>
      <c r="BF9" s="179"/>
      <c r="BG9" s="147"/>
      <c r="BH9" s="179"/>
      <c r="BI9" s="147"/>
      <c r="BJ9" s="179"/>
      <c r="BK9" s="147"/>
      <c r="BL9" s="179"/>
      <c r="BM9" s="147"/>
      <c r="BN9" s="198">
        <f t="shared" si="0"/>
        <v>18</v>
      </c>
      <c r="BO9" s="199">
        <f t="shared" si="1"/>
        <v>0</v>
      </c>
    </row>
    <row r="10" spans="1:67" ht="16.5">
      <c r="A10" s="170" t="s">
        <v>5</v>
      </c>
      <c r="B10" s="170" t="s">
        <v>9</v>
      </c>
      <c r="C10" s="172" t="s">
        <v>14</v>
      </c>
      <c r="D10" s="205" t="s">
        <v>679</v>
      </c>
      <c r="E10" s="205" t="s">
        <v>679</v>
      </c>
      <c r="F10" s="204" t="s">
        <v>679</v>
      </c>
      <c r="G10" s="205" t="s">
        <v>679</v>
      </c>
      <c r="H10" s="204" t="s">
        <v>679</v>
      </c>
      <c r="I10" s="205" t="s">
        <v>679</v>
      </c>
      <c r="J10" s="339" t="s">
        <v>679</v>
      </c>
      <c r="K10" s="340" t="s">
        <v>679</v>
      </c>
      <c r="L10" s="339" t="s">
        <v>679</v>
      </c>
      <c r="M10" s="340" t="s">
        <v>679</v>
      </c>
      <c r="N10" s="204" t="s">
        <v>679</v>
      </c>
      <c r="O10" s="205" t="s">
        <v>679</v>
      </c>
      <c r="P10" s="204" t="s">
        <v>679</v>
      </c>
      <c r="Q10" s="205" t="s">
        <v>679</v>
      </c>
      <c r="R10" s="204" t="s">
        <v>679</v>
      </c>
      <c r="S10" s="205" t="s">
        <v>679</v>
      </c>
      <c r="T10" s="204" t="s">
        <v>679</v>
      </c>
      <c r="U10" s="205" t="s">
        <v>679</v>
      </c>
      <c r="V10" s="204" t="s">
        <v>679</v>
      </c>
      <c r="W10" s="205" t="s">
        <v>679</v>
      </c>
      <c r="X10" s="339" t="s">
        <v>679</v>
      </c>
      <c r="Y10" s="340" t="s">
        <v>679</v>
      </c>
      <c r="Z10" s="339" t="s">
        <v>679</v>
      </c>
      <c r="AA10" s="340" t="s">
        <v>679</v>
      </c>
      <c r="AB10" s="204" t="s">
        <v>679</v>
      </c>
      <c r="AC10" s="205" t="s">
        <v>679</v>
      </c>
      <c r="AD10" s="204" t="s">
        <v>679</v>
      </c>
      <c r="AE10" s="205" t="s">
        <v>679</v>
      </c>
      <c r="AF10" s="204" t="s">
        <v>679</v>
      </c>
      <c r="AG10" s="205" t="s">
        <v>679</v>
      </c>
      <c r="AH10" s="204" t="s">
        <v>679</v>
      </c>
      <c r="AI10" s="205" t="s">
        <v>679</v>
      </c>
      <c r="AJ10" s="204" t="s">
        <v>679</v>
      </c>
      <c r="AK10" s="205" t="s">
        <v>679</v>
      </c>
      <c r="AL10" s="339" t="s">
        <v>679</v>
      </c>
      <c r="AM10" s="340" t="s">
        <v>679</v>
      </c>
      <c r="AN10" s="339" t="s">
        <v>679</v>
      </c>
      <c r="AO10" s="340" t="s">
        <v>679</v>
      </c>
      <c r="AP10" s="204" t="s">
        <v>679</v>
      </c>
      <c r="AQ10" s="205" t="s">
        <v>679</v>
      </c>
      <c r="AR10" s="204" t="s">
        <v>679</v>
      </c>
      <c r="AS10" s="205" t="s">
        <v>679</v>
      </c>
      <c r="AT10" s="204" t="s">
        <v>679</v>
      </c>
      <c r="AU10" s="205" t="s">
        <v>679</v>
      </c>
      <c r="AV10" s="204" t="s">
        <v>679</v>
      </c>
      <c r="AW10" s="205" t="s">
        <v>679</v>
      </c>
      <c r="AX10" s="204" t="s">
        <v>679</v>
      </c>
      <c r="AY10" s="205" t="s">
        <v>679</v>
      </c>
      <c r="AZ10" s="196"/>
      <c r="BA10" s="197"/>
      <c r="BB10" s="196"/>
      <c r="BC10" s="197"/>
      <c r="BD10" s="181"/>
      <c r="BE10" s="180"/>
      <c r="BF10" s="181"/>
      <c r="BG10" s="180"/>
      <c r="BH10" s="181"/>
      <c r="BI10" s="180"/>
      <c r="BJ10" s="181"/>
      <c r="BK10" s="180"/>
      <c r="BL10" s="181"/>
      <c r="BM10" s="180"/>
      <c r="BN10" s="198">
        <f t="shared" si="0"/>
        <v>19</v>
      </c>
      <c r="BO10" s="199">
        <f t="shared" si="1"/>
        <v>18</v>
      </c>
    </row>
    <row r="11" spans="1:67" ht="16.5">
      <c r="A11" s="168" t="s">
        <v>5</v>
      </c>
      <c r="B11" s="168" t="s">
        <v>15</v>
      </c>
      <c r="C11" s="173" t="s">
        <v>16</v>
      </c>
      <c r="D11" s="203">
        <v>0.36458333333333331</v>
      </c>
      <c r="E11" s="203">
        <v>0.66249999999999998</v>
      </c>
      <c r="F11" s="201">
        <v>0.36527777777777776</v>
      </c>
      <c r="G11" s="203">
        <v>0.63541666666666663</v>
      </c>
      <c r="H11" s="201">
        <v>0.37152777777777779</v>
      </c>
      <c r="I11" s="203">
        <v>0.63541666666666663</v>
      </c>
      <c r="J11" s="335" t="s">
        <v>679</v>
      </c>
      <c r="K11" s="336" t="s">
        <v>679</v>
      </c>
      <c r="L11" s="335" t="s">
        <v>679</v>
      </c>
      <c r="M11" s="336" t="s">
        <v>679</v>
      </c>
      <c r="N11" s="201">
        <v>0.3611111111111111</v>
      </c>
      <c r="O11" s="203">
        <v>0.67569444444444449</v>
      </c>
      <c r="P11" s="201">
        <v>0.36805555555555558</v>
      </c>
      <c r="Q11" s="203">
        <v>0.67708333333333337</v>
      </c>
      <c r="R11" s="201">
        <v>0.3659722222222222</v>
      </c>
      <c r="S11" s="203">
        <v>0.66736111111111107</v>
      </c>
      <c r="T11" s="201">
        <v>0.36319444444444443</v>
      </c>
      <c r="U11" s="203">
        <v>0.68541666666666667</v>
      </c>
      <c r="V11" s="201">
        <v>0.35555555555555557</v>
      </c>
      <c r="W11" s="203">
        <v>0.64652777777777781</v>
      </c>
      <c r="X11" s="335" t="s">
        <v>679</v>
      </c>
      <c r="Y11" s="336" t="s">
        <v>679</v>
      </c>
      <c r="Z11" s="335" t="s">
        <v>679</v>
      </c>
      <c r="AA11" s="336" t="s">
        <v>679</v>
      </c>
      <c r="AB11" s="201">
        <v>0.36458333333333331</v>
      </c>
      <c r="AC11" s="203">
        <v>0.67083333333333328</v>
      </c>
      <c r="AD11" s="201">
        <v>0.35902777777777778</v>
      </c>
      <c r="AE11" s="203">
        <v>0.6875</v>
      </c>
      <c r="AF11" s="201">
        <v>0.3576388888888889</v>
      </c>
      <c r="AG11" s="203">
        <v>0.64375000000000004</v>
      </c>
      <c r="AH11" s="201">
        <v>0.35416666666666669</v>
      </c>
      <c r="AI11" s="203">
        <v>0.66041666666666665</v>
      </c>
      <c r="AJ11" s="201">
        <v>0.35486111111111113</v>
      </c>
      <c r="AK11" s="203">
        <v>0.65902777777777777</v>
      </c>
      <c r="AL11" s="335" t="s">
        <v>679</v>
      </c>
      <c r="AM11" s="336" t="s">
        <v>679</v>
      </c>
      <c r="AN11" s="335" t="s">
        <v>679</v>
      </c>
      <c r="AO11" s="336" t="s">
        <v>679</v>
      </c>
      <c r="AP11" s="201">
        <v>0.34166666666666667</v>
      </c>
      <c r="AQ11" s="203">
        <v>0.64861111111111114</v>
      </c>
      <c r="AR11" s="201">
        <v>0.35138888888888886</v>
      </c>
      <c r="AS11" s="203">
        <v>0.65138888888888891</v>
      </c>
      <c r="AT11" s="201">
        <v>0.35486111111111113</v>
      </c>
      <c r="AU11" s="203">
        <v>0.67361111111111116</v>
      </c>
      <c r="AV11" s="201">
        <v>0.35416666666666669</v>
      </c>
      <c r="AW11" s="202"/>
      <c r="AX11" s="200" t="s">
        <v>679</v>
      </c>
      <c r="AY11" s="202"/>
      <c r="AZ11" s="198"/>
      <c r="BA11" s="199"/>
      <c r="BB11" s="198"/>
      <c r="BC11" s="199"/>
      <c r="BD11" s="179"/>
      <c r="BE11" s="147"/>
      <c r="BF11" s="179"/>
      <c r="BG11" s="147"/>
      <c r="BH11" s="179"/>
      <c r="BI11" s="147"/>
      <c r="BJ11" s="179"/>
      <c r="BK11" s="147"/>
      <c r="BL11" s="179"/>
      <c r="BM11" s="147"/>
      <c r="BN11" s="198">
        <f t="shared" si="0"/>
        <v>19</v>
      </c>
      <c r="BO11" s="199">
        <f t="shared" si="1"/>
        <v>16</v>
      </c>
    </row>
    <row r="12" spans="1:67" ht="16.5">
      <c r="A12" s="170" t="s">
        <v>5</v>
      </c>
      <c r="B12" s="170" t="s">
        <v>15</v>
      </c>
      <c r="C12" s="172" t="s">
        <v>17</v>
      </c>
      <c r="D12" s="202"/>
      <c r="E12" s="202"/>
      <c r="F12" s="200" t="s">
        <v>679</v>
      </c>
      <c r="G12" s="202"/>
      <c r="H12" s="200" t="s">
        <v>679</v>
      </c>
      <c r="I12" s="202"/>
      <c r="J12" s="335" t="s">
        <v>679</v>
      </c>
      <c r="K12" s="336" t="s">
        <v>679</v>
      </c>
      <c r="L12" s="335" t="s">
        <v>679</v>
      </c>
      <c r="M12" s="336" t="s">
        <v>679</v>
      </c>
      <c r="N12" s="200" t="s">
        <v>679</v>
      </c>
      <c r="O12" s="202"/>
      <c r="P12" s="200" t="s">
        <v>679</v>
      </c>
      <c r="Q12" s="202"/>
      <c r="R12" s="200" t="s">
        <v>679</v>
      </c>
      <c r="S12" s="202"/>
      <c r="T12" s="200" t="s">
        <v>679</v>
      </c>
      <c r="U12" s="202"/>
      <c r="V12" s="200" t="s">
        <v>679</v>
      </c>
      <c r="W12" s="202"/>
      <c r="X12" s="335" t="s">
        <v>679</v>
      </c>
      <c r="Y12" s="336" t="s">
        <v>679</v>
      </c>
      <c r="Z12" s="335" t="s">
        <v>679</v>
      </c>
      <c r="AA12" s="336" t="s">
        <v>679</v>
      </c>
      <c r="AB12" s="200" t="s">
        <v>679</v>
      </c>
      <c r="AC12" s="202"/>
      <c r="AD12" s="200" t="s">
        <v>679</v>
      </c>
      <c r="AE12" s="202"/>
      <c r="AF12" s="200" t="s">
        <v>679</v>
      </c>
      <c r="AG12" s="202"/>
      <c r="AH12" s="200" t="s">
        <v>679</v>
      </c>
      <c r="AI12" s="202"/>
      <c r="AJ12" s="200" t="s">
        <v>679</v>
      </c>
      <c r="AK12" s="202"/>
      <c r="AL12" s="335" t="s">
        <v>679</v>
      </c>
      <c r="AM12" s="336" t="s">
        <v>679</v>
      </c>
      <c r="AN12" s="335" t="s">
        <v>679</v>
      </c>
      <c r="AO12" s="336" t="s">
        <v>679</v>
      </c>
      <c r="AP12" s="200" t="s">
        <v>679</v>
      </c>
      <c r="AQ12" s="202"/>
      <c r="AR12" s="200" t="s">
        <v>679</v>
      </c>
      <c r="AS12" s="202"/>
      <c r="AT12" s="200" t="s">
        <v>679</v>
      </c>
      <c r="AU12" s="202"/>
      <c r="AV12" s="200" t="s">
        <v>679</v>
      </c>
      <c r="AW12" s="202"/>
      <c r="AX12" s="200" t="s">
        <v>679</v>
      </c>
      <c r="AY12" s="202"/>
      <c r="AZ12" s="198"/>
      <c r="BA12" s="199"/>
      <c r="BB12" s="198"/>
      <c r="BC12" s="199"/>
      <c r="BD12" s="179"/>
      <c r="BE12" s="147"/>
      <c r="BF12" s="179"/>
      <c r="BG12" s="147"/>
      <c r="BH12" s="179"/>
      <c r="BI12" s="147"/>
      <c r="BJ12" s="179"/>
      <c r="BK12" s="147"/>
      <c r="BL12" s="179"/>
      <c r="BM12" s="147"/>
      <c r="BN12" s="198">
        <f t="shared" si="0"/>
        <v>18</v>
      </c>
      <c r="BO12" s="199">
        <f t="shared" si="1"/>
        <v>0</v>
      </c>
    </row>
    <row r="13" spans="1:67" ht="16.5">
      <c r="A13" s="170" t="s">
        <v>5</v>
      </c>
      <c r="B13" s="170" t="s">
        <v>15</v>
      </c>
      <c r="C13" s="172" t="s">
        <v>18</v>
      </c>
      <c r="D13" s="202"/>
      <c r="E13" s="202"/>
      <c r="F13" s="200" t="s">
        <v>679</v>
      </c>
      <c r="G13" s="202"/>
      <c r="H13" s="200" t="s">
        <v>679</v>
      </c>
      <c r="I13" s="202"/>
      <c r="J13" s="335" t="s">
        <v>679</v>
      </c>
      <c r="K13" s="336" t="s">
        <v>679</v>
      </c>
      <c r="L13" s="335" t="s">
        <v>679</v>
      </c>
      <c r="M13" s="336" t="s">
        <v>679</v>
      </c>
      <c r="N13" s="200" t="s">
        <v>679</v>
      </c>
      <c r="O13" s="202"/>
      <c r="P13" s="200" t="s">
        <v>679</v>
      </c>
      <c r="Q13" s="202"/>
      <c r="R13" s="200" t="s">
        <v>679</v>
      </c>
      <c r="S13" s="202"/>
      <c r="T13" s="200" t="s">
        <v>679</v>
      </c>
      <c r="U13" s="202"/>
      <c r="V13" s="200" t="s">
        <v>679</v>
      </c>
      <c r="W13" s="202"/>
      <c r="X13" s="335" t="s">
        <v>679</v>
      </c>
      <c r="Y13" s="336" t="s">
        <v>679</v>
      </c>
      <c r="Z13" s="335" t="s">
        <v>679</v>
      </c>
      <c r="AA13" s="336" t="s">
        <v>679</v>
      </c>
      <c r="AB13" s="200" t="s">
        <v>679</v>
      </c>
      <c r="AC13" s="202"/>
      <c r="AD13" s="200" t="s">
        <v>679</v>
      </c>
      <c r="AE13" s="202"/>
      <c r="AF13" s="200" t="s">
        <v>679</v>
      </c>
      <c r="AG13" s="202"/>
      <c r="AH13" s="200" t="s">
        <v>679</v>
      </c>
      <c r="AI13" s="202"/>
      <c r="AJ13" s="200" t="s">
        <v>679</v>
      </c>
      <c r="AK13" s="202"/>
      <c r="AL13" s="335" t="s">
        <v>679</v>
      </c>
      <c r="AM13" s="336" t="s">
        <v>679</v>
      </c>
      <c r="AN13" s="335" t="s">
        <v>679</v>
      </c>
      <c r="AO13" s="336" t="s">
        <v>679</v>
      </c>
      <c r="AP13" s="200" t="s">
        <v>679</v>
      </c>
      <c r="AQ13" s="202"/>
      <c r="AR13" s="200" t="s">
        <v>679</v>
      </c>
      <c r="AS13" s="202"/>
      <c r="AT13" s="200" t="s">
        <v>679</v>
      </c>
      <c r="AU13" s="202"/>
      <c r="AV13" s="200" t="s">
        <v>679</v>
      </c>
      <c r="AW13" s="202"/>
      <c r="AX13" s="200" t="s">
        <v>679</v>
      </c>
      <c r="AY13" s="202"/>
      <c r="AZ13" s="198"/>
      <c r="BA13" s="199"/>
      <c r="BB13" s="198"/>
      <c r="BC13" s="199"/>
      <c r="BD13" s="179"/>
      <c r="BE13" s="147"/>
      <c r="BF13" s="179"/>
      <c r="BG13" s="147"/>
      <c r="BH13" s="179"/>
      <c r="BI13" s="147"/>
      <c r="BJ13" s="179"/>
      <c r="BK13" s="147"/>
      <c r="BL13" s="179"/>
      <c r="BM13" s="147"/>
      <c r="BN13" s="198">
        <f t="shared" si="0"/>
        <v>18</v>
      </c>
      <c r="BO13" s="199">
        <f t="shared" si="1"/>
        <v>0</v>
      </c>
    </row>
    <row r="14" spans="1:67" ht="16.5">
      <c r="A14" s="170" t="s">
        <v>5</v>
      </c>
      <c r="B14" s="170" t="s">
        <v>15</v>
      </c>
      <c r="C14" s="172" t="s">
        <v>19</v>
      </c>
      <c r="D14" s="202"/>
      <c r="E14" s="202"/>
      <c r="F14" s="200" t="s">
        <v>679</v>
      </c>
      <c r="G14" s="202"/>
      <c r="H14" s="200" t="s">
        <v>679</v>
      </c>
      <c r="I14" s="202"/>
      <c r="J14" s="335" t="s">
        <v>679</v>
      </c>
      <c r="K14" s="336" t="s">
        <v>679</v>
      </c>
      <c r="L14" s="335" t="s">
        <v>679</v>
      </c>
      <c r="M14" s="336" t="s">
        <v>679</v>
      </c>
      <c r="N14" s="200" t="s">
        <v>679</v>
      </c>
      <c r="O14" s="202"/>
      <c r="P14" s="200" t="s">
        <v>679</v>
      </c>
      <c r="Q14" s="202"/>
      <c r="R14" s="200" t="s">
        <v>679</v>
      </c>
      <c r="S14" s="202"/>
      <c r="T14" s="200" t="s">
        <v>679</v>
      </c>
      <c r="U14" s="202"/>
      <c r="V14" s="200" t="s">
        <v>679</v>
      </c>
      <c r="W14" s="202"/>
      <c r="X14" s="335" t="s">
        <v>679</v>
      </c>
      <c r="Y14" s="336" t="s">
        <v>679</v>
      </c>
      <c r="Z14" s="335" t="s">
        <v>679</v>
      </c>
      <c r="AA14" s="336" t="s">
        <v>679</v>
      </c>
      <c r="AB14" s="200" t="s">
        <v>679</v>
      </c>
      <c r="AC14" s="202"/>
      <c r="AD14" s="200" t="s">
        <v>679</v>
      </c>
      <c r="AE14" s="202"/>
      <c r="AF14" s="200" t="s">
        <v>679</v>
      </c>
      <c r="AG14" s="202"/>
      <c r="AH14" s="200" t="s">
        <v>679</v>
      </c>
      <c r="AI14" s="202"/>
      <c r="AJ14" s="200" t="s">
        <v>679</v>
      </c>
      <c r="AK14" s="202"/>
      <c r="AL14" s="335" t="s">
        <v>679</v>
      </c>
      <c r="AM14" s="336" t="s">
        <v>679</v>
      </c>
      <c r="AN14" s="335" t="s">
        <v>679</v>
      </c>
      <c r="AO14" s="336" t="s">
        <v>679</v>
      </c>
      <c r="AP14" s="200" t="s">
        <v>679</v>
      </c>
      <c r="AQ14" s="202"/>
      <c r="AR14" s="200" t="s">
        <v>679</v>
      </c>
      <c r="AS14" s="202"/>
      <c r="AT14" s="200" t="s">
        <v>679</v>
      </c>
      <c r="AU14" s="202"/>
      <c r="AV14" s="200" t="s">
        <v>679</v>
      </c>
      <c r="AW14" s="202"/>
      <c r="AX14" s="200" t="s">
        <v>679</v>
      </c>
      <c r="AY14" s="202"/>
      <c r="AZ14" s="198"/>
      <c r="BA14" s="199"/>
      <c r="BB14" s="198"/>
      <c r="BC14" s="199"/>
      <c r="BD14" s="179"/>
      <c r="BE14" s="147"/>
      <c r="BF14" s="179"/>
      <c r="BG14" s="147"/>
      <c r="BH14" s="179"/>
      <c r="BI14" s="147"/>
      <c r="BJ14" s="179"/>
      <c r="BK14" s="147"/>
      <c r="BL14" s="179"/>
      <c r="BM14" s="147"/>
      <c r="BN14" s="198">
        <f t="shared" si="0"/>
        <v>18</v>
      </c>
      <c r="BO14" s="199">
        <f t="shared" si="1"/>
        <v>0</v>
      </c>
    </row>
    <row r="15" spans="1:67" ht="16.5">
      <c r="A15" s="170" t="s">
        <v>5</v>
      </c>
      <c r="B15" s="170" t="s">
        <v>15</v>
      </c>
      <c r="C15" s="172" t="s">
        <v>20</v>
      </c>
      <c r="D15" s="202"/>
      <c r="E15" s="202"/>
      <c r="F15" s="200" t="s">
        <v>679</v>
      </c>
      <c r="G15" s="202"/>
      <c r="H15" s="200" t="s">
        <v>679</v>
      </c>
      <c r="I15" s="202"/>
      <c r="J15" s="335" t="s">
        <v>679</v>
      </c>
      <c r="K15" s="336" t="s">
        <v>679</v>
      </c>
      <c r="L15" s="335" t="s">
        <v>679</v>
      </c>
      <c r="M15" s="336" t="s">
        <v>679</v>
      </c>
      <c r="N15" s="200" t="s">
        <v>679</v>
      </c>
      <c r="O15" s="202"/>
      <c r="P15" s="200" t="s">
        <v>679</v>
      </c>
      <c r="Q15" s="202"/>
      <c r="R15" s="200" t="s">
        <v>679</v>
      </c>
      <c r="S15" s="202"/>
      <c r="T15" s="200" t="s">
        <v>679</v>
      </c>
      <c r="U15" s="202"/>
      <c r="V15" s="200" t="s">
        <v>679</v>
      </c>
      <c r="W15" s="202"/>
      <c r="X15" s="335" t="s">
        <v>679</v>
      </c>
      <c r="Y15" s="336" t="s">
        <v>679</v>
      </c>
      <c r="Z15" s="335" t="s">
        <v>679</v>
      </c>
      <c r="AA15" s="336" t="s">
        <v>679</v>
      </c>
      <c r="AB15" s="200" t="s">
        <v>679</v>
      </c>
      <c r="AC15" s="202"/>
      <c r="AD15" s="200" t="s">
        <v>679</v>
      </c>
      <c r="AE15" s="202"/>
      <c r="AF15" s="200" t="s">
        <v>679</v>
      </c>
      <c r="AG15" s="202"/>
      <c r="AH15" s="200" t="s">
        <v>679</v>
      </c>
      <c r="AI15" s="202"/>
      <c r="AJ15" s="200" t="s">
        <v>679</v>
      </c>
      <c r="AK15" s="202"/>
      <c r="AL15" s="335" t="s">
        <v>679</v>
      </c>
      <c r="AM15" s="336" t="s">
        <v>679</v>
      </c>
      <c r="AN15" s="335" t="s">
        <v>679</v>
      </c>
      <c r="AO15" s="336" t="s">
        <v>679</v>
      </c>
      <c r="AP15" s="200" t="s">
        <v>679</v>
      </c>
      <c r="AQ15" s="202"/>
      <c r="AR15" s="200" t="s">
        <v>679</v>
      </c>
      <c r="AS15" s="202"/>
      <c r="AT15" s="200" t="s">
        <v>679</v>
      </c>
      <c r="AU15" s="202"/>
      <c r="AV15" s="200" t="s">
        <v>679</v>
      </c>
      <c r="AW15" s="202"/>
      <c r="AX15" s="200" t="s">
        <v>679</v>
      </c>
      <c r="AY15" s="202"/>
      <c r="AZ15" s="198"/>
      <c r="BA15" s="199"/>
      <c r="BB15" s="198"/>
      <c r="BC15" s="199"/>
      <c r="BD15" s="179"/>
      <c r="BE15" s="147"/>
      <c r="BF15" s="179"/>
      <c r="BG15" s="147"/>
      <c r="BH15" s="179"/>
      <c r="BI15" s="147"/>
      <c r="BJ15" s="179"/>
      <c r="BK15" s="147"/>
      <c r="BL15" s="179"/>
      <c r="BM15" s="147"/>
      <c r="BN15" s="198">
        <f t="shared" si="0"/>
        <v>18</v>
      </c>
      <c r="BO15" s="199">
        <f t="shared" si="1"/>
        <v>0</v>
      </c>
    </row>
    <row r="16" spans="1:67" ht="16.5">
      <c r="A16" s="170" t="s">
        <v>5</v>
      </c>
      <c r="B16" s="170" t="s">
        <v>15</v>
      </c>
      <c r="C16" s="172" t="s">
        <v>728</v>
      </c>
      <c r="D16" s="205" t="s">
        <v>679</v>
      </c>
      <c r="E16" s="205" t="s">
        <v>679</v>
      </c>
      <c r="F16" s="204" t="s">
        <v>679</v>
      </c>
      <c r="G16" s="205" t="s">
        <v>679</v>
      </c>
      <c r="H16" s="204" t="s">
        <v>679</v>
      </c>
      <c r="I16" s="205" t="s">
        <v>679</v>
      </c>
      <c r="J16" s="339" t="s">
        <v>679</v>
      </c>
      <c r="K16" s="340" t="s">
        <v>679</v>
      </c>
      <c r="L16" s="339" t="s">
        <v>679</v>
      </c>
      <c r="M16" s="340" t="s">
        <v>679</v>
      </c>
      <c r="N16" s="204" t="s">
        <v>679</v>
      </c>
      <c r="O16" s="205" t="s">
        <v>679</v>
      </c>
      <c r="P16" s="204" t="s">
        <v>679</v>
      </c>
      <c r="Q16" s="205" t="s">
        <v>679</v>
      </c>
      <c r="R16" s="204" t="s">
        <v>679</v>
      </c>
      <c r="S16" s="205" t="s">
        <v>679</v>
      </c>
      <c r="T16" s="204" t="s">
        <v>679</v>
      </c>
      <c r="U16" s="205" t="s">
        <v>679</v>
      </c>
      <c r="V16" s="204" t="s">
        <v>679</v>
      </c>
      <c r="W16" s="205" t="s">
        <v>679</v>
      </c>
      <c r="X16" s="339" t="s">
        <v>679</v>
      </c>
      <c r="Y16" s="340" t="s">
        <v>679</v>
      </c>
      <c r="Z16" s="339" t="s">
        <v>679</v>
      </c>
      <c r="AA16" s="340" t="s">
        <v>679</v>
      </c>
      <c r="AB16" s="204" t="s">
        <v>679</v>
      </c>
      <c r="AC16" s="205" t="s">
        <v>679</v>
      </c>
      <c r="AD16" s="204" t="s">
        <v>679</v>
      </c>
      <c r="AE16" s="205" t="s">
        <v>679</v>
      </c>
      <c r="AF16" s="204" t="s">
        <v>679</v>
      </c>
      <c r="AG16" s="205" t="s">
        <v>679</v>
      </c>
      <c r="AH16" s="204" t="s">
        <v>679</v>
      </c>
      <c r="AI16" s="205" t="s">
        <v>679</v>
      </c>
      <c r="AJ16" s="204" t="s">
        <v>679</v>
      </c>
      <c r="AK16" s="205" t="s">
        <v>679</v>
      </c>
      <c r="AL16" s="339" t="s">
        <v>679</v>
      </c>
      <c r="AM16" s="340" t="s">
        <v>679</v>
      </c>
      <c r="AN16" s="339" t="s">
        <v>679</v>
      </c>
      <c r="AO16" s="340" t="s">
        <v>679</v>
      </c>
      <c r="AP16" s="204" t="s">
        <v>679</v>
      </c>
      <c r="AQ16" s="205" t="s">
        <v>679</v>
      </c>
      <c r="AR16" s="204" t="s">
        <v>679</v>
      </c>
      <c r="AS16" s="205" t="s">
        <v>679</v>
      </c>
      <c r="AT16" s="204" t="s">
        <v>679</v>
      </c>
      <c r="AU16" s="205" t="s">
        <v>679</v>
      </c>
      <c r="AV16" s="204" t="s">
        <v>679</v>
      </c>
      <c r="AW16" s="205" t="s">
        <v>679</v>
      </c>
      <c r="AX16" s="204" t="s">
        <v>679</v>
      </c>
      <c r="AY16" s="205" t="s">
        <v>679</v>
      </c>
      <c r="AZ16" s="196"/>
      <c r="BA16" s="197"/>
      <c r="BB16" s="196"/>
      <c r="BC16" s="197"/>
      <c r="BD16" s="181"/>
      <c r="BE16" s="180"/>
      <c r="BF16" s="181"/>
      <c r="BG16" s="180"/>
      <c r="BH16" s="181"/>
      <c r="BI16" s="180"/>
      <c r="BJ16" s="181"/>
      <c r="BK16" s="180"/>
      <c r="BL16" s="181"/>
      <c r="BM16" s="180"/>
      <c r="BN16" s="198">
        <f t="shared" si="0"/>
        <v>19</v>
      </c>
      <c r="BO16" s="199">
        <f t="shared" si="1"/>
        <v>18</v>
      </c>
    </row>
    <row r="17" spans="1:67" ht="16.5">
      <c r="A17" s="168" t="s">
        <v>5</v>
      </c>
      <c r="B17" s="168" t="s">
        <v>22</v>
      </c>
      <c r="C17" s="173" t="s">
        <v>23</v>
      </c>
      <c r="D17" s="203">
        <v>0.35486111111111113</v>
      </c>
      <c r="E17" s="202"/>
      <c r="F17" s="201">
        <v>0.34166666666666667</v>
      </c>
      <c r="G17" s="203">
        <v>0.64930555555555558</v>
      </c>
      <c r="H17" s="201">
        <v>0.34652777777777777</v>
      </c>
      <c r="I17" s="203">
        <v>0.64236111111111116</v>
      </c>
      <c r="J17" s="337">
        <v>0.34444444444444444</v>
      </c>
      <c r="K17" s="336" t="s">
        <v>679</v>
      </c>
      <c r="L17" s="335" t="s">
        <v>679</v>
      </c>
      <c r="M17" s="336" t="s">
        <v>679</v>
      </c>
      <c r="N17" s="201">
        <v>0.35625000000000001</v>
      </c>
      <c r="O17" s="203">
        <v>0.66874999999999996</v>
      </c>
      <c r="P17" s="201">
        <v>0.35416666666666669</v>
      </c>
      <c r="Q17" s="203">
        <v>0.66041666666666665</v>
      </c>
      <c r="R17" s="201">
        <v>0.39513888888888887</v>
      </c>
      <c r="S17" s="203">
        <v>0.6875</v>
      </c>
      <c r="T17" s="201">
        <v>0.35902777777777778</v>
      </c>
      <c r="U17" s="203">
        <v>0.6479166666666667</v>
      </c>
      <c r="V17" s="201">
        <v>0.34791666666666665</v>
      </c>
      <c r="W17" s="203">
        <v>0.63055555555555554</v>
      </c>
      <c r="X17" s="337">
        <v>0.41458333333333336</v>
      </c>
      <c r="Y17" s="336" t="s">
        <v>679</v>
      </c>
      <c r="Z17" s="335" t="s">
        <v>679</v>
      </c>
      <c r="AA17" s="336" t="s">
        <v>679</v>
      </c>
      <c r="AB17" s="201">
        <v>0.35972222222222222</v>
      </c>
      <c r="AC17" s="203">
        <v>0.70277777777777772</v>
      </c>
      <c r="AD17" s="201">
        <v>0.34513888888888888</v>
      </c>
      <c r="AE17" s="203">
        <v>0.61458333333333337</v>
      </c>
      <c r="AF17" s="201">
        <v>0.34236111111111112</v>
      </c>
      <c r="AG17" s="203">
        <v>0.67847222222222225</v>
      </c>
      <c r="AH17" s="201">
        <v>0.35347222222222224</v>
      </c>
      <c r="AI17" s="203">
        <v>0.67083333333333328</v>
      </c>
      <c r="AJ17" s="201">
        <v>0.3576388888888889</v>
      </c>
      <c r="AK17" s="203">
        <v>0.70833333333333337</v>
      </c>
      <c r="AL17" s="337">
        <v>0.33333333333333331</v>
      </c>
      <c r="AM17" s="338">
        <v>0.49791666666666667</v>
      </c>
      <c r="AN17" s="335" t="s">
        <v>679</v>
      </c>
      <c r="AO17" s="336" t="s">
        <v>679</v>
      </c>
      <c r="AP17" s="201">
        <v>0.3840277777777778</v>
      </c>
      <c r="AQ17" s="202"/>
      <c r="AR17" s="201">
        <v>0.35</v>
      </c>
      <c r="AS17" s="203">
        <v>0.64444444444444449</v>
      </c>
      <c r="AT17" s="201">
        <v>0.35416666666666669</v>
      </c>
      <c r="AU17" s="202"/>
      <c r="AV17" s="201">
        <v>0.35555555555555557</v>
      </c>
      <c r="AW17" s="202"/>
      <c r="AX17" s="200" t="s">
        <v>679</v>
      </c>
      <c r="AY17" s="202"/>
      <c r="AZ17" s="198"/>
      <c r="BA17" s="199"/>
      <c r="BB17" s="198"/>
      <c r="BC17" s="199"/>
      <c r="BD17" s="179"/>
      <c r="BE17" s="147"/>
      <c r="BF17" s="179"/>
      <c r="BG17" s="147"/>
      <c r="BH17" s="179"/>
      <c r="BI17" s="147"/>
      <c r="BJ17" s="179"/>
      <c r="BK17" s="147"/>
      <c r="BL17" s="179"/>
      <c r="BM17" s="147"/>
      <c r="BN17" s="198">
        <f t="shared" si="0"/>
        <v>19</v>
      </c>
      <c r="BO17" s="199">
        <f t="shared" si="1"/>
        <v>13</v>
      </c>
    </row>
    <row r="18" spans="1:67" ht="16.5">
      <c r="A18" s="170" t="s">
        <v>5</v>
      </c>
      <c r="B18" s="170" t="s">
        <v>22</v>
      </c>
      <c r="C18" s="172" t="s">
        <v>24</v>
      </c>
      <c r="D18" s="202"/>
      <c r="E18" s="202"/>
      <c r="F18" s="200" t="s">
        <v>679</v>
      </c>
      <c r="G18" s="202"/>
      <c r="H18" s="200" t="s">
        <v>679</v>
      </c>
      <c r="I18" s="202"/>
      <c r="J18" s="335" t="s">
        <v>679</v>
      </c>
      <c r="K18" s="336" t="s">
        <v>679</v>
      </c>
      <c r="L18" s="335" t="s">
        <v>679</v>
      </c>
      <c r="M18" s="336" t="s">
        <v>679</v>
      </c>
      <c r="N18" s="200" t="s">
        <v>679</v>
      </c>
      <c r="O18" s="202"/>
      <c r="P18" s="200" t="s">
        <v>679</v>
      </c>
      <c r="Q18" s="202"/>
      <c r="R18" s="200" t="s">
        <v>679</v>
      </c>
      <c r="S18" s="202"/>
      <c r="T18" s="200" t="s">
        <v>679</v>
      </c>
      <c r="U18" s="202"/>
      <c r="V18" s="200" t="s">
        <v>679</v>
      </c>
      <c r="W18" s="202"/>
      <c r="X18" s="335" t="s">
        <v>679</v>
      </c>
      <c r="Y18" s="336" t="s">
        <v>679</v>
      </c>
      <c r="Z18" s="335" t="s">
        <v>679</v>
      </c>
      <c r="AA18" s="336" t="s">
        <v>679</v>
      </c>
      <c r="AB18" s="200" t="s">
        <v>679</v>
      </c>
      <c r="AC18" s="202"/>
      <c r="AD18" s="200" t="s">
        <v>679</v>
      </c>
      <c r="AE18" s="202"/>
      <c r="AF18" s="200" t="s">
        <v>679</v>
      </c>
      <c r="AG18" s="202"/>
      <c r="AH18" s="200" t="s">
        <v>679</v>
      </c>
      <c r="AI18" s="202"/>
      <c r="AJ18" s="200" t="s">
        <v>679</v>
      </c>
      <c r="AK18" s="202"/>
      <c r="AL18" s="335" t="s">
        <v>679</v>
      </c>
      <c r="AM18" s="336" t="s">
        <v>679</v>
      </c>
      <c r="AN18" s="335" t="s">
        <v>679</v>
      </c>
      <c r="AO18" s="336" t="s">
        <v>679</v>
      </c>
      <c r="AP18" s="200" t="s">
        <v>679</v>
      </c>
      <c r="AQ18" s="202"/>
      <c r="AR18" s="200" t="s">
        <v>679</v>
      </c>
      <c r="AS18" s="202"/>
      <c r="AT18" s="200" t="s">
        <v>679</v>
      </c>
      <c r="AU18" s="202"/>
      <c r="AV18" s="200" t="s">
        <v>679</v>
      </c>
      <c r="AW18" s="202"/>
      <c r="AX18" s="200" t="s">
        <v>679</v>
      </c>
      <c r="AY18" s="202"/>
      <c r="AZ18" s="198"/>
      <c r="BA18" s="199"/>
      <c r="BB18" s="198"/>
      <c r="BC18" s="199"/>
      <c r="BD18" s="179"/>
      <c r="BE18" s="147"/>
      <c r="BF18" s="179"/>
      <c r="BG18" s="147"/>
      <c r="BH18" s="179"/>
      <c r="BI18" s="147"/>
      <c r="BJ18" s="179"/>
      <c r="BK18" s="147"/>
      <c r="BL18" s="179"/>
      <c r="BM18" s="147"/>
      <c r="BN18" s="198">
        <f t="shared" si="0"/>
        <v>18</v>
      </c>
      <c r="BO18" s="199">
        <f t="shared" si="1"/>
        <v>0</v>
      </c>
    </row>
    <row r="19" spans="1:67" ht="16.5">
      <c r="A19" s="170" t="s">
        <v>5</v>
      </c>
      <c r="B19" s="170" t="s">
        <v>22</v>
      </c>
      <c r="C19" s="172" t="s">
        <v>25</v>
      </c>
      <c r="D19" s="205" t="s">
        <v>679</v>
      </c>
      <c r="E19" s="205" t="s">
        <v>679</v>
      </c>
      <c r="F19" s="204" t="s">
        <v>679</v>
      </c>
      <c r="G19" s="205" t="s">
        <v>679</v>
      </c>
      <c r="H19" s="204" t="s">
        <v>679</v>
      </c>
      <c r="I19" s="205" t="s">
        <v>679</v>
      </c>
      <c r="J19" s="339" t="s">
        <v>679</v>
      </c>
      <c r="K19" s="340" t="s">
        <v>679</v>
      </c>
      <c r="L19" s="339" t="s">
        <v>679</v>
      </c>
      <c r="M19" s="340" t="s">
        <v>679</v>
      </c>
      <c r="N19" s="204" t="s">
        <v>679</v>
      </c>
      <c r="O19" s="205" t="s">
        <v>679</v>
      </c>
      <c r="P19" s="204" t="s">
        <v>679</v>
      </c>
      <c r="Q19" s="205" t="s">
        <v>679</v>
      </c>
      <c r="R19" s="204" t="s">
        <v>679</v>
      </c>
      <c r="S19" s="205" t="s">
        <v>679</v>
      </c>
      <c r="T19" s="204" t="s">
        <v>679</v>
      </c>
      <c r="U19" s="205" t="s">
        <v>679</v>
      </c>
      <c r="V19" s="204" t="s">
        <v>679</v>
      </c>
      <c r="W19" s="205" t="s">
        <v>679</v>
      </c>
      <c r="X19" s="339" t="s">
        <v>679</v>
      </c>
      <c r="Y19" s="340" t="s">
        <v>679</v>
      </c>
      <c r="Z19" s="339" t="s">
        <v>679</v>
      </c>
      <c r="AA19" s="340" t="s">
        <v>679</v>
      </c>
      <c r="AB19" s="204" t="s">
        <v>679</v>
      </c>
      <c r="AC19" s="205" t="s">
        <v>679</v>
      </c>
      <c r="AD19" s="204" t="s">
        <v>679</v>
      </c>
      <c r="AE19" s="205" t="s">
        <v>679</v>
      </c>
      <c r="AF19" s="204" t="s">
        <v>679</v>
      </c>
      <c r="AG19" s="205" t="s">
        <v>679</v>
      </c>
      <c r="AH19" s="204" t="s">
        <v>679</v>
      </c>
      <c r="AI19" s="205" t="s">
        <v>679</v>
      </c>
      <c r="AJ19" s="204" t="s">
        <v>679</v>
      </c>
      <c r="AK19" s="205" t="s">
        <v>679</v>
      </c>
      <c r="AL19" s="339" t="s">
        <v>679</v>
      </c>
      <c r="AM19" s="340" t="s">
        <v>679</v>
      </c>
      <c r="AN19" s="339" t="s">
        <v>679</v>
      </c>
      <c r="AO19" s="340" t="s">
        <v>679</v>
      </c>
      <c r="AP19" s="204" t="s">
        <v>679</v>
      </c>
      <c r="AQ19" s="205" t="s">
        <v>679</v>
      </c>
      <c r="AR19" s="204" t="s">
        <v>679</v>
      </c>
      <c r="AS19" s="205" t="s">
        <v>679</v>
      </c>
      <c r="AT19" s="204" t="s">
        <v>679</v>
      </c>
      <c r="AU19" s="205" t="s">
        <v>679</v>
      </c>
      <c r="AV19" s="204" t="s">
        <v>679</v>
      </c>
      <c r="AW19" s="205" t="s">
        <v>679</v>
      </c>
      <c r="AX19" s="204" t="s">
        <v>679</v>
      </c>
      <c r="AY19" s="205" t="s">
        <v>679</v>
      </c>
      <c r="AZ19" s="196"/>
      <c r="BA19" s="197"/>
      <c r="BB19" s="196"/>
      <c r="BC19" s="197"/>
      <c r="BD19" s="181"/>
      <c r="BE19" s="180"/>
      <c r="BF19" s="181"/>
      <c r="BG19" s="180"/>
      <c r="BH19" s="181"/>
      <c r="BI19" s="180"/>
      <c r="BJ19" s="181"/>
      <c r="BK19" s="180"/>
      <c r="BL19" s="181"/>
      <c r="BM19" s="180"/>
      <c r="BN19" s="198">
        <f t="shared" si="0"/>
        <v>19</v>
      </c>
      <c r="BO19" s="199">
        <f t="shared" si="1"/>
        <v>18</v>
      </c>
    </row>
    <row r="20" spans="1:67" ht="16.5">
      <c r="A20" s="168" t="s">
        <v>26</v>
      </c>
      <c r="B20" s="171" t="s">
        <v>89</v>
      </c>
      <c r="C20" s="174" t="s">
        <v>90</v>
      </c>
      <c r="D20" s="207">
        <v>0.40347222222222223</v>
      </c>
      <c r="E20" s="207">
        <v>0.66805555555555551</v>
      </c>
      <c r="F20" s="206">
        <v>0.39791666666666664</v>
      </c>
      <c r="G20" s="207">
        <v>0.68958333333333333</v>
      </c>
      <c r="H20" s="206">
        <v>0.39513888888888887</v>
      </c>
      <c r="I20" s="207">
        <v>0.67847222222222225</v>
      </c>
      <c r="J20" s="342">
        <v>0.38263888888888886</v>
      </c>
      <c r="K20" s="343">
        <v>0.55277777777777781</v>
      </c>
      <c r="L20" s="339" t="s">
        <v>679</v>
      </c>
      <c r="M20" s="340" t="s">
        <v>679</v>
      </c>
      <c r="N20" s="206">
        <v>0.38541666666666669</v>
      </c>
      <c r="O20" s="207">
        <v>0.65763888888888888</v>
      </c>
      <c r="P20" s="206">
        <v>0.38611111111111113</v>
      </c>
      <c r="Q20" s="207">
        <v>0.67500000000000004</v>
      </c>
      <c r="R20" s="206">
        <v>0.38680555555555557</v>
      </c>
      <c r="S20" s="207">
        <v>0.66874999999999996</v>
      </c>
      <c r="T20" s="206">
        <v>0.38055555555555554</v>
      </c>
      <c r="U20" s="207">
        <v>0.67708333333333337</v>
      </c>
      <c r="V20" s="206">
        <v>0.39305555555555555</v>
      </c>
      <c r="W20" s="207">
        <v>0.66874999999999996</v>
      </c>
      <c r="X20" s="342">
        <v>0.38333333333333336</v>
      </c>
      <c r="Y20" s="340" t="s">
        <v>679</v>
      </c>
      <c r="Z20" s="339" t="s">
        <v>679</v>
      </c>
      <c r="AA20" s="340" t="s">
        <v>679</v>
      </c>
      <c r="AB20" s="206">
        <v>0.38680555555555557</v>
      </c>
      <c r="AC20" s="207">
        <v>0.66736111111111107</v>
      </c>
      <c r="AD20" s="206">
        <v>0.37569444444444444</v>
      </c>
      <c r="AE20" s="207">
        <v>0.66249999999999998</v>
      </c>
      <c r="AF20" s="206">
        <v>0.38472222222222224</v>
      </c>
      <c r="AG20" s="207">
        <v>0.65208333333333335</v>
      </c>
      <c r="AH20" s="206">
        <v>0.37847222222222221</v>
      </c>
      <c r="AI20" s="207">
        <v>0.64097222222222228</v>
      </c>
      <c r="AJ20" s="206">
        <v>0.38263888888888886</v>
      </c>
      <c r="AK20" s="207">
        <v>0.67152777777777772</v>
      </c>
      <c r="AL20" s="342">
        <v>0.37777777777777777</v>
      </c>
      <c r="AM20" s="340" t="s">
        <v>679</v>
      </c>
      <c r="AN20" s="339" t="s">
        <v>679</v>
      </c>
      <c r="AO20" s="340" t="s">
        <v>679</v>
      </c>
      <c r="AP20" s="206">
        <v>0.40416666666666667</v>
      </c>
      <c r="AQ20" s="207">
        <v>0.69513888888888886</v>
      </c>
      <c r="AR20" s="206">
        <v>0.39444444444444443</v>
      </c>
      <c r="AS20" s="207">
        <v>0.70138888888888884</v>
      </c>
      <c r="AT20" s="206">
        <v>0.42638888888888887</v>
      </c>
      <c r="AU20" s="207">
        <v>0.69791666666666663</v>
      </c>
      <c r="AV20" s="206">
        <v>0.38819444444444445</v>
      </c>
      <c r="AW20" s="205" t="s">
        <v>679</v>
      </c>
      <c r="AX20" s="204" t="s">
        <v>679</v>
      </c>
      <c r="AY20" s="205" t="s">
        <v>679</v>
      </c>
      <c r="AZ20" s="196"/>
      <c r="BA20" s="197"/>
      <c r="BB20" s="196"/>
      <c r="BC20" s="197"/>
      <c r="BD20" s="181"/>
      <c r="BE20" s="180"/>
      <c r="BF20" s="181"/>
      <c r="BG20" s="180"/>
      <c r="BH20" s="181"/>
      <c r="BI20" s="180"/>
      <c r="BJ20" s="181"/>
      <c r="BK20" s="180"/>
      <c r="BL20" s="181"/>
      <c r="BM20" s="180"/>
      <c r="BN20" s="198">
        <f t="shared" si="0"/>
        <v>19</v>
      </c>
      <c r="BO20" s="199">
        <f t="shared" si="1"/>
        <v>18</v>
      </c>
    </row>
    <row r="21" spans="1:67" ht="16.5">
      <c r="A21" s="168" t="s">
        <v>26</v>
      </c>
      <c r="B21" s="168" t="s">
        <v>27</v>
      </c>
      <c r="C21" s="173" t="s">
        <v>28</v>
      </c>
      <c r="D21" s="207">
        <v>0.37152777777777779</v>
      </c>
      <c r="E21" s="207">
        <v>0.64861111111111114</v>
      </c>
      <c r="F21" s="206">
        <v>0.36944444444444446</v>
      </c>
      <c r="G21" s="207">
        <v>0.64166666666666672</v>
      </c>
      <c r="H21" s="206">
        <v>0.37638888888888888</v>
      </c>
      <c r="I21" s="207">
        <v>0.6381944444444444</v>
      </c>
      <c r="J21" s="342">
        <v>0.36249999999999999</v>
      </c>
      <c r="K21" s="340" t="s">
        <v>679</v>
      </c>
      <c r="L21" s="339" t="s">
        <v>679</v>
      </c>
      <c r="M21" s="340" t="s">
        <v>679</v>
      </c>
      <c r="N21" s="206">
        <v>0.37291666666666667</v>
      </c>
      <c r="O21" s="207">
        <v>0.64236111111111116</v>
      </c>
      <c r="P21" s="206">
        <v>0.37569444444444444</v>
      </c>
      <c r="Q21" s="207">
        <v>0.66319444444444442</v>
      </c>
      <c r="R21" s="206">
        <v>0.37222222222222223</v>
      </c>
      <c r="S21" s="207">
        <v>0.64652777777777781</v>
      </c>
      <c r="T21" s="206">
        <v>0.37291666666666667</v>
      </c>
      <c r="U21" s="207">
        <v>0.62916666666666665</v>
      </c>
      <c r="V21" s="206">
        <v>0.35694444444444445</v>
      </c>
      <c r="W21" s="207">
        <v>0.63749999999999996</v>
      </c>
      <c r="X21" s="339" t="s">
        <v>679</v>
      </c>
      <c r="Y21" s="340" t="s">
        <v>679</v>
      </c>
      <c r="Z21" s="339" t="s">
        <v>679</v>
      </c>
      <c r="AA21" s="340" t="s">
        <v>679</v>
      </c>
      <c r="AB21" s="206">
        <v>0.37222222222222223</v>
      </c>
      <c r="AC21" s="207">
        <v>0.64583333333333337</v>
      </c>
      <c r="AD21" s="206">
        <v>0.3659722222222222</v>
      </c>
      <c r="AE21" s="207">
        <v>0.63541666666666663</v>
      </c>
      <c r="AF21" s="206">
        <v>0.36805555555555558</v>
      </c>
      <c r="AG21" s="207">
        <v>0.59097222222222223</v>
      </c>
      <c r="AH21" s="206">
        <v>0.36805555555555558</v>
      </c>
      <c r="AI21" s="207">
        <v>0.62569444444444444</v>
      </c>
      <c r="AJ21" s="206">
        <v>0.36875000000000002</v>
      </c>
      <c r="AK21" s="207">
        <v>0.61597222222222225</v>
      </c>
      <c r="AL21" s="342">
        <v>0.37569444444444444</v>
      </c>
      <c r="AM21" s="340" t="s">
        <v>679</v>
      </c>
      <c r="AN21" s="339" t="s">
        <v>679</v>
      </c>
      <c r="AO21" s="340" t="s">
        <v>679</v>
      </c>
      <c r="AP21" s="206">
        <v>0.36875000000000002</v>
      </c>
      <c r="AQ21" s="207">
        <v>0.62361111111111112</v>
      </c>
      <c r="AR21" s="206">
        <v>0.3659722222222222</v>
      </c>
      <c r="AS21" s="207">
        <v>0.61944444444444446</v>
      </c>
      <c r="AT21" s="206">
        <v>0.37152777777777779</v>
      </c>
      <c r="AU21" s="207">
        <v>0.64027777777777772</v>
      </c>
      <c r="AV21" s="206">
        <v>0.37777777777777777</v>
      </c>
      <c r="AW21" s="205" t="s">
        <v>679</v>
      </c>
      <c r="AX21" s="204" t="s">
        <v>679</v>
      </c>
      <c r="AY21" s="205" t="s">
        <v>679</v>
      </c>
      <c r="AZ21" s="196"/>
      <c r="BA21" s="197"/>
      <c r="BB21" s="196"/>
      <c r="BC21" s="197"/>
      <c r="BD21" s="181"/>
      <c r="BE21" s="180"/>
      <c r="BF21" s="181"/>
      <c r="BG21" s="180"/>
      <c r="BH21" s="181"/>
      <c r="BI21" s="180"/>
      <c r="BJ21" s="181"/>
      <c r="BK21" s="180"/>
      <c r="BL21" s="181"/>
      <c r="BM21" s="180"/>
      <c r="BN21" s="198">
        <f t="shared" si="0"/>
        <v>19</v>
      </c>
      <c r="BO21" s="199">
        <f t="shared" si="1"/>
        <v>18</v>
      </c>
    </row>
    <row r="22" spans="1:67" ht="16.5">
      <c r="A22" s="168" t="s">
        <v>26</v>
      </c>
      <c r="B22" s="168" t="s">
        <v>76</v>
      </c>
      <c r="C22" s="173" t="s">
        <v>77</v>
      </c>
      <c r="D22" s="203">
        <v>0.35486111111111113</v>
      </c>
      <c r="E22" s="203">
        <v>0.6479166666666667</v>
      </c>
      <c r="F22" s="201">
        <v>0.36875000000000002</v>
      </c>
      <c r="G22" s="203">
        <v>0.64027777777777772</v>
      </c>
      <c r="H22" s="201">
        <v>0.35208333333333336</v>
      </c>
      <c r="I22" s="203">
        <v>0.66319444444444442</v>
      </c>
      <c r="J22" s="337">
        <v>0.34444444444444444</v>
      </c>
      <c r="K22" s="338">
        <v>0.55000000000000004</v>
      </c>
      <c r="L22" s="335" t="s">
        <v>679</v>
      </c>
      <c r="M22" s="336" t="s">
        <v>679</v>
      </c>
      <c r="N22" s="201">
        <v>0.34722222222222221</v>
      </c>
      <c r="O22" s="202"/>
      <c r="P22" s="201">
        <v>0.34930555555555554</v>
      </c>
      <c r="Q22" s="203">
        <v>0.68333333333333335</v>
      </c>
      <c r="R22" s="201">
        <v>0.35555555555555557</v>
      </c>
      <c r="S22" s="203">
        <v>0.6694444444444444</v>
      </c>
      <c r="T22" s="201">
        <v>0.35</v>
      </c>
      <c r="U22" s="203">
        <v>0.69166666666666665</v>
      </c>
      <c r="V22" s="201">
        <v>0.35416666666666669</v>
      </c>
      <c r="W22" s="202"/>
      <c r="X22" s="335" t="s">
        <v>679</v>
      </c>
      <c r="Y22" s="336" t="s">
        <v>679</v>
      </c>
      <c r="Z22" s="335" t="s">
        <v>679</v>
      </c>
      <c r="AA22" s="336" t="s">
        <v>679</v>
      </c>
      <c r="AB22" s="201">
        <v>0.36041666666666666</v>
      </c>
      <c r="AC22" s="203">
        <v>0.67222222222222228</v>
      </c>
      <c r="AD22" s="201">
        <v>0.35555555555555557</v>
      </c>
      <c r="AE22" s="203">
        <v>0.66527777777777775</v>
      </c>
      <c r="AF22" s="201">
        <v>0.35208333333333336</v>
      </c>
      <c r="AG22" s="203">
        <v>0.65138888888888891</v>
      </c>
      <c r="AH22" s="201">
        <v>0.35347222222222224</v>
      </c>
      <c r="AI22" s="203">
        <v>0.6430555555555556</v>
      </c>
      <c r="AJ22" s="201">
        <v>0.35694444444444445</v>
      </c>
      <c r="AK22" s="203">
        <v>0.64375000000000004</v>
      </c>
      <c r="AL22" s="337">
        <v>0.35486111111111113</v>
      </c>
      <c r="AM22" s="338">
        <v>0.50972222222222219</v>
      </c>
      <c r="AN22" s="335" t="s">
        <v>679</v>
      </c>
      <c r="AO22" s="336" t="s">
        <v>679</v>
      </c>
      <c r="AP22" s="201">
        <v>0.35625000000000001</v>
      </c>
      <c r="AQ22" s="203">
        <v>0.65486111111111112</v>
      </c>
      <c r="AR22" s="201">
        <v>0.3576388888888889</v>
      </c>
      <c r="AS22" s="203">
        <v>0.65277777777777779</v>
      </c>
      <c r="AT22" s="201">
        <v>0.3611111111111111</v>
      </c>
      <c r="AU22" s="203">
        <v>0.65694444444444444</v>
      </c>
      <c r="AV22" s="201">
        <v>0.35347222222222224</v>
      </c>
      <c r="AW22" s="202"/>
      <c r="AX22" s="200" t="s">
        <v>679</v>
      </c>
      <c r="AY22" s="202"/>
      <c r="AZ22" s="198"/>
      <c r="BA22" s="199"/>
      <c r="BB22" s="198"/>
      <c r="BC22" s="199"/>
      <c r="BD22" s="179"/>
      <c r="BE22" s="147"/>
      <c r="BF22" s="179"/>
      <c r="BG22" s="147"/>
      <c r="BH22" s="179"/>
      <c r="BI22" s="147"/>
      <c r="BJ22" s="179"/>
      <c r="BK22" s="147"/>
      <c r="BL22" s="179"/>
      <c r="BM22" s="147"/>
      <c r="BN22" s="198">
        <f t="shared" si="0"/>
        <v>19</v>
      </c>
      <c r="BO22" s="199">
        <f t="shared" si="1"/>
        <v>14</v>
      </c>
    </row>
    <row r="23" spans="1:67" ht="16.5">
      <c r="A23" s="170" t="s">
        <v>26</v>
      </c>
      <c r="B23" s="170" t="s">
        <v>76</v>
      </c>
      <c r="C23" s="172" t="s">
        <v>78</v>
      </c>
      <c r="D23" s="202"/>
      <c r="E23" s="202"/>
      <c r="F23" s="200" t="s">
        <v>679</v>
      </c>
      <c r="G23" s="202"/>
      <c r="H23" s="200" t="s">
        <v>679</v>
      </c>
      <c r="I23" s="202"/>
      <c r="J23" s="335" t="s">
        <v>679</v>
      </c>
      <c r="K23" s="336" t="s">
        <v>679</v>
      </c>
      <c r="L23" s="335" t="s">
        <v>679</v>
      </c>
      <c r="M23" s="336" t="s">
        <v>679</v>
      </c>
      <c r="N23" s="200" t="s">
        <v>679</v>
      </c>
      <c r="O23" s="202"/>
      <c r="P23" s="200" t="s">
        <v>679</v>
      </c>
      <c r="Q23" s="202"/>
      <c r="R23" s="200" t="s">
        <v>679</v>
      </c>
      <c r="S23" s="202"/>
      <c r="T23" s="200" t="s">
        <v>679</v>
      </c>
      <c r="U23" s="202"/>
      <c r="V23" s="200" t="s">
        <v>679</v>
      </c>
      <c r="W23" s="202"/>
      <c r="X23" s="335" t="s">
        <v>679</v>
      </c>
      <c r="Y23" s="336" t="s">
        <v>679</v>
      </c>
      <c r="Z23" s="335" t="s">
        <v>679</v>
      </c>
      <c r="AA23" s="344" t="s">
        <v>679</v>
      </c>
      <c r="AB23" s="200" t="s">
        <v>679</v>
      </c>
      <c r="AC23" s="202"/>
      <c r="AD23" s="200" t="s">
        <v>679</v>
      </c>
      <c r="AE23" s="202"/>
      <c r="AF23" s="200" t="s">
        <v>679</v>
      </c>
      <c r="AG23" s="202"/>
      <c r="AH23" s="200" t="s">
        <v>679</v>
      </c>
      <c r="AI23" s="202"/>
      <c r="AJ23" s="200" t="s">
        <v>679</v>
      </c>
      <c r="AK23" s="202"/>
      <c r="AL23" s="335" t="s">
        <v>679</v>
      </c>
      <c r="AM23" s="336" t="s">
        <v>679</v>
      </c>
      <c r="AN23" s="335" t="s">
        <v>679</v>
      </c>
      <c r="AO23" s="336" t="s">
        <v>679</v>
      </c>
      <c r="AP23" s="200" t="s">
        <v>679</v>
      </c>
      <c r="AQ23" s="202"/>
      <c r="AR23" s="200" t="s">
        <v>679</v>
      </c>
      <c r="AS23" s="202"/>
      <c r="AT23" s="200" t="s">
        <v>679</v>
      </c>
      <c r="AU23" s="202"/>
      <c r="AV23" s="200" t="s">
        <v>679</v>
      </c>
      <c r="AW23" s="202"/>
      <c r="AX23" s="200" t="s">
        <v>679</v>
      </c>
      <c r="AY23" s="202"/>
      <c r="AZ23" s="198"/>
      <c r="BA23" s="199"/>
      <c r="BB23" s="198"/>
      <c r="BC23" s="199"/>
      <c r="BD23" s="179"/>
      <c r="BE23" s="147"/>
      <c r="BF23" s="179"/>
      <c r="BG23" s="147"/>
      <c r="BH23" s="179"/>
      <c r="BI23" s="147"/>
      <c r="BJ23" s="179"/>
      <c r="BK23" s="147"/>
      <c r="BL23" s="179"/>
      <c r="BM23" s="147"/>
      <c r="BN23" s="198">
        <f t="shared" si="0"/>
        <v>18</v>
      </c>
      <c r="BO23" s="199">
        <f t="shared" si="1"/>
        <v>0</v>
      </c>
    </row>
    <row r="24" spans="1:67" ht="16.5">
      <c r="A24" s="170" t="s">
        <v>26</v>
      </c>
      <c r="B24" s="170" t="s">
        <v>76</v>
      </c>
      <c r="C24" s="172" t="s">
        <v>79</v>
      </c>
      <c r="D24" s="202"/>
      <c r="E24" s="202"/>
      <c r="F24" s="200" t="s">
        <v>679</v>
      </c>
      <c r="G24" s="202"/>
      <c r="H24" s="200" t="s">
        <v>679</v>
      </c>
      <c r="I24" s="202"/>
      <c r="J24" s="335" t="s">
        <v>679</v>
      </c>
      <c r="K24" s="336" t="s">
        <v>679</v>
      </c>
      <c r="L24" s="335" t="s">
        <v>679</v>
      </c>
      <c r="M24" s="336" t="s">
        <v>679</v>
      </c>
      <c r="N24" s="200" t="s">
        <v>679</v>
      </c>
      <c r="O24" s="202"/>
      <c r="P24" s="200" t="s">
        <v>679</v>
      </c>
      <c r="Q24" s="202"/>
      <c r="R24" s="200" t="s">
        <v>679</v>
      </c>
      <c r="S24" s="202"/>
      <c r="T24" s="200" t="s">
        <v>679</v>
      </c>
      <c r="U24" s="202"/>
      <c r="V24" s="200" t="s">
        <v>679</v>
      </c>
      <c r="W24" s="202"/>
      <c r="X24" s="335" t="s">
        <v>679</v>
      </c>
      <c r="Y24" s="336" t="s">
        <v>679</v>
      </c>
      <c r="Z24" s="335" t="s">
        <v>679</v>
      </c>
      <c r="AA24" s="336" t="s">
        <v>679</v>
      </c>
      <c r="AB24" s="200" t="s">
        <v>679</v>
      </c>
      <c r="AC24" s="202"/>
      <c r="AD24" s="200" t="s">
        <v>679</v>
      </c>
      <c r="AE24" s="202"/>
      <c r="AF24" s="200" t="s">
        <v>679</v>
      </c>
      <c r="AG24" s="202"/>
      <c r="AH24" s="200" t="s">
        <v>679</v>
      </c>
      <c r="AI24" s="202"/>
      <c r="AJ24" s="200" t="s">
        <v>679</v>
      </c>
      <c r="AK24" s="202"/>
      <c r="AL24" s="335" t="s">
        <v>679</v>
      </c>
      <c r="AM24" s="336" t="s">
        <v>679</v>
      </c>
      <c r="AN24" s="335" t="s">
        <v>679</v>
      </c>
      <c r="AO24" s="336" t="s">
        <v>679</v>
      </c>
      <c r="AP24" s="200" t="s">
        <v>679</v>
      </c>
      <c r="AQ24" s="202"/>
      <c r="AR24" s="200" t="s">
        <v>679</v>
      </c>
      <c r="AS24" s="202"/>
      <c r="AT24" s="200" t="s">
        <v>679</v>
      </c>
      <c r="AU24" s="202"/>
      <c r="AV24" s="200" t="s">
        <v>679</v>
      </c>
      <c r="AW24" s="202"/>
      <c r="AX24" s="200" t="s">
        <v>679</v>
      </c>
      <c r="AY24" s="202"/>
      <c r="AZ24" s="198"/>
      <c r="BA24" s="199"/>
      <c r="BB24" s="198"/>
      <c r="BC24" s="199"/>
      <c r="BD24" s="179"/>
      <c r="BE24" s="147"/>
      <c r="BF24" s="179"/>
      <c r="BG24" s="147"/>
      <c r="BH24" s="179"/>
      <c r="BI24" s="147"/>
      <c r="BJ24" s="179"/>
      <c r="BK24" s="147"/>
      <c r="BL24" s="179"/>
      <c r="BM24" s="147"/>
      <c r="BN24" s="198">
        <f t="shared" si="0"/>
        <v>18</v>
      </c>
      <c r="BO24" s="199">
        <f t="shared" si="1"/>
        <v>0</v>
      </c>
    </row>
    <row r="25" spans="1:67" ht="16.5">
      <c r="A25" s="170" t="s">
        <v>26</v>
      </c>
      <c r="B25" s="170" t="s">
        <v>76</v>
      </c>
      <c r="C25" s="172" t="s">
        <v>80</v>
      </c>
      <c r="D25" s="202"/>
      <c r="E25" s="202"/>
      <c r="F25" s="200" t="s">
        <v>679</v>
      </c>
      <c r="G25" s="202"/>
      <c r="H25" s="200" t="s">
        <v>679</v>
      </c>
      <c r="I25" s="202"/>
      <c r="J25" s="335" t="s">
        <v>679</v>
      </c>
      <c r="K25" s="336" t="s">
        <v>679</v>
      </c>
      <c r="L25" s="335" t="s">
        <v>679</v>
      </c>
      <c r="M25" s="336" t="s">
        <v>679</v>
      </c>
      <c r="N25" s="200" t="s">
        <v>679</v>
      </c>
      <c r="O25" s="202"/>
      <c r="P25" s="200" t="s">
        <v>679</v>
      </c>
      <c r="Q25" s="202"/>
      <c r="R25" s="200" t="s">
        <v>679</v>
      </c>
      <c r="S25" s="202"/>
      <c r="T25" s="200" t="s">
        <v>679</v>
      </c>
      <c r="U25" s="202"/>
      <c r="V25" s="200" t="s">
        <v>679</v>
      </c>
      <c r="W25" s="202"/>
      <c r="X25" s="335" t="s">
        <v>679</v>
      </c>
      <c r="Y25" s="336" t="s">
        <v>679</v>
      </c>
      <c r="Z25" s="335" t="s">
        <v>679</v>
      </c>
      <c r="AA25" s="336" t="s">
        <v>679</v>
      </c>
      <c r="AB25" s="200" t="s">
        <v>679</v>
      </c>
      <c r="AC25" s="202"/>
      <c r="AD25" s="200" t="s">
        <v>679</v>
      </c>
      <c r="AE25" s="202"/>
      <c r="AF25" s="200" t="s">
        <v>679</v>
      </c>
      <c r="AG25" s="202"/>
      <c r="AH25" s="200" t="s">
        <v>679</v>
      </c>
      <c r="AI25" s="202"/>
      <c r="AJ25" s="200" t="s">
        <v>679</v>
      </c>
      <c r="AK25" s="202"/>
      <c r="AL25" s="335" t="s">
        <v>679</v>
      </c>
      <c r="AM25" s="336" t="s">
        <v>679</v>
      </c>
      <c r="AN25" s="335" t="s">
        <v>679</v>
      </c>
      <c r="AO25" s="336" t="s">
        <v>679</v>
      </c>
      <c r="AP25" s="200" t="s">
        <v>679</v>
      </c>
      <c r="AQ25" s="202"/>
      <c r="AR25" s="200" t="s">
        <v>679</v>
      </c>
      <c r="AS25" s="202"/>
      <c r="AT25" s="200" t="s">
        <v>679</v>
      </c>
      <c r="AU25" s="202"/>
      <c r="AV25" s="200" t="s">
        <v>679</v>
      </c>
      <c r="AW25" s="202"/>
      <c r="AX25" s="200" t="s">
        <v>679</v>
      </c>
      <c r="AY25" s="202"/>
      <c r="AZ25" s="198"/>
      <c r="BA25" s="199"/>
      <c r="BB25" s="198"/>
      <c r="BC25" s="199"/>
      <c r="BD25" s="179"/>
      <c r="BE25" s="147"/>
      <c r="BF25" s="179"/>
      <c r="BG25" s="147"/>
      <c r="BH25" s="179"/>
      <c r="BI25" s="147"/>
      <c r="BJ25" s="179"/>
      <c r="BK25" s="147"/>
      <c r="BL25" s="179"/>
      <c r="BM25" s="147"/>
      <c r="BN25" s="198">
        <f t="shared" si="0"/>
        <v>18</v>
      </c>
      <c r="BO25" s="199">
        <f t="shared" si="1"/>
        <v>0</v>
      </c>
    </row>
    <row r="26" spans="1:67" ht="16.5">
      <c r="A26" s="170" t="s">
        <v>26</v>
      </c>
      <c r="B26" s="169" t="s">
        <v>76</v>
      </c>
      <c r="C26" s="175" t="s">
        <v>81</v>
      </c>
      <c r="D26" s="205" t="s">
        <v>679</v>
      </c>
      <c r="E26" s="205" t="s">
        <v>679</v>
      </c>
      <c r="F26" s="204" t="s">
        <v>679</v>
      </c>
      <c r="G26" s="205" t="s">
        <v>679</v>
      </c>
      <c r="H26" s="204" t="s">
        <v>679</v>
      </c>
      <c r="I26" s="205" t="s">
        <v>679</v>
      </c>
      <c r="J26" s="339" t="s">
        <v>679</v>
      </c>
      <c r="K26" s="340" t="s">
        <v>679</v>
      </c>
      <c r="L26" s="339" t="s">
        <v>679</v>
      </c>
      <c r="M26" s="340" t="s">
        <v>679</v>
      </c>
      <c r="N26" s="204" t="s">
        <v>679</v>
      </c>
      <c r="O26" s="205" t="s">
        <v>679</v>
      </c>
      <c r="P26" s="204" t="s">
        <v>679</v>
      </c>
      <c r="Q26" s="205" t="s">
        <v>679</v>
      </c>
      <c r="R26" s="204" t="s">
        <v>679</v>
      </c>
      <c r="S26" s="205" t="s">
        <v>679</v>
      </c>
      <c r="T26" s="204" t="s">
        <v>679</v>
      </c>
      <c r="U26" s="205" t="s">
        <v>679</v>
      </c>
      <c r="V26" s="204" t="s">
        <v>679</v>
      </c>
      <c r="W26" s="205" t="s">
        <v>679</v>
      </c>
      <c r="X26" s="339" t="s">
        <v>679</v>
      </c>
      <c r="Y26" s="340" t="s">
        <v>679</v>
      </c>
      <c r="Z26" s="339" t="s">
        <v>679</v>
      </c>
      <c r="AA26" s="340" t="s">
        <v>679</v>
      </c>
      <c r="AB26" s="204" t="s">
        <v>679</v>
      </c>
      <c r="AC26" s="205" t="s">
        <v>679</v>
      </c>
      <c r="AD26" s="204" t="s">
        <v>679</v>
      </c>
      <c r="AE26" s="205" t="s">
        <v>679</v>
      </c>
      <c r="AF26" s="204" t="s">
        <v>679</v>
      </c>
      <c r="AG26" s="205" t="s">
        <v>679</v>
      </c>
      <c r="AH26" s="204" t="s">
        <v>679</v>
      </c>
      <c r="AI26" s="205" t="s">
        <v>679</v>
      </c>
      <c r="AJ26" s="204" t="s">
        <v>679</v>
      </c>
      <c r="AK26" s="205" t="s">
        <v>679</v>
      </c>
      <c r="AL26" s="339" t="s">
        <v>679</v>
      </c>
      <c r="AM26" s="340" t="s">
        <v>679</v>
      </c>
      <c r="AN26" s="339" t="s">
        <v>679</v>
      </c>
      <c r="AO26" s="340" t="s">
        <v>679</v>
      </c>
      <c r="AP26" s="204" t="s">
        <v>679</v>
      </c>
      <c r="AQ26" s="205" t="s">
        <v>679</v>
      </c>
      <c r="AR26" s="204" t="s">
        <v>679</v>
      </c>
      <c r="AS26" s="205" t="s">
        <v>679</v>
      </c>
      <c r="AT26" s="204" t="s">
        <v>679</v>
      </c>
      <c r="AU26" s="205" t="s">
        <v>679</v>
      </c>
      <c r="AV26" s="204" t="s">
        <v>679</v>
      </c>
      <c r="AW26" s="205" t="s">
        <v>679</v>
      </c>
      <c r="AX26" s="204" t="s">
        <v>679</v>
      </c>
      <c r="AY26" s="205" t="s">
        <v>679</v>
      </c>
      <c r="AZ26" s="196"/>
      <c r="BA26" s="197"/>
      <c r="BB26" s="196"/>
      <c r="BC26" s="197"/>
      <c r="BD26" s="181"/>
      <c r="BE26" s="180"/>
      <c r="BF26" s="181"/>
      <c r="BG26" s="180"/>
      <c r="BH26" s="181"/>
      <c r="BI26" s="180"/>
      <c r="BJ26" s="181"/>
      <c r="BK26" s="180"/>
      <c r="BL26" s="181"/>
      <c r="BM26" s="180"/>
      <c r="BN26" s="198">
        <f t="shared" si="0"/>
        <v>19</v>
      </c>
      <c r="BO26" s="199">
        <f t="shared" si="1"/>
        <v>18</v>
      </c>
    </row>
    <row r="27" spans="1:67" ht="16.5">
      <c r="A27" s="168" t="s">
        <v>26</v>
      </c>
      <c r="B27" s="168" t="s">
        <v>29</v>
      </c>
      <c r="C27" s="173" t="s">
        <v>30</v>
      </c>
      <c r="D27" s="207">
        <v>0.35625000000000001</v>
      </c>
      <c r="E27" s="207">
        <v>0.62638888888888888</v>
      </c>
      <c r="F27" s="206">
        <v>0.34236111111111112</v>
      </c>
      <c r="G27" s="207">
        <v>0.61944444444444446</v>
      </c>
      <c r="H27" s="206">
        <v>0.34236111111111112</v>
      </c>
      <c r="I27" s="207">
        <v>0.6166666666666667</v>
      </c>
      <c r="J27" s="342">
        <v>0.3125</v>
      </c>
      <c r="K27" s="340" t="s">
        <v>679</v>
      </c>
      <c r="L27" s="339" t="s">
        <v>679</v>
      </c>
      <c r="M27" s="340" t="s">
        <v>679</v>
      </c>
      <c r="N27" s="206">
        <v>0.34444444444444444</v>
      </c>
      <c r="O27" s="207">
        <v>0.63611111111111107</v>
      </c>
      <c r="P27" s="206">
        <v>0.34513888888888888</v>
      </c>
      <c r="Q27" s="207">
        <v>0.63124999999999998</v>
      </c>
      <c r="R27" s="206">
        <v>0.34375</v>
      </c>
      <c r="S27" s="207">
        <v>0.62708333333333333</v>
      </c>
      <c r="T27" s="206">
        <v>0.35</v>
      </c>
      <c r="U27" s="207">
        <v>0.625</v>
      </c>
      <c r="V27" s="206">
        <v>0.30069444444444443</v>
      </c>
      <c r="W27" s="207">
        <v>0.62708333333333333</v>
      </c>
      <c r="X27" s="339" t="s">
        <v>679</v>
      </c>
      <c r="Y27" s="340" t="s">
        <v>679</v>
      </c>
      <c r="Z27" s="339" t="s">
        <v>679</v>
      </c>
      <c r="AA27" s="340" t="s">
        <v>679</v>
      </c>
      <c r="AB27" s="206">
        <v>0.35069444444444442</v>
      </c>
      <c r="AC27" s="207">
        <v>0.6118055555555556</v>
      </c>
      <c r="AD27" s="204" t="s">
        <v>679</v>
      </c>
      <c r="AE27" s="207">
        <v>0.59444444444444444</v>
      </c>
      <c r="AF27" s="206">
        <v>0.34444444444444444</v>
      </c>
      <c r="AG27" s="207">
        <v>0.58888888888888891</v>
      </c>
      <c r="AH27" s="206">
        <v>0.36319444444444443</v>
      </c>
      <c r="AI27" s="207">
        <v>0.61597222222222225</v>
      </c>
      <c r="AJ27" s="206">
        <v>0.34166666666666667</v>
      </c>
      <c r="AK27" s="207">
        <v>0.62777777777777777</v>
      </c>
      <c r="AL27" s="342">
        <v>0.3125</v>
      </c>
      <c r="AM27" s="340" t="s">
        <v>679</v>
      </c>
      <c r="AN27" s="339" t="s">
        <v>679</v>
      </c>
      <c r="AO27" s="340" t="s">
        <v>679</v>
      </c>
      <c r="AP27" s="206">
        <v>0.33611111111111114</v>
      </c>
      <c r="AQ27" s="207">
        <v>0.62291666666666667</v>
      </c>
      <c r="AR27" s="206">
        <v>0.35347222222222224</v>
      </c>
      <c r="AS27" s="207">
        <v>0.61597222222222225</v>
      </c>
      <c r="AT27" s="206">
        <v>0.33124999999999999</v>
      </c>
      <c r="AU27" s="207">
        <v>0.63263888888888886</v>
      </c>
      <c r="AV27" s="206">
        <v>0.35347222222222224</v>
      </c>
      <c r="AW27" s="205" t="s">
        <v>679</v>
      </c>
      <c r="AX27" s="204" t="s">
        <v>679</v>
      </c>
      <c r="AY27" s="205" t="s">
        <v>679</v>
      </c>
      <c r="AZ27" s="196"/>
      <c r="BA27" s="197"/>
      <c r="BB27" s="196"/>
      <c r="BC27" s="197"/>
      <c r="BD27" s="181"/>
      <c r="BE27" s="180"/>
      <c r="BF27" s="181"/>
      <c r="BG27" s="180"/>
      <c r="BH27" s="181"/>
      <c r="BI27" s="180"/>
      <c r="BJ27" s="181"/>
      <c r="BK27" s="180"/>
      <c r="BL27" s="181"/>
      <c r="BM27" s="180"/>
      <c r="BN27" s="198">
        <f t="shared" si="0"/>
        <v>19</v>
      </c>
      <c r="BO27" s="199">
        <f t="shared" si="1"/>
        <v>18</v>
      </c>
    </row>
    <row r="28" spans="1:67" ht="16.5">
      <c r="A28" s="168" t="s">
        <v>26</v>
      </c>
      <c r="B28" s="168" t="s">
        <v>31</v>
      </c>
      <c r="C28" s="173" t="s">
        <v>32</v>
      </c>
      <c r="D28" s="202"/>
      <c r="E28" s="202"/>
      <c r="F28" s="200" t="s">
        <v>679</v>
      </c>
      <c r="G28" s="202"/>
      <c r="H28" s="200" t="s">
        <v>679</v>
      </c>
      <c r="I28" s="202"/>
      <c r="J28" s="335" t="s">
        <v>679</v>
      </c>
      <c r="K28" s="336" t="s">
        <v>679</v>
      </c>
      <c r="L28" s="335" t="s">
        <v>679</v>
      </c>
      <c r="M28" s="336" t="s">
        <v>679</v>
      </c>
      <c r="N28" s="200" t="s">
        <v>679</v>
      </c>
      <c r="O28" s="202"/>
      <c r="P28" s="200" t="s">
        <v>679</v>
      </c>
      <c r="Q28" s="202"/>
      <c r="R28" s="200" t="s">
        <v>679</v>
      </c>
      <c r="S28" s="202"/>
      <c r="T28" s="200" t="s">
        <v>679</v>
      </c>
      <c r="U28" s="202"/>
      <c r="V28" s="201">
        <v>0.36319444444444443</v>
      </c>
      <c r="W28" s="203">
        <v>0.66527777777777775</v>
      </c>
      <c r="X28" s="335" t="s">
        <v>679</v>
      </c>
      <c r="Y28" s="336" t="s">
        <v>679</v>
      </c>
      <c r="Z28" s="335" t="s">
        <v>679</v>
      </c>
      <c r="AA28" s="336" t="s">
        <v>679</v>
      </c>
      <c r="AB28" s="200" t="s">
        <v>679</v>
      </c>
      <c r="AC28" s="202"/>
      <c r="AD28" s="200" t="s">
        <v>679</v>
      </c>
      <c r="AE28" s="202"/>
      <c r="AF28" s="200" t="s">
        <v>679</v>
      </c>
      <c r="AG28" s="202"/>
      <c r="AH28" s="200" t="s">
        <v>679</v>
      </c>
      <c r="AI28" s="202"/>
      <c r="AJ28" s="200" t="s">
        <v>679</v>
      </c>
      <c r="AK28" s="202"/>
      <c r="AL28" s="335" t="s">
        <v>679</v>
      </c>
      <c r="AM28" s="336" t="s">
        <v>679</v>
      </c>
      <c r="AN28" s="335" t="s">
        <v>679</v>
      </c>
      <c r="AO28" s="336" t="s">
        <v>679</v>
      </c>
      <c r="AP28" s="200" t="s">
        <v>679</v>
      </c>
      <c r="AQ28" s="202"/>
      <c r="AR28" s="200" t="s">
        <v>679</v>
      </c>
      <c r="AS28" s="202"/>
      <c r="AT28" s="200" t="s">
        <v>679</v>
      </c>
      <c r="AU28" s="202"/>
      <c r="AV28" s="200" t="s">
        <v>679</v>
      </c>
      <c r="AW28" s="202"/>
      <c r="AX28" s="200" t="s">
        <v>679</v>
      </c>
      <c r="AY28" s="202"/>
      <c r="AZ28" s="198"/>
      <c r="BA28" s="199"/>
      <c r="BB28" s="198"/>
      <c r="BC28" s="199"/>
      <c r="BD28" s="179"/>
      <c r="BE28" s="147"/>
      <c r="BF28" s="179"/>
      <c r="BG28" s="147"/>
      <c r="BH28" s="179"/>
      <c r="BI28" s="147"/>
      <c r="BJ28" s="179"/>
      <c r="BK28" s="147"/>
      <c r="BL28" s="179"/>
      <c r="BM28" s="147"/>
      <c r="BN28" s="198">
        <f t="shared" si="0"/>
        <v>18</v>
      </c>
      <c r="BO28" s="199">
        <f t="shared" si="1"/>
        <v>1</v>
      </c>
    </row>
    <row r="29" spans="1:67" ht="16.5">
      <c r="A29" s="170" t="s">
        <v>26</v>
      </c>
      <c r="B29" s="170" t="s">
        <v>31</v>
      </c>
      <c r="C29" s="172" t="s">
        <v>33</v>
      </c>
      <c r="D29" s="202"/>
      <c r="E29" s="202"/>
      <c r="F29" s="200" t="s">
        <v>679</v>
      </c>
      <c r="G29" s="202"/>
      <c r="H29" s="200" t="s">
        <v>679</v>
      </c>
      <c r="I29" s="202"/>
      <c r="J29" s="335" t="s">
        <v>679</v>
      </c>
      <c r="K29" s="336" t="s">
        <v>679</v>
      </c>
      <c r="L29" s="335" t="s">
        <v>679</v>
      </c>
      <c r="M29" s="336" t="s">
        <v>679</v>
      </c>
      <c r="N29" s="200" t="s">
        <v>679</v>
      </c>
      <c r="O29" s="202"/>
      <c r="P29" s="200" t="s">
        <v>679</v>
      </c>
      <c r="Q29" s="202"/>
      <c r="R29" s="200" t="s">
        <v>679</v>
      </c>
      <c r="S29" s="202"/>
      <c r="T29" s="200" t="s">
        <v>679</v>
      </c>
      <c r="U29" s="202"/>
      <c r="V29" s="200" t="s">
        <v>679</v>
      </c>
      <c r="W29" s="202"/>
      <c r="X29" s="335" t="s">
        <v>679</v>
      </c>
      <c r="Y29" s="336" t="s">
        <v>679</v>
      </c>
      <c r="Z29" s="335" t="s">
        <v>679</v>
      </c>
      <c r="AA29" s="336" t="s">
        <v>679</v>
      </c>
      <c r="AB29" s="200" t="s">
        <v>679</v>
      </c>
      <c r="AC29" s="202"/>
      <c r="AD29" s="200" t="s">
        <v>679</v>
      </c>
      <c r="AE29" s="202"/>
      <c r="AF29" s="200" t="s">
        <v>679</v>
      </c>
      <c r="AG29" s="202"/>
      <c r="AH29" s="200" t="s">
        <v>679</v>
      </c>
      <c r="AI29" s="202"/>
      <c r="AJ29" s="200" t="s">
        <v>679</v>
      </c>
      <c r="AK29" s="202"/>
      <c r="AL29" s="335" t="s">
        <v>679</v>
      </c>
      <c r="AM29" s="336" t="s">
        <v>679</v>
      </c>
      <c r="AN29" s="335" t="s">
        <v>679</v>
      </c>
      <c r="AO29" s="336" t="s">
        <v>679</v>
      </c>
      <c r="AP29" s="200" t="s">
        <v>679</v>
      </c>
      <c r="AQ29" s="202"/>
      <c r="AR29" s="200" t="s">
        <v>679</v>
      </c>
      <c r="AS29" s="202"/>
      <c r="AT29" s="200" t="s">
        <v>679</v>
      </c>
      <c r="AU29" s="202"/>
      <c r="AV29" s="200" t="s">
        <v>679</v>
      </c>
      <c r="AW29" s="202"/>
      <c r="AX29" s="200" t="s">
        <v>679</v>
      </c>
      <c r="AY29" s="202"/>
      <c r="AZ29" s="198"/>
      <c r="BA29" s="199"/>
      <c r="BB29" s="198"/>
      <c r="BC29" s="199"/>
      <c r="BD29" s="179"/>
      <c r="BE29" s="147"/>
      <c r="BF29" s="179"/>
      <c r="BG29" s="147"/>
      <c r="BH29" s="179"/>
      <c r="BI29" s="147"/>
      <c r="BJ29" s="179"/>
      <c r="BK29" s="147"/>
      <c r="BL29" s="179"/>
      <c r="BM29" s="147"/>
      <c r="BN29" s="198">
        <f t="shared" si="0"/>
        <v>18</v>
      </c>
      <c r="BO29" s="199">
        <f t="shared" si="1"/>
        <v>0</v>
      </c>
    </row>
    <row r="30" spans="1:67" ht="16.5">
      <c r="A30" s="170" t="s">
        <v>26</v>
      </c>
      <c r="B30" s="170" t="s">
        <v>31</v>
      </c>
      <c r="C30" s="172" t="s">
        <v>34</v>
      </c>
      <c r="D30" s="203">
        <v>0.36805555555555558</v>
      </c>
      <c r="E30" s="203">
        <v>0.67152777777777772</v>
      </c>
      <c r="F30" s="201">
        <v>0.37152777777777779</v>
      </c>
      <c r="G30" s="203">
        <v>0.66111111111111109</v>
      </c>
      <c r="H30" s="201">
        <v>0.35</v>
      </c>
      <c r="I30" s="203">
        <v>0.62777777777777777</v>
      </c>
      <c r="J30" s="337">
        <v>0.40138888888888891</v>
      </c>
      <c r="K30" s="336" t="s">
        <v>679</v>
      </c>
      <c r="L30" s="335" t="s">
        <v>679</v>
      </c>
      <c r="M30" s="336" t="s">
        <v>679</v>
      </c>
      <c r="N30" s="201">
        <v>0.34444444444444444</v>
      </c>
      <c r="O30" s="203">
        <v>0.68472222222222223</v>
      </c>
      <c r="P30" s="201">
        <v>0.37083333333333335</v>
      </c>
      <c r="Q30" s="203">
        <v>0.68819444444444444</v>
      </c>
      <c r="R30" s="201">
        <v>0.34722222222222221</v>
      </c>
      <c r="S30" s="203">
        <v>0.69652777777777775</v>
      </c>
      <c r="T30" s="201">
        <v>0.38194444444444442</v>
      </c>
      <c r="U30" s="203">
        <v>0.6333333333333333</v>
      </c>
      <c r="V30" s="200" t="s">
        <v>679</v>
      </c>
      <c r="W30" s="202"/>
      <c r="X30" s="335" t="s">
        <v>679</v>
      </c>
      <c r="Y30" s="336" t="s">
        <v>679</v>
      </c>
      <c r="Z30" s="335" t="s">
        <v>679</v>
      </c>
      <c r="AA30" s="336" t="s">
        <v>679</v>
      </c>
      <c r="AB30" s="201">
        <v>0.35347222222222224</v>
      </c>
      <c r="AC30" s="203">
        <v>0.68611111111111112</v>
      </c>
      <c r="AD30" s="201">
        <v>0.38263888888888886</v>
      </c>
      <c r="AE30" s="203">
        <v>0.69861111111111107</v>
      </c>
      <c r="AF30" s="201">
        <v>0.37708333333333333</v>
      </c>
      <c r="AG30" s="203">
        <v>0.67222222222222228</v>
      </c>
      <c r="AH30" s="201">
        <v>0.36388888888888887</v>
      </c>
      <c r="AI30" s="203">
        <v>0.66319444444444442</v>
      </c>
      <c r="AJ30" s="201">
        <v>0.36458333333333331</v>
      </c>
      <c r="AK30" s="203">
        <v>0.67500000000000004</v>
      </c>
      <c r="AL30" s="335" t="s">
        <v>679</v>
      </c>
      <c r="AM30" s="336" t="s">
        <v>679</v>
      </c>
      <c r="AN30" s="335" t="s">
        <v>679</v>
      </c>
      <c r="AO30" s="336" t="s">
        <v>679</v>
      </c>
      <c r="AP30" s="201">
        <v>0.35</v>
      </c>
      <c r="AQ30" s="203">
        <v>0.68680555555555556</v>
      </c>
      <c r="AR30" s="201">
        <v>0.37152777777777779</v>
      </c>
      <c r="AS30" s="203">
        <v>0.62291666666666667</v>
      </c>
      <c r="AT30" s="201">
        <v>0.3611111111111111</v>
      </c>
      <c r="AU30" s="203">
        <v>0.67222222222222228</v>
      </c>
      <c r="AV30" s="201">
        <v>0.36041666666666666</v>
      </c>
      <c r="AW30" s="202"/>
      <c r="AX30" s="200" t="s">
        <v>679</v>
      </c>
      <c r="AY30" s="202"/>
      <c r="AZ30" s="198"/>
      <c r="BA30" s="199"/>
      <c r="BB30" s="198"/>
      <c r="BC30" s="199"/>
      <c r="BD30" s="179"/>
      <c r="BE30" s="147"/>
      <c r="BF30" s="179"/>
      <c r="BG30" s="147"/>
      <c r="BH30" s="179"/>
      <c r="BI30" s="147"/>
      <c r="BJ30" s="179"/>
      <c r="BK30" s="147"/>
      <c r="BL30" s="179"/>
      <c r="BM30" s="147"/>
      <c r="BN30" s="198">
        <f t="shared" si="0"/>
        <v>19</v>
      </c>
      <c r="BO30" s="199">
        <f t="shared" si="1"/>
        <v>15</v>
      </c>
    </row>
    <row r="31" spans="1:67" ht="16.5">
      <c r="A31" s="170" t="s">
        <v>26</v>
      </c>
      <c r="B31" s="170" t="s">
        <v>31</v>
      </c>
      <c r="C31" s="172" t="s">
        <v>35</v>
      </c>
      <c r="D31" s="202"/>
      <c r="E31" s="202"/>
      <c r="F31" s="200" t="s">
        <v>679</v>
      </c>
      <c r="G31" s="202"/>
      <c r="H31" s="200" t="s">
        <v>679</v>
      </c>
      <c r="I31" s="202"/>
      <c r="J31" s="335" t="s">
        <v>679</v>
      </c>
      <c r="K31" s="336" t="s">
        <v>679</v>
      </c>
      <c r="L31" s="335" t="s">
        <v>679</v>
      </c>
      <c r="M31" s="336" t="s">
        <v>679</v>
      </c>
      <c r="N31" s="200" t="s">
        <v>679</v>
      </c>
      <c r="O31" s="202"/>
      <c r="P31" s="200" t="s">
        <v>679</v>
      </c>
      <c r="Q31" s="202"/>
      <c r="R31" s="200" t="s">
        <v>679</v>
      </c>
      <c r="S31" s="202"/>
      <c r="T31" s="200" t="s">
        <v>679</v>
      </c>
      <c r="U31" s="202"/>
      <c r="V31" s="200" t="s">
        <v>679</v>
      </c>
      <c r="W31" s="202"/>
      <c r="X31" s="335" t="s">
        <v>679</v>
      </c>
      <c r="Y31" s="336" t="s">
        <v>679</v>
      </c>
      <c r="Z31" s="335" t="s">
        <v>679</v>
      </c>
      <c r="AA31" s="336" t="s">
        <v>679</v>
      </c>
      <c r="AB31" s="200" t="s">
        <v>679</v>
      </c>
      <c r="AC31" s="202"/>
      <c r="AD31" s="200" t="s">
        <v>679</v>
      </c>
      <c r="AE31" s="202"/>
      <c r="AF31" s="200" t="s">
        <v>679</v>
      </c>
      <c r="AG31" s="202"/>
      <c r="AH31" s="200" t="s">
        <v>679</v>
      </c>
      <c r="AI31" s="202"/>
      <c r="AJ31" s="200" t="s">
        <v>679</v>
      </c>
      <c r="AK31" s="202"/>
      <c r="AL31" s="335" t="s">
        <v>679</v>
      </c>
      <c r="AM31" s="336" t="s">
        <v>679</v>
      </c>
      <c r="AN31" s="335" t="s">
        <v>679</v>
      </c>
      <c r="AO31" s="336" t="s">
        <v>679</v>
      </c>
      <c r="AP31" s="200" t="s">
        <v>679</v>
      </c>
      <c r="AQ31" s="202"/>
      <c r="AR31" s="200" t="s">
        <v>679</v>
      </c>
      <c r="AS31" s="202"/>
      <c r="AT31" s="200" t="s">
        <v>679</v>
      </c>
      <c r="AU31" s="202"/>
      <c r="AV31" s="200" t="s">
        <v>679</v>
      </c>
      <c r="AW31" s="202"/>
      <c r="AX31" s="200" t="s">
        <v>679</v>
      </c>
      <c r="AY31" s="202"/>
      <c r="AZ31" s="198"/>
      <c r="BA31" s="199"/>
      <c r="BB31" s="198"/>
      <c r="BC31" s="199"/>
      <c r="BD31" s="179"/>
      <c r="BE31" s="147"/>
      <c r="BF31" s="179"/>
      <c r="BG31" s="147"/>
      <c r="BH31" s="179"/>
      <c r="BI31" s="147"/>
      <c r="BJ31" s="179"/>
      <c r="BK31" s="147"/>
      <c r="BL31" s="179"/>
      <c r="BM31" s="147"/>
      <c r="BN31" s="198">
        <f t="shared" si="0"/>
        <v>18</v>
      </c>
      <c r="BO31" s="199">
        <f t="shared" si="1"/>
        <v>0</v>
      </c>
    </row>
    <row r="32" spans="1:67" ht="16.5">
      <c r="A32" s="170" t="s">
        <v>26</v>
      </c>
      <c r="B32" s="170" t="s">
        <v>31</v>
      </c>
      <c r="C32" s="172" t="s">
        <v>36</v>
      </c>
      <c r="D32" s="202"/>
      <c r="E32" s="202"/>
      <c r="F32" s="200" t="s">
        <v>679</v>
      </c>
      <c r="G32" s="202"/>
      <c r="H32" s="200" t="s">
        <v>679</v>
      </c>
      <c r="I32" s="202"/>
      <c r="J32" s="335" t="s">
        <v>679</v>
      </c>
      <c r="K32" s="336" t="s">
        <v>679</v>
      </c>
      <c r="L32" s="335" t="s">
        <v>679</v>
      </c>
      <c r="M32" s="336" t="s">
        <v>679</v>
      </c>
      <c r="N32" s="200" t="s">
        <v>679</v>
      </c>
      <c r="O32" s="202"/>
      <c r="P32" s="200" t="s">
        <v>679</v>
      </c>
      <c r="Q32" s="202"/>
      <c r="R32" s="200" t="s">
        <v>679</v>
      </c>
      <c r="S32" s="202"/>
      <c r="T32" s="200" t="s">
        <v>679</v>
      </c>
      <c r="U32" s="202"/>
      <c r="V32" s="200" t="s">
        <v>679</v>
      </c>
      <c r="W32" s="202"/>
      <c r="X32" s="335" t="s">
        <v>679</v>
      </c>
      <c r="Y32" s="336" t="s">
        <v>679</v>
      </c>
      <c r="Z32" s="335" t="s">
        <v>679</v>
      </c>
      <c r="AA32" s="336" t="s">
        <v>679</v>
      </c>
      <c r="AB32" s="200" t="s">
        <v>679</v>
      </c>
      <c r="AC32" s="202"/>
      <c r="AD32" s="200" t="s">
        <v>679</v>
      </c>
      <c r="AE32" s="202"/>
      <c r="AF32" s="200" t="s">
        <v>679</v>
      </c>
      <c r="AG32" s="202"/>
      <c r="AH32" s="200" t="s">
        <v>679</v>
      </c>
      <c r="AI32" s="202"/>
      <c r="AJ32" s="200" t="s">
        <v>679</v>
      </c>
      <c r="AK32" s="202"/>
      <c r="AL32" s="335" t="s">
        <v>679</v>
      </c>
      <c r="AM32" s="336" t="s">
        <v>679</v>
      </c>
      <c r="AN32" s="335" t="s">
        <v>679</v>
      </c>
      <c r="AO32" s="336" t="s">
        <v>679</v>
      </c>
      <c r="AP32" s="200" t="s">
        <v>679</v>
      </c>
      <c r="AQ32" s="202"/>
      <c r="AR32" s="200" t="s">
        <v>679</v>
      </c>
      <c r="AS32" s="202"/>
      <c r="AT32" s="200" t="s">
        <v>679</v>
      </c>
      <c r="AU32" s="202"/>
      <c r="AV32" s="200" t="s">
        <v>679</v>
      </c>
      <c r="AW32" s="202"/>
      <c r="AX32" s="200" t="s">
        <v>679</v>
      </c>
      <c r="AY32" s="202"/>
      <c r="AZ32" s="198"/>
      <c r="BA32" s="199"/>
      <c r="BB32" s="198"/>
      <c r="BC32" s="199"/>
      <c r="BD32" s="179"/>
      <c r="BE32" s="147"/>
      <c r="BF32" s="179"/>
      <c r="BG32" s="147"/>
      <c r="BH32" s="179"/>
      <c r="BI32" s="147"/>
      <c r="BJ32" s="179"/>
      <c r="BK32" s="147"/>
      <c r="BL32" s="179"/>
      <c r="BM32" s="147"/>
      <c r="BN32" s="198">
        <f t="shared" si="0"/>
        <v>18</v>
      </c>
      <c r="BO32" s="199">
        <f t="shared" si="1"/>
        <v>0</v>
      </c>
    </row>
    <row r="33" spans="1:67" ht="16.5">
      <c r="A33" s="170" t="s">
        <v>26</v>
      </c>
      <c r="B33" s="170" t="s">
        <v>31</v>
      </c>
      <c r="C33" s="172" t="s">
        <v>37</v>
      </c>
      <c r="D33" s="202"/>
      <c r="E33" s="202"/>
      <c r="F33" s="200" t="s">
        <v>679</v>
      </c>
      <c r="G33" s="202"/>
      <c r="H33" s="200" t="s">
        <v>679</v>
      </c>
      <c r="I33" s="202"/>
      <c r="J33" s="335" t="s">
        <v>679</v>
      </c>
      <c r="K33" s="336" t="s">
        <v>679</v>
      </c>
      <c r="L33" s="335" t="s">
        <v>679</v>
      </c>
      <c r="M33" s="336" t="s">
        <v>679</v>
      </c>
      <c r="N33" s="200" t="s">
        <v>679</v>
      </c>
      <c r="O33" s="202"/>
      <c r="P33" s="200" t="s">
        <v>679</v>
      </c>
      <c r="Q33" s="202"/>
      <c r="R33" s="200" t="s">
        <v>679</v>
      </c>
      <c r="S33" s="202"/>
      <c r="T33" s="200" t="s">
        <v>679</v>
      </c>
      <c r="U33" s="202"/>
      <c r="V33" s="200" t="s">
        <v>679</v>
      </c>
      <c r="W33" s="202"/>
      <c r="X33" s="337">
        <v>0.3840277777777778</v>
      </c>
      <c r="Y33" s="336" t="s">
        <v>679</v>
      </c>
      <c r="Z33" s="335" t="s">
        <v>679</v>
      </c>
      <c r="AA33" s="336" t="s">
        <v>679</v>
      </c>
      <c r="AB33" s="200" t="s">
        <v>679</v>
      </c>
      <c r="AC33" s="202"/>
      <c r="AD33" s="200" t="s">
        <v>679</v>
      </c>
      <c r="AE33" s="202"/>
      <c r="AF33" s="200" t="s">
        <v>679</v>
      </c>
      <c r="AG33" s="202"/>
      <c r="AH33" s="200" t="s">
        <v>679</v>
      </c>
      <c r="AI33" s="202"/>
      <c r="AJ33" s="200" t="s">
        <v>679</v>
      </c>
      <c r="AK33" s="202"/>
      <c r="AL33" s="335" t="s">
        <v>679</v>
      </c>
      <c r="AM33" s="336" t="s">
        <v>679</v>
      </c>
      <c r="AN33" s="335" t="s">
        <v>679</v>
      </c>
      <c r="AO33" s="336" t="s">
        <v>679</v>
      </c>
      <c r="AP33" s="200" t="s">
        <v>679</v>
      </c>
      <c r="AQ33" s="202"/>
      <c r="AR33" s="200" t="s">
        <v>679</v>
      </c>
      <c r="AS33" s="202"/>
      <c r="AT33" s="200" t="s">
        <v>679</v>
      </c>
      <c r="AU33" s="202"/>
      <c r="AV33" s="200" t="s">
        <v>679</v>
      </c>
      <c r="AW33" s="202"/>
      <c r="AX33" s="200" t="s">
        <v>679</v>
      </c>
      <c r="AY33" s="202"/>
      <c r="AZ33" s="198"/>
      <c r="BA33" s="199"/>
      <c r="BB33" s="198"/>
      <c r="BC33" s="199"/>
      <c r="BD33" s="179"/>
      <c r="BE33" s="147"/>
      <c r="BF33" s="179"/>
      <c r="BG33" s="147"/>
      <c r="BH33" s="179"/>
      <c r="BI33" s="147"/>
      <c r="BJ33" s="179"/>
      <c r="BK33" s="147"/>
      <c r="BL33" s="179"/>
      <c r="BM33" s="147"/>
      <c r="BN33" s="198">
        <f t="shared" si="0"/>
        <v>18</v>
      </c>
      <c r="BO33" s="199">
        <f t="shared" si="1"/>
        <v>0</v>
      </c>
    </row>
    <row r="34" spans="1:67" ht="16.5">
      <c r="A34" s="170" t="s">
        <v>26</v>
      </c>
      <c r="B34" s="170" t="s">
        <v>31</v>
      </c>
      <c r="C34" s="172" t="s">
        <v>38</v>
      </c>
      <c r="D34" s="205" t="s">
        <v>679</v>
      </c>
      <c r="E34" s="205" t="s">
        <v>679</v>
      </c>
      <c r="F34" s="204" t="s">
        <v>679</v>
      </c>
      <c r="G34" s="205" t="s">
        <v>679</v>
      </c>
      <c r="H34" s="204" t="s">
        <v>679</v>
      </c>
      <c r="I34" s="205" t="s">
        <v>679</v>
      </c>
      <c r="J34" s="339" t="s">
        <v>679</v>
      </c>
      <c r="K34" s="340" t="s">
        <v>679</v>
      </c>
      <c r="L34" s="339" t="s">
        <v>679</v>
      </c>
      <c r="M34" s="340" t="s">
        <v>679</v>
      </c>
      <c r="N34" s="204" t="s">
        <v>679</v>
      </c>
      <c r="O34" s="205" t="s">
        <v>679</v>
      </c>
      <c r="P34" s="204" t="s">
        <v>679</v>
      </c>
      <c r="Q34" s="205" t="s">
        <v>679</v>
      </c>
      <c r="R34" s="204" t="s">
        <v>679</v>
      </c>
      <c r="S34" s="205" t="s">
        <v>679</v>
      </c>
      <c r="T34" s="204" t="s">
        <v>679</v>
      </c>
      <c r="U34" s="205" t="s">
        <v>679</v>
      </c>
      <c r="V34" s="204" t="s">
        <v>679</v>
      </c>
      <c r="W34" s="205" t="s">
        <v>679</v>
      </c>
      <c r="X34" s="342">
        <v>0.40416666666666667</v>
      </c>
      <c r="Y34" s="340" t="s">
        <v>679</v>
      </c>
      <c r="Z34" s="339" t="s">
        <v>679</v>
      </c>
      <c r="AA34" s="340" t="s">
        <v>679</v>
      </c>
      <c r="AB34" s="204" t="s">
        <v>679</v>
      </c>
      <c r="AC34" s="205" t="s">
        <v>679</v>
      </c>
      <c r="AD34" s="204" t="s">
        <v>679</v>
      </c>
      <c r="AE34" s="205" t="s">
        <v>679</v>
      </c>
      <c r="AF34" s="204" t="s">
        <v>679</v>
      </c>
      <c r="AG34" s="205" t="s">
        <v>679</v>
      </c>
      <c r="AH34" s="204" t="s">
        <v>679</v>
      </c>
      <c r="AI34" s="205" t="s">
        <v>679</v>
      </c>
      <c r="AJ34" s="204" t="s">
        <v>679</v>
      </c>
      <c r="AK34" s="205" t="s">
        <v>679</v>
      </c>
      <c r="AL34" s="339" t="s">
        <v>679</v>
      </c>
      <c r="AM34" s="340" t="s">
        <v>679</v>
      </c>
      <c r="AN34" s="339" t="s">
        <v>679</v>
      </c>
      <c r="AO34" s="340" t="s">
        <v>679</v>
      </c>
      <c r="AP34" s="204" t="s">
        <v>679</v>
      </c>
      <c r="AQ34" s="205" t="s">
        <v>679</v>
      </c>
      <c r="AR34" s="204" t="s">
        <v>679</v>
      </c>
      <c r="AS34" s="205" t="s">
        <v>679</v>
      </c>
      <c r="AT34" s="204" t="s">
        <v>679</v>
      </c>
      <c r="AU34" s="205" t="s">
        <v>679</v>
      </c>
      <c r="AV34" s="204" t="s">
        <v>679</v>
      </c>
      <c r="AW34" s="205" t="s">
        <v>679</v>
      </c>
      <c r="AX34" s="204" t="s">
        <v>679</v>
      </c>
      <c r="AY34" s="205" t="s">
        <v>679</v>
      </c>
      <c r="AZ34" s="196"/>
      <c r="BA34" s="197"/>
      <c r="BB34" s="196"/>
      <c r="BC34" s="197"/>
      <c r="BD34" s="181"/>
      <c r="BE34" s="180"/>
      <c r="BF34" s="181"/>
      <c r="BG34" s="180"/>
      <c r="BH34" s="181"/>
      <c r="BI34" s="180"/>
      <c r="BJ34" s="181"/>
      <c r="BK34" s="180"/>
      <c r="BL34" s="181"/>
      <c r="BM34" s="180"/>
      <c r="BN34" s="198">
        <f t="shared" si="0"/>
        <v>19</v>
      </c>
      <c r="BO34" s="199">
        <f t="shared" si="1"/>
        <v>18</v>
      </c>
    </row>
    <row r="35" spans="1:67" ht="16.5">
      <c r="A35" s="171" t="s">
        <v>26</v>
      </c>
      <c r="B35" s="171" t="s">
        <v>39</v>
      </c>
      <c r="C35" s="174" t="s">
        <v>40</v>
      </c>
      <c r="D35" s="207">
        <v>0.41249999999999998</v>
      </c>
      <c r="E35" s="207">
        <v>0.65277777777777779</v>
      </c>
      <c r="F35" s="206">
        <v>0.41180555555555554</v>
      </c>
      <c r="G35" s="207">
        <v>0.63749999999999996</v>
      </c>
      <c r="H35" s="204" t="s">
        <v>679</v>
      </c>
      <c r="I35" s="205" t="s">
        <v>679</v>
      </c>
      <c r="J35" s="339" t="s">
        <v>679</v>
      </c>
      <c r="K35" s="340" t="s">
        <v>679</v>
      </c>
      <c r="L35" s="339" t="s">
        <v>679</v>
      </c>
      <c r="M35" s="340" t="s">
        <v>679</v>
      </c>
      <c r="N35" s="206">
        <v>0.37222222222222223</v>
      </c>
      <c r="O35" s="207">
        <v>0.66111111111111109</v>
      </c>
      <c r="P35" s="206">
        <v>0.37638888888888888</v>
      </c>
      <c r="Q35" s="207">
        <v>0.64513888888888893</v>
      </c>
      <c r="R35" s="206">
        <v>0.40277777777777779</v>
      </c>
      <c r="S35" s="207">
        <v>0.65416666666666667</v>
      </c>
      <c r="T35" s="206">
        <v>0.37986111111111109</v>
      </c>
      <c r="U35" s="207">
        <v>0.65</v>
      </c>
      <c r="V35" s="206">
        <v>0.38611111111111113</v>
      </c>
      <c r="W35" s="207">
        <v>0.65902777777777777</v>
      </c>
      <c r="X35" s="342">
        <v>0.40694444444444444</v>
      </c>
      <c r="Y35" s="340" t="s">
        <v>679</v>
      </c>
      <c r="Z35" s="339" t="s">
        <v>679</v>
      </c>
      <c r="AA35" s="340" t="s">
        <v>679</v>
      </c>
      <c r="AB35" s="206">
        <v>0.38611111111111113</v>
      </c>
      <c r="AC35" s="207">
        <v>0.64861111111111114</v>
      </c>
      <c r="AD35" s="206">
        <v>0.3840277777777778</v>
      </c>
      <c r="AE35" s="207">
        <v>0.68263888888888891</v>
      </c>
      <c r="AF35" s="206">
        <v>0.39583333333333331</v>
      </c>
      <c r="AG35" s="207">
        <v>0.61805555555555558</v>
      </c>
      <c r="AH35" s="206">
        <v>0.39444444444444443</v>
      </c>
      <c r="AI35" s="207">
        <v>0.65833333333333333</v>
      </c>
      <c r="AJ35" s="206">
        <v>0.38958333333333334</v>
      </c>
      <c r="AK35" s="207">
        <v>0.65</v>
      </c>
      <c r="AL35" s="339" t="s">
        <v>679</v>
      </c>
      <c r="AM35" s="340" t="s">
        <v>679</v>
      </c>
      <c r="AN35" s="339" t="s">
        <v>679</v>
      </c>
      <c r="AO35" s="340" t="s">
        <v>679</v>
      </c>
      <c r="AP35" s="206">
        <v>0.38611111111111113</v>
      </c>
      <c r="AQ35" s="207">
        <v>0.6645833333333333</v>
      </c>
      <c r="AR35" s="206">
        <v>0.40069444444444446</v>
      </c>
      <c r="AS35" s="207">
        <v>0.69374999999999998</v>
      </c>
      <c r="AT35" s="206">
        <v>0.38541666666666669</v>
      </c>
      <c r="AU35" s="207">
        <v>0.61388888888888893</v>
      </c>
      <c r="AV35" s="206">
        <v>0.38472222222222224</v>
      </c>
      <c r="AW35" s="205" t="s">
        <v>679</v>
      </c>
      <c r="AX35" s="204" t="s">
        <v>679</v>
      </c>
      <c r="AY35" s="205" t="s">
        <v>679</v>
      </c>
      <c r="AZ35" s="196"/>
      <c r="BA35" s="197"/>
      <c r="BB35" s="196"/>
      <c r="BC35" s="197"/>
      <c r="BD35" s="181"/>
      <c r="BE35" s="180"/>
      <c r="BF35" s="181"/>
      <c r="BG35" s="180"/>
      <c r="BH35" s="181"/>
      <c r="BI35" s="180"/>
      <c r="BJ35" s="181"/>
      <c r="BK35" s="180"/>
      <c r="BL35" s="181"/>
      <c r="BM35" s="180"/>
      <c r="BN35" s="198">
        <f t="shared" si="0"/>
        <v>19</v>
      </c>
      <c r="BO35" s="199">
        <f t="shared" si="1"/>
        <v>18</v>
      </c>
    </row>
    <row r="36" spans="1:67" ht="16.5">
      <c r="A36" s="169" t="s">
        <v>43</v>
      </c>
      <c r="B36" s="169" t="s">
        <v>44</v>
      </c>
      <c r="C36" s="175" t="s">
        <v>45</v>
      </c>
      <c r="D36" s="207">
        <v>0.37222222222222223</v>
      </c>
      <c r="E36" s="207">
        <v>0.62986111111111109</v>
      </c>
      <c r="F36" s="206">
        <v>0.3611111111111111</v>
      </c>
      <c r="G36" s="207">
        <v>0.62222222222222223</v>
      </c>
      <c r="H36" s="206">
        <v>0.35416666666666669</v>
      </c>
      <c r="I36" s="207">
        <v>0.71388888888888891</v>
      </c>
      <c r="J36" s="342">
        <v>0.40555555555555556</v>
      </c>
      <c r="K36" s="340" t="s">
        <v>679</v>
      </c>
      <c r="L36" s="339" t="s">
        <v>679</v>
      </c>
      <c r="M36" s="340" t="s">
        <v>679</v>
      </c>
      <c r="N36" s="206">
        <v>0.38680555555555557</v>
      </c>
      <c r="O36" s="207">
        <v>0.62638888888888888</v>
      </c>
      <c r="P36" s="206">
        <v>0.36319444444444443</v>
      </c>
      <c r="Q36" s="207">
        <v>0.64513888888888893</v>
      </c>
      <c r="R36" s="206">
        <v>0.37430555555555556</v>
      </c>
      <c r="S36" s="207">
        <v>0.64652777777777781</v>
      </c>
      <c r="T36" s="206">
        <v>0.36180555555555555</v>
      </c>
      <c r="U36" s="207">
        <v>0.62847222222222221</v>
      </c>
      <c r="V36" s="206">
        <v>0.35347222222222224</v>
      </c>
      <c r="W36" s="207">
        <v>0.67847222222222225</v>
      </c>
      <c r="X36" s="339" t="s">
        <v>679</v>
      </c>
      <c r="Y36" s="340" t="s">
        <v>679</v>
      </c>
      <c r="Z36" s="339" t="s">
        <v>679</v>
      </c>
      <c r="AA36" s="340" t="s">
        <v>679</v>
      </c>
      <c r="AB36" s="206">
        <v>0.36180555555555555</v>
      </c>
      <c r="AC36" s="207">
        <v>0.63194444444444442</v>
      </c>
      <c r="AD36" s="206">
        <v>0.36249999999999999</v>
      </c>
      <c r="AE36" s="207">
        <v>0.67708333333333337</v>
      </c>
      <c r="AF36" s="206">
        <v>0.35694444444444445</v>
      </c>
      <c r="AG36" s="207">
        <v>0.66319444444444442</v>
      </c>
      <c r="AH36" s="206">
        <v>0.35972222222222222</v>
      </c>
      <c r="AI36" s="207">
        <v>0.63124999999999998</v>
      </c>
      <c r="AJ36" s="206">
        <v>0.35972222222222222</v>
      </c>
      <c r="AK36" s="207">
        <v>0.62638888888888888</v>
      </c>
      <c r="AL36" s="339" t="s">
        <v>679</v>
      </c>
      <c r="AM36" s="340" t="s">
        <v>679</v>
      </c>
      <c r="AN36" s="339" t="s">
        <v>679</v>
      </c>
      <c r="AO36" s="340" t="s">
        <v>679</v>
      </c>
      <c r="AP36" s="206">
        <v>0.35625000000000001</v>
      </c>
      <c r="AQ36" s="207">
        <v>0.64027777777777772</v>
      </c>
      <c r="AR36" s="206">
        <v>0.34375</v>
      </c>
      <c r="AS36" s="207">
        <v>0.67361111111111116</v>
      </c>
      <c r="AT36" s="206">
        <v>0.35902777777777778</v>
      </c>
      <c r="AU36" s="207">
        <v>0.63611111111111107</v>
      </c>
      <c r="AV36" s="206">
        <v>0.36666666666666664</v>
      </c>
      <c r="AW36" s="205" t="s">
        <v>679</v>
      </c>
      <c r="AX36" s="204" t="s">
        <v>679</v>
      </c>
      <c r="AY36" s="205" t="s">
        <v>679</v>
      </c>
      <c r="AZ36" s="196"/>
      <c r="BA36" s="197"/>
      <c r="BB36" s="196"/>
      <c r="BC36" s="197"/>
      <c r="BD36" s="181"/>
      <c r="BE36" s="180"/>
      <c r="BF36" s="181"/>
      <c r="BG36" s="180"/>
      <c r="BH36" s="181"/>
      <c r="BI36" s="180"/>
      <c r="BJ36" s="181"/>
      <c r="BK36" s="180"/>
      <c r="BL36" s="181"/>
      <c r="BM36" s="180"/>
      <c r="BN36" s="198">
        <f t="shared" si="0"/>
        <v>19</v>
      </c>
      <c r="BO36" s="199">
        <f t="shared" si="1"/>
        <v>18</v>
      </c>
    </row>
    <row r="37" spans="1:67" ht="16.5">
      <c r="A37" s="169" t="s">
        <v>43</v>
      </c>
      <c r="B37" s="169" t="s">
        <v>46</v>
      </c>
      <c r="C37" s="175" t="s">
        <v>47</v>
      </c>
      <c r="D37" s="203">
        <v>0.37083333333333335</v>
      </c>
      <c r="E37" s="203">
        <v>0.63541666666666663</v>
      </c>
      <c r="F37" s="206">
        <v>0.36319444444444443</v>
      </c>
      <c r="G37" s="207">
        <v>0.61944444444444446</v>
      </c>
      <c r="H37" s="201">
        <v>0.36666666666666664</v>
      </c>
      <c r="I37" s="203">
        <v>0.63055555555555554</v>
      </c>
      <c r="J37" s="339" t="s">
        <v>679</v>
      </c>
      <c r="K37" s="340" t="s">
        <v>679</v>
      </c>
      <c r="L37" s="339" t="s">
        <v>679</v>
      </c>
      <c r="M37" s="340" t="s">
        <v>679</v>
      </c>
      <c r="N37" s="206">
        <v>0.36388888888888887</v>
      </c>
      <c r="O37" s="207">
        <v>0.65902777777777777</v>
      </c>
      <c r="P37" s="206">
        <v>0.36944444444444446</v>
      </c>
      <c r="Q37" s="207">
        <v>0.62013888888888891</v>
      </c>
      <c r="R37" s="206">
        <v>0.35902777777777778</v>
      </c>
      <c r="S37" s="207">
        <v>0.62847222222222221</v>
      </c>
      <c r="T37" s="206">
        <v>0.3611111111111111</v>
      </c>
      <c r="U37" s="207">
        <v>0.62777777777777777</v>
      </c>
      <c r="V37" s="206">
        <v>0.35833333333333334</v>
      </c>
      <c r="W37" s="207">
        <v>0.63541666666666663</v>
      </c>
      <c r="X37" s="339" t="s">
        <v>679</v>
      </c>
      <c r="Y37" s="340" t="s">
        <v>679</v>
      </c>
      <c r="Z37" s="339" t="s">
        <v>679</v>
      </c>
      <c r="AA37" s="340" t="s">
        <v>679</v>
      </c>
      <c r="AB37" s="206">
        <v>0.36041666666666666</v>
      </c>
      <c r="AC37" s="207">
        <v>0.63124999999999998</v>
      </c>
      <c r="AD37" s="206">
        <v>0.36458333333333331</v>
      </c>
      <c r="AE37" s="207">
        <v>0.66597222222222219</v>
      </c>
      <c r="AF37" s="204" t="s">
        <v>679</v>
      </c>
      <c r="AG37" s="205" t="s">
        <v>679</v>
      </c>
      <c r="AH37" s="204" t="s">
        <v>679</v>
      </c>
      <c r="AI37" s="205" t="s">
        <v>679</v>
      </c>
      <c r="AJ37" s="204" t="s">
        <v>679</v>
      </c>
      <c r="AK37" s="205" t="s">
        <v>679</v>
      </c>
      <c r="AL37" s="339" t="s">
        <v>679</v>
      </c>
      <c r="AM37" s="340" t="s">
        <v>679</v>
      </c>
      <c r="AN37" s="339" t="s">
        <v>679</v>
      </c>
      <c r="AO37" s="340" t="s">
        <v>679</v>
      </c>
      <c r="AP37" s="204" t="s">
        <v>679</v>
      </c>
      <c r="AQ37" s="205" t="s">
        <v>679</v>
      </c>
      <c r="AR37" s="206">
        <v>0.36041666666666666</v>
      </c>
      <c r="AS37" s="207">
        <v>0.63749999999999996</v>
      </c>
      <c r="AT37" s="206">
        <v>0.35902777777777778</v>
      </c>
      <c r="AU37" s="207">
        <v>0.63194444444444442</v>
      </c>
      <c r="AV37" s="206">
        <v>0.35972222222222222</v>
      </c>
      <c r="AW37" s="205" t="s">
        <v>679</v>
      </c>
      <c r="AX37" s="204" t="s">
        <v>679</v>
      </c>
      <c r="AY37" s="205" t="s">
        <v>679</v>
      </c>
      <c r="AZ37" s="196"/>
      <c r="BA37" s="197"/>
      <c r="BB37" s="196"/>
      <c r="BC37" s="197"/>
      <c r="BD37" s="181"/>
      <c r="BE37" s="180"/>
      <c r="BF37" s="181"/>
      <c r="BG37" s="180"/>
      <c r="BH37" s="181"/>
      <c r="BI37" s="180"/>
      <c r="BJ37" s="181"/>
      <c r="BK37" s="180"/>
      <c r="BL37" s="181"/>
      <c r="BM37" s="180"/>
      <c r="BN37" s="198">
        <f t="shared" si="0"/>
        <v>19</v>
      </c>
      <c r="BO37" s="199">
        <f t="shared" si="1"/>
        <v>18</v>
      </c>
    </row>
    <row r="38" spans="1:67" ht="16.5">
      <c r="A38" s="170" t="s">
        <v>43</v>
      </c>
      <c r="B38" s="170" t="s">
        <v>48</v>
      </c>
      <c r="C38" s="170" t="s">
        <v>49</v>
      </c>
      <c r="D38" s="345">
        <v>0.38611111111111113</v>
      </c>
      <c r="E38" s="346">
        <v>0.6694444444444444</v>
      </c>
      <c r="F38" s="203">
        <v>0.37222222222222223</v>
      </c>
      <c r="G38" s="203">
        <v>0.69027777777777777</v>
      </c>
      <c r="H38" s="345">
        <v>0.3972222222222222</v>
      </c>
      <c r="I38" s="346">
        <v>0.64861111111111114</v>
      </c>
      <c r="J38" s="338">
        <v>0.3840277777777778</v>
      </c>
      <c r="K38" s="336" t="s">
        <v>679</v>
      </c>
      <c r="L38" s="335" t="s">
        <v>679</v>
      </c>
      <c r="M38" s="336" t="s">
        <v>679</v>
      </c>
      <c r="N38" s="201">
        <v>0.37083333333333335</v>
      </c>
      <c r="O38" s="203">
        <v>0.67777777777777781</v>
      </c>
      <c r="P38" s="201">
        <v>0.37291666666666667</v>
      </c>
      <c r="Q38" s="203">
        <v>0.65347222222222223</v>
      </c>
      <c r="R38" s="201">
        <v>0.39097222222222222</v>
      </c>
      <c r="S38" s="203">
        <v>0.65138888888888891</v>
      </c>
      <c r="T38" s="201">
        <v>0.36736111111111114</v>
      </c>
      <c r="U38" s="203">
        <v>0.68819444444444444</v>
      </c>
      <c r="V38" s="201">
        <v>0.48888888888888887</v>
      </c>
      <c r="W38" s="203">
        <v>0.77986111111111112</v>
      </c>
      <c r="X38" s="337">
        <v>0.3923611111111111</v>
      </c>
      <c r="Y38" s="336" t="s">
        <v>679</v>
      </c>
      <c r="Z38" s="335" t="s">
        <v>679</v>
      </c>
      <c r="AA38" s="336" t="s">
        <v>679</v>
      </c>
      <c r="AB38" s="201">
        <v>0.38611111111111113</v>
      </c>
      <c r="AC38" s="203">
        <v>0.66666666666666663</v>
      </c>
      <c r="AD38" s="201">
        <v>0.41388888888888886</v>
      </c>
      <c r="AE38" s="203">
        <v>0.66388888888888886</v>
      </c>
      <c r="AF38" s="200" t="s">
        <v>679</v>
      </c>
      <c r="AG38" s="202"/>
      <c r="AH38" s="200" t="s">
        <v>679</v>
      </c>
      <c r="AI38" s="203">
        <v>0.65138888888888891</v>
      </c>
      <c r="AJ38" s="200" t="s">
        <v>679</v>
      </c>
      <c r="AK38" s="202"/>
      <c r="AL38" s="337">
        <v>0.36041666666666666</v>
      </c>
      <c r="AM38" s="338">
        <v>0.53263888888888888</v>
      </c>
      <c r="AN38" s="335" t="s">
        <v>679</v>
      </c>
      <c r="AO38" s="336" t="s">
        <v>679</v>
      </c>
      <c r="AP38" s="201">
        <v>0.38541666666666669</v>
      </c>
      <c r="AQ38" s="203">
        <v>0.68402777777777779</v>
      </c>
      <c r="AR38" s="201">
        <v>0.38472222222222224</v>
      </c>
      <c r="AS38" s="203">
        <v>0.6645833333333333</v>
      </c>
      <c r="AT38" s="201">
        <v>0.40625</v>
      </c>
      <c r="AU38" s="203">
        <v>0.5541666666666667</v>
      </c>
      <c r="AV38" s="201">
        <v>0.35833333333333334</v>
      </c>
      <c r="AW38" s="202"/>
      <c r="AX38" s="200" t="s">
        <v>679</v>
      </c>
      <c r="AY38" s="202"/>
      <c r="AZ38" s="198"/>
      <c r="BA38" s="199"/>
      <c r="BB38" s="198"/>
      <c r="BC38" s="199"/>
      <c r="BD38" s="179"/>
      <c r="BE38" s="147"/>
      <c r="BF38" s="179"/>
      <c r="BG38" s="147"/>
      <c r="BH38" s="179"/>
      <c r="BI38" s="147"/>
      <c r="BJ38" s="179"/>
      <c r="BK38" s="147"/>
      <c r="BL38" s="179"/>
      <c r="BM38" s="147"/>
      <c r="BN38" s="198">
        <f t="shared" si="0"/>
        <v>19</v>
      </c>
      <c r="BO38" s="199">
        <f t="shared" si="1"/>
        <v>14</v>
      </c>
    </row>
    <row r="39" spans="1:67" ht="16.5">
      <c r="A39" s="169" t="s">
        <v>43</v>
      </c>
      <c r="B39" s="169" t="s">
        <v>48</v>
      </c>
      <c r="C39" s="169" t="s">
        <v>50</v>
      </c>
      <c r="D39" s="204" t="s">
        <v>679</v>
      </c>
      <c r="E39" s="208" t="s">
        <v>679</v>
      </c>
      <c r="F39" s="205" t="s">
        <v>679</v>
      </c>
      <c r="G39" s="205" t="s">
        <v>679</v>
      </c>
      <c r="H39" s="204" t="s">
        <v>679</v>
      </c>
      <c r="I39" s="208" t="s">
        <v>679</v>
      </c>
      <c r="J39" s="340" t="s">
        <v>679</v>
      </c>
      <c r="K39" s="340" t="s">
        <v>679</v>
      </c>
      <c r="L39" s="339" t="s">
        <v>679</v>
      </c>
      <c r="M39" s="340" t="s">
        <v>679</v>
      </c>
      <c r="N39" s="204" t="s">
        <v>679</v>
      </c>
      <c r="O39" s="205" t="s">
        <v>679</v>
      </c>
      <c r="P39" s="204" t="s">
        <v>679</v>
      </c>
      <c r="Q39" s="205" t="s">
        <v>679</v>
      </c>
      <c r="R39" s="204" t="s">
        <v>679</v>
      </c>
      <c r="S39" s="205" t="s">
        <v>679</v>
      </c>
      <c r="T39" s="204" t="s">
        <v>679</v>
      </c>
      <c r="U39" s="205" t="s">
        <v>679</v>
      </c>
      <c r="V39" s="204" t="s">
        <v>679</v>
      </c>
      <c r="W39" s="205" t="s">
        <v>679</v>
      </c>
      <c r="X39" s="339" t="s">
        <v>679</v>
      </c>
      <c r="Y39" s="340" t="s">
        <v>679</v>
      </c>
      <c r="Z39" s="339" t="s">
        <v>679</v>
      </c>
      <c r="AA39" s="340" t="s">
        <v>679</v>
      </c>
      <c r="AB39" s="204" t="s">
        <v>679</v>
      </c>
      <c r="AC39" s="205" t="s">
        <v>679</v>
      </c>
      <c r="AD39" s="204" t="s">
        <v>679</v>
      </c>
      <c r="AE39" s="205" t="s">
        <v>679</v>
      </c>
      <c r="AF39" s="204" t="s">
        <v>679</v>
      </c>
      <c r="AG39" s="205" t="s">
        <v>679</v>
      </c>
      <c r="AH39" s="204" t="s">
        <v>679</v>
      </c>
      <c r="AI39" s="205" t="s">
        <v>679</v>
      </c>
      <c r="AJ39" s="204" t="s">
        <v>679</v>
      </c>
      <c r="AK39" s="205" t="s">
        <v>679</v>
      </c>
      <c r="AL39" s="339" t="s">
        <v>679</v>
      </c>
      <c r="AM39" s="340" t="s">
        <v>679</v>
      </c>
      <c r="AN39" s="339" t="s">
        <v>679</v>
      </c>
      <c r="AO39" s="340" t="s">
        <v>679</v>
      </c>
      <c r="AP39" s="204" t="s">
        <v>679</v>
      </c>
      <c r="AQ39" s="205" t="s">
        <v>679</v>
      </c>
      <c r="AR39" s="204" t="s">
        <v>679</v>
      </c>
      <c r="AS39" s="205" t="s">
        <v>679</v>
      </c>
      <c r="AT39" s="204" t="s">
        <v>679</v>
      </c>
      <c r="AU39" s="205" t="s">
        <v>679</v>
      </c>
      <c r="AV39" s="204" t="s">
        <v>679</v>
      </c>
      <c r="AW39" s="205" t="s">
        <v>679</v>
      </c>
      <c r="AX39" s="204" t="s">
        <v>679</v>
      </c>
      <c r="AY39" s="205" t="s">
        <v>679</v>
      </c>
      <c r="AZ39" s="196"/>
      <c r="BA39" s="197"/>
      <c r="BB39" s="196"/>
      <c r="BC39" s="197"/>
      <c r="BD39" s="181"/>
      <c r="BE39" s="180"/>
      <c r="BF39" s="181"/>
      <c r="BG39" s="180"/>
      <c r="BH39" s="181"/>
      <c r="BI39" s="180"/>
      <c r="BJ39" s="181"/>
      <c r="BK39" s="180"/>
      <c r="BL39" s="181"/>
      <c r="BM39" s="180"/>
      <c r="BN39" s="198">
        <f t="shared" si="0"/>
        <v>19</v>
      </c>
      <c r="BO39" s="199">
        <f t="shared" si="1"/>
        <v>18</v>
      </c>
    </row>
    <row r="40" spans="1:67" ht="16.5">
      <c r="A40" s="170" t="s">
        <v>43</v>
      </c>
      <c r="B40" s="170" t="s">
        <v>51</v>
      </c>
      <c r="C40" s="172" t="s">
        <v>52</v>
      </c>
      <c r="D40" s="203">
        <v>0.35555555555555557</v>
      </c>
      <c r="E40" s="203">
        <v>0.68611111111111112</v>
      </c>
      <c r="F40" s="201">
        <v>0.34930555555555554</v>
      </c>
      <c r="G40" s="203">
        <v>0.62916666666666665</v>
      </c>
      <c r="H40" s="201">
        <v>0.35833333333333334</v>
      </c>
      <c r="I40" s="203">
        <v>0.62916666666666665</v>
      </c>
      <c r="J40" s="337">
        <v>0.34375</v>
      </c>
      <c r="K40" s="336" t="s">
        <v>679</v>
      </c>
      <c r="L40" s="335" t="s">
        <v>679</v>
      </c>
      <c r="M40" s="336" t="s">
        <v>679</v>
      </c>
      <c r="N40" s="201">
        <v>0.37708333333333333</v>
      </c>
      <c r="O40" s="203">
        <v>0.6381944444444444</v>
      </c>
      <c r="P40" s="201">
        <v>0.35555555555555557</v>
      </c>
      <c r="Q40" s="203">
        <v>0.65</v>
      </c>
      <c r="R40" s="201">
        <v>0.35416666666666669</v>
      </c>
      <c r="S40" s="202"/>
      <c r="T40" s="201">
        <v>0.35416666666666669</v>
      </c>
      <c r="U40" s="203">
        <v>0.62847222222222221</v>
      </c>
      <c r="V40" s="201">
        <v>0.35347222222222224</v>
      </c>
      <c r="W40" s="203">
        <v>0.64583333333333337</v>
      </c>
      <c r="X40" s="335" t="s">
        <v>679</v>
      </c>
      <c r="Y40" s="336" t="s">
        <v>679</v>
      </c>
      <c r="Z40" s="335" t="s">
        <v>679</v>
      </c>
      <c r="AA40" s="336" t="s">
        <v>679</v>
      </c>
      <c r="AB40" s="201">
        <v>0.3527777777777778</v>
      </c>
      <c r="AC40" s="203">
        <v>0.64097222222222228</v>
      </c>
      <c r="AD40" s="200" t="s">
        <v>679</v>
      </c>
      <c r="AE40" s="203">
        <v>0.6479166666666667</v>
      </c>
      <c r="AF40" s="201">
        <v>0.38194444444444442</v>
      </c>
      <c r="AG40" s="203">
        <v>0.63055555555555554</v>
      </c>
      <c r="AH40" s="201">
        <v>0.35416666666666669</v>
      </c>
      <c r="AI40" s="203">
        <v>0.63402777777777775</v>
      </c>
      <c r="AJ40" s="201">
        <v>0.34861111111111109</v>
      </c>
      <c r="AK40" s="203">
        <v>0.6381944444444444</v>
      </c>
      <c r="AL40" s="335" t="s">
        <v>679</v>
      </c>
      <c r="AM40" s="336" t="s">
        <v>679</v>
      </c>
      <c r="AN40" s="335" t="s">
        <v>679</v>
      </c>
      <c r="AO40" s="336" t="s">
        <v>679</v>
      </c>
      <c r="AP40" s="201">
        <v>0.36527777777777776</v>
      </c>
      <c r="AQ40" s="203">
        <v>0.65069444444444446</v>
      </c>
      <c r="AR40" s="201">
        <v>0.34861111111111109</v>
      </c>
      <c r="AS40" s="203">
        <v>0.64652777777777781</v>
      </c>
      <c r="AT40" s="201">
        <v>0.35069444444444442</v>
      </c>
      <c r="AU40" s="203">
        <v>0.56111111111111112</v>
      </c>
      <c r="AV40" s="201">
        <v>0.33958333333333335</v>
      </c>
      <c r="AW40" s="202"/>
      <c r="AX40" s="200" t="s">
        <v>679</v>
      </c>
      <c r="AY40" s="202"/>
      <c r="AZ40" s="198"/>
      <c r="BA40" s="199"/>
      <c r="BB40" s="198"/>
      <c r="BC40" s="199"/>
      <c r="BD40" s="179"/>
      <c r="BE40" s="147"/>
      <c r="BF40" s="179"/>
      <c r="BG40" s="147"/>
      <c r="BH40" s="179"/>
      <c r="BI40" s="147"/>
      <c r="BJ40" s="179"/>
      <c r="BK40" s="147"/>
      <c r="BL40" s="179"/>
      <c r="BM40" s="147"/>
      <c r="BN40" s="198">
        <f t="shared" si="0"/>
        <v>19</v>
      </c>
      <c r="BO40" s="199">
        <f t="shared" si="1"/>
        <v>15</v>
      </c>
    </row>
    <row r="41" spans="1:67" ht="16.5">
      <c r="A41" s="169" t="s">
        <v>43</v>
      </c>
      <c r="B41" s="169" t="s">
        <v>51</v>
      </c>
      <c r="C41" s="175" t="s">
        <v>53</v>
      </c>
      <c r="D41" s="205" t="s">
        <v>679</v>
      </c>
      <c r="E41" s="205" t="s">
        <v>679</v>
      </c>
      <c r="F41" s="204" t="s">
        <v>679</v>
      </c>
      <c r="G41" s="205" t="s">
        <v>679</v>
      </c>
      <c r="H41" s="204" t="s">
        <v>679</v>
      </c>
      <c r="I41" s="205" t="s">
        <v>679</v>
      </c>
      <c r="J41" s="339" t="s">
        <v>679</v>
      </c>
      <c r="K41" s="340" t="s">
        <v>679</v>
      </c>
      <c r="L41" s="339" t="s">
        <v>679</v>
      </c>
      <c r="M41" s="340" t="s">
        <v>679</v>
      </c>
      <c r="N41" s="204" t="s">
        <v>679</v>
      </c>
      <c r="O41" s="205" t="s">
        <v>679</v>
      </c>
      <c r="P41" s="204" t="s">
        <v>679</v>
      </c>
      <c r="Q41" s="205" t="s">
        <v>679</v>
      </c>
      <c r="R41" s="204" t="s">
        <v>679</v>
      </c>
      <c r="S41" s="205" t="s">
        <v>679</v>
      </c>
      <c r="T41" s="204" t="s">
        <v>679</v>
      </c>
      <c r="U41" s="205" t="s">
        <v>679</v>
      </c>
      <c r="V41" s="204" t="s">
        <v>679</v>
      </c>
      <c r="W41" s="205" t="s">
        <v>679</v>
      </c>
      <c r="X41" s="342">
        <v>0.54513888888888884</v>
      </c>
      <c r="Y41" s="340" t="s">
        <v>679</v>
      </c>
      <c r="Z41" s="339" t="s">
        <v>679</v>
      </c>
      <c r="AA41" s="340" t="s">
        <v>679</v>
      </c>
      <c r="AB41" s="204" t="s">
        <v>679</v>
      </c>
      <c r="AC41" s="205" t="s">
        <v>679</v>
      </c>
      <c r="AD41" s="204" t="s">
        <v>679</v>
      </c>
      <c r="AE41" s="205" t="s">
        <v>679</v>
      </c>
      <c r="AF41" s="204" t="s">
        <v>679</v>
      </c>
      <c r="AG41" s="205" t="s">
        <v>679</v>
      </c>
      <c r="AH41" s="204" t="s">
        <v>679</v>
      </c>
      <c r="AI41" s="205" t="s">
        <v>679</v>
      </c>
      <c r="AJ41" s="204" t="s">
        <v>679</v>
      </c>
      <c r="AK41" s="205" t="s">
        <v>679</v>
      </c>
      <c r="AL41" s="339" t="s">
        <v>679</v>
      </c>
      <c r="AM41" s="340" t="s">
        <v>679</v>
      </c>
      <c r="AN41" s="339" t="s">
        <v>679</v>
      </c>
      <c r="AO41" s="340" t="s">
        <v>679</v>
      </c>
      <c r="AP41" s="204" t="s">
        <v>679</v>
      </c>
      <c r="AQ41" s="205" t="s">
        <v>679</v>
      </c>
      <c r="AR41" s="204" t="s">
        <v>679</v>
      </c>
      <c r="AS41" s="205" t="s">
        <v>679</v>
      </c>
      <c r="AT41" s="204" t="s">
        <v>679</v>
      </c>
      <c r="AU41" s="205" t="s">
        <v>679</v>
      </c>
      <c r="AV41" s="204" t="s">
        <v>679</v>
      </c>
      <c r="AW41" s="205" t="s">
        <v>679</v>
      </c>
      <c r="AX41" s="204" t="s">
        <v>679</v>
      </c>
      <c r="AY41" s="205" t="s">
        <v>679</v>
      </c>
      <c r="AZ41" s="196"/>
      <c r="BA41" s="197"/>
      <c r="BB41" s="196"/>
      <c r="BC41" s="197"/>
      <c r="BD41" s="181"/>
      <c r="BE41" s="180"/>
      <c r="BF41" s="181"/>
      <c r="BG41" s="180"/>
      <c r="BH41" s="181"/>
      <c r="BI41" s="180"/>
      <c r="BJ41" s="181"/>
      <c r="BK41" s="180"/>
      <c r="BL41" s="181"/>
      <c r="BM41" s="180"/>
      <c r="BN41" s="198">
        <f t="shared" si="0"/>
        <v>19</v>
      </c>
      <c r="BO41" s="199">
        <f t="shared" si="1"/>
        <v>18</v>
      </c>
    </row>
    <row r="42" spans="1:67" ht="16.5">
      <c r="A42" s="169" t="s">
        <v>43</v>
      </c>
      <c r="B42" s="169" t="s">
        <v>54</v>
      </c>
      <c r="C42" s="175" t="s">
        <v>55</v>
      </c>
      <c r="D42" s="207">
        <v>0.33680555555555558</v>
      </c>
      <c r="E42" s="207">
        <v>0.64236111111111116</v>
      </c>
      <c r="F42" s="206">
        <v>0.34513888888888888</v>
      </c>
      <c r="G42" s="207">
        <v>0.61250000000000004</v>
      </c>
      <c r="H42" s="206">
        <v>0.33402777777777776</v>
      </c>
      <c r="I42" s="207">
        <v>0.62638888888888888</v>
      </c>
      <c r="J42" s="342">
        <v>0.39166666666666666</v>
      </c>
      <c r="K42" s="340" t="s">
        <v>679</v>
      </c>
      <c r="L42" s="339" t="s">
        <v>679</v>
      </c>
      <c r="M42" s="340" t="s">
        <v>679</v>
      </c>
      <c r="N42" s="206">
        <v>0.33194444444444443</v>
      </c>
      <c r="O42" s="207">
        <v>0.62013888888888891</v>
      </c>
      <c r="P42" s="206">
        <v>0.34027777777777779</v>
      </c>
      <c r="Q42" s="207">
        <v>0.62361111111111112</v>
      </c>
      <c r="R42" s="206">
        <v>0.35625000000000001</v>
      </c>
      <c r="S42" s="207">
        <v>0.64027777777777772</v>
      </c>
      <c r="T42" s="206">
        <v>0.37361111111111112</v>
      </c>
      <c r="U42" s="207">
        <v>0.63888888888888884</v>
      </c>
      <c r="V42" s="206">
        <v>0.36388888888888887</v>
      </c>
      <c r="W42" s="207">
        <v>0.63472222222222219</v>
      </c>
      <c r="X42" s="339" t="s">
        <v>679</v>
      </c>
      <c r="Y42" s="340" t="s">
        <v>679</v>
      </c>
      <c r="Z42" s="339" t="s">
        <v>679</v>
      </c>
      <c r="AA42" s="340" t="s">
        <v>679</v>
      </c>
      <c r="AB42" s="206">
        <v>0.33611111111111114</v>
      </c>
      <c r="AC42" s="207">
        <v>0.62847222222222221</v>
      </c>
      <c r="AD42" s="206">
        <v>0.32777777777777778</v>
      </c>
      <c r="AE42" s="207">
        <v>0.50902777777777775</v>
      </c>
      <c r="AF42" s="206">
        <v>0.33124999999999999</v>
      </c>
      <c r="AG42" s="207">
        <v>0.58819444444444446</v>
      </c>
      <c r="AH42" s="206">
        <v>0.37569444444444444</v>
      </c>
      <c r="AI42" s="207">
        <v>0.62708333333333333</v>
      </c>
      <c r="AJ42" s="206">
        <v>0.33750000000000002</v>
      </c>
      <c r="AK42" s="207">
        <v>0.64236111111111116</v>
      </c>
      <c r="AL42" s="339" t="s">
        <v>679</v>
      </c>
      <c r="AM42" s="340" t="s">
        <v>679</v>
      </c>
      <c r="AN42" s="339" t="s">
        <v>679</v>
      </c>
      <c r="AO42" s="340" t="s">
        <v>679</v>
      </c>
      <c r="AP42" s="206">
        <v>0.3298611111111111</v>
      </c>
      <c r="AQ42" s="207">
        <v>0.63055555555555554</v>
      </c>
      <c r="AR42" s="206">
        <v>0.33541666666666664</v>
      </c>
      <c r="AS42" s="207">
        <v>0.63263888888888886</v>
      </c>
      <c r="AT42" s="206">
        <v>0.33055555555555555</v>
      </c>
      <c r="AU42" s="207">
        <v>0.62708333333333333</v>
      </c>
      <c r="AV42" s="206">
        <v>0.34097222222222223</v>
      </c>
      <c r="AW42" s="205" t="s">
        <v>679</v>
      </c>
      <c r="AX42" s="204" t="s">
        <v>679</v>
      </c>
      <c r="AY42" s="205" t="s">
        <v>679</v>
      </c>
      <c r="AZ42" s="196"/>
      <c r="BA42" s="197"/>
      <c r="BB42" s="196"/>
      <c r="BC42" s="197"/>
      <c r="BD42" s="181"/>
      <c r="BE42" s="180"/>
      <c r="BF42" s="181"/>
      <c r="BG42" s="180"/>
      <c r="BH42" s="181"/>
      <c r="BI42" s="180"/>
      <c r="BJ42" s="181"/>
      <c r="BK42" s="180"/>
      <c r="BL42" s="181"/>
      <c r="BM42" s="180"/>
      <c r="BN42" s="198">
        <f t="shared" si="0"/>
        <v>19</v>
      </c>
      <c r="BO42" s="199">
        <f t="shared" si="1"/>
        <v>18</v>
      </c>
    </row>
    <row r="43" spans="1:67" ht="16.5">
      <c r="A43" s="170" t="s">
        <v>56</v>
      </c>
      <c r="B43" s="170" t="s">
        <v>57</v>
      </c>
      <c r="C43" s="172" t="s">
        <v>58</v>
      </c>
      <c r="D43" s="203">
        <v>0.46736111111111112</v>
      </c>
      <c r="E43" s="203">
        <v>0.77083333333333337</v>
      </c>
      <c r="F43" s="200" t="s">
        <v>679</v>
      </c>
      <c r="G43" s="202"/>
      <c r="H43" s="200" t="s">
        <v>679</v>
      </c>
      <c r="I43" s="202"/>
      <c r="J43" s="335" t="s">
        <v>679</v>
      </c>
      <c r="K43" s="336" t="s">
        <v>679</v>
      </c>
      <c r="L43" s="335" t="s">
        <v>679</v>
      </c>
      <c r="M43" s="336" t="s">
        <v>679</v>
      </c>
      <c r="N43" s="201">
        <v>0.38263888888888886</v>
      </c>
      <c r="O43" s="203">
        <v>0.74305555555555558</v>
      </c>
      <c r="P43" s="200" t="s">
        <v>679</v>
      </c>
      <c r="Q43" s="203">
        <v>0.65486111111111112</v>
      </c>
      <c r="R43" s="200" t="s">
        <v>679</v>
      </c>
      <c r="S43" s="203">
        <v>0.64652777777777781</v>
      </c>
      <c r="T43" s="200" t="s">
        <v>679</v>
      </c>
      <c r="U43" s="203">
        <v>0.70972222222222225</v>
      </c>
      <c r="V43" s="200" t="s">
        <v>679</v>
      </c>
      <c r="W43" s="203">
        <v>0.64444444444444449</v>
      </c>
      <c r="X43" s="337">
        <v>0.37013888888888891</v>
      </c>
      <c r="Y43" s="336" t="s">
        <v>679</v>
      </c>
      <c r="Z43" s="335" t="s">
        <v>679</v>
      </c>
      <c r="AA43" s="336" t="s">
        <v>679</v>
      </c>
      <c r="AB43" s="200" t="s">
        <v>679</v>
      </c>
      <c r="AC43" s="203">
        <v>0.59513888888888888</v>
      </c>
      <c r="AD43" s="201">
        <v>0.46666666666666667</v>
      </c>
      <c r="AE43" s="203">
        <v>0.74305555555555558</v>
      </c>
      <c r="AF43" s="201">
        <v>0.37152777777777779</v>
      </c>
      <c r="AG43" s="203">
        <v>0.72569444444444442</v>
      </c>
      <c r="AH43" s="200" t="s">
        <v>679</v>
      </c>
      <c r="AI43" s="202"/>
      <c r="AJ43" s="200" t="s">
        <v>679</v>
      </c>
      <c r="AK43" s="203">
        <v>0.70763888888888893</v>
      </c>
      <c r="AL43" s="337">
        <v>0.38472222222222224</v>
      </c>
      <c r="AM43" s="336" t="s">
        <v>679</v>
      </c>
      <c r="AN43" s="335" t="s">
        <v>679</v>
      </c>
      <c r="AO43" s="336" t="s">
        <v>679</v>
      </c>
      <c r="AP43" s="201">
        <v>0.4513888888888889</v>
      </c>
      <c r="AQ43" s="203">
        <v>0.6958333333333333</v>
      </c>
      <c r="AR43" s="201">
        <v>0.42986111111111114</v>
      </c>
      <c r="AS43" s="203">
        <v>0.6333333333333333</v>
      </c>
      <c r="AT43" s="201">
        <v>0.43055555555555558</v>
      </c>
      <c r="AU43" s="203">
        <v>0.64513888888888893</v>
      </c>
      <c r="AV43" s="200" t="s">
        <v>679</v>
      </c>
      <c r="AW43" s="202"/>
      <c r="AX43" s="200" t="s">
        <v>679</v>
      </c>
      <c r="AY43" s="202"/>
      <c r="AZ43" s="198"/>
      <c r="BA43" s="199"/>
      <c r="BB43" s="198"/>
      <c r="BC43" s="199"/>
      <c r="BD43" s="179"/>
      <c r="BE43" s="147"/>
      <c r="BF43" s="179"/>
      <c r="BG43" s="147"/>
      <c r="BH43" s="179"/>
      <c r="BI43" s="147"/>
      <c r="BJ43" s="179"/>
      <c r="BK43" s="147"/>
      <c r="BL43" s="179"/>
      <c r="BM43" s="147"/>
      <c r="BN43" s="198">
        <f t="shared" si="0"/>
        <v>19</v>
      </c>
      <c r="BO43" s="199">
        <f t="shared" si="1"/>
        <v>13</v>
      </c>
    </row>
    <row r="44" spans="1:67" ht="16.5">
      <c r="A44" s="169" t="s">
        <v>56</v>
      </c>
      <c r="B44" s="169" t="s">
        <v>57</v>
      </c>
      <c r="C44" s="175" t="s">
        <v>59</v>
      </c>
      <c r="D44" s="205" t="s">
        <v>679</v>
      </c>
      <c r="E44" s="205" t="s">
        <v>679</v>
      </c>
      <c r="F44" s="204" t="s">
        <v>679</v>
      </c>
      <c r="G44" s="205" t="s">
        <v>679</v>
      </c>
      <c r="H44" s="204" t="s">
        <v>679</v>
      </c>
      <c r="I44" s="205" t="s">
        <v>679</v>
      </c>
      <c r="J44" s="339" t="s">
        <v>679</v>
      </c>
      <c r="K44" s="340" t="s">
        <v>679</v>
      </c>
      <c r="L44" s="339" t="s">
        <v>679</v>
      </c>
      <c r="M44" s="340" t="s">
        <v>679</v>
      </c>
      <c r="N44" s="204" t="s">
        <v>679</v>
      </c>
      <c r="O44" s="205" t="s">
        <v>679</v>
      </c>
      <c r="P44" s="204" t="s">
        <v>679</v>
      </c>
      <c r="Q44" s="205" t="s">
        <v>679</v>
      </c>
      <c r="R44" s="204" t="s">
        <v>679</v>
      </c>
      <c r="S44" s="205" t="s">
        <v>679</v>
      </c>
      <c r="T44" s="204" t="s">
        <v>679</v>
      </c>
      <c r="U44" s="205" t="s">
        <v>679</v>
      </c>
      <c r="V44" s="204" t="s">
        <v>679</v>
      </c>
      <c r="W44" s="205" t="s">
        <v>679</v>
      </c>
      <c r="X44" s="339" t="s">
        <v>679</v>
      </c>
      <c r="Y44" s="340" t="s">
        <v>679</v>
      </c>
      <c r="Z44" s="339" t="s">
        <v>679</v>
      </c>
      <c r="AA44" s="340" t="s">
        <v>679</v>
      </c>
      <c r="AB44" s="204" t="s">
        <v>679</v>
      </c>
      <c r="AC44" s="205" t="s">
        <v>679</v>
      </c>
      <c r="AD44" s="204" t="s">
        <v>679</v>
      </c>
      <c r="AE44" s="205" t="s">
        <v>679</v>
      </c>
      <c r="AF44" s="204" t="s">
        <v>679</v>
      </c>
      <c r="AG44" s="205" t="s">
        <v>679</v>
      </c>
      <c r="AH44" s="204" t="s">
        <v>679</v>
      </c>
      <c r="AI44" s="205" t="s">
        <v>679</v>
      </c>
      <c r="AJ44" s="204" t="s">
        <v>679</v>
      </c>
      <c r="AK44" s="205" t="s">
        <v>679</v>
      </c>
      <c r="AL44" s="339" t="s">
        <v>679</v>
      </c>
      <c r="AM44" s="340" t="s">
        <v>679</v>
      </c>
      <c r="AN44" s="339" t="s">
        <v>679</v>
      </c>
      <c r="AO44" s="340" t="s">
        <v>679</v>
      </c>
      <c r="AP44" s="204" t="s">
        <v>679</v>
      </c>
      <c r="AQ44" s="205" t="s">
        <v>679</v>
      </c>
      <c r="AR44" s="204" t="s">
        <v>679</v>
      </c>
      <c r="AS44" s="205" t="s">
        <v>679</v>
      </c>
      <c r="AT44" s="204" t="s">
        <v>679</v>
      </c>
      <c r="AU44" s="205" t="s">
        <v>679</v>
      </c>
      <c r="AV44" s="204" t="s">
        <v>679</v>
      </c>
      <c r="AW44" s="205" t="s">
        <v>679</v>
      </c>
      <c r="AX44" s="204" t="s">
        <v>679</v>
      </c>
      <c r="AY44" s="205" t="s">
        <v>679</v>
      </c>
      <c r="AZ44" s="196"/>
      <c r="BA44" s="197"/>
      <c r="BB44" s="196"/>
      <c r="BC44" s="197"/>
      <c r="BD44" s="181"/>
      <c r="BE44" s="180"/>
      <c r="BF44" s="181"/>
      <c r="BG44" s="180"/>
      <c r="BH44" s="181"/>
      <c r="BI44" s="180"/>
      <c r="BJ44" s="181"/>
      <c r="BK44" s="180"/>
      <c r="BL44" s="181"/>
      <c r="BM44" s="180"/>
      <c r="BN44" s="198">
        <f t="shared" si="0"/>
        <v>19</v>
      </c>
      <c r="BO44" s="199">
        <f t="shared" si="1"/>
        <v>18</v>
      </c>
    </row>
    <row r="45" spans="1:67" ht="16.5">
      <c r="A45" s="170" t="s">
        <v>56</v>
      </c>
      <c r="B45" s="170" t="s">
        <v>729</v>
      </c>
      <c r="C45" s="172" t="s">
        <v>61</v>
      </c>
      <c r="D45" s="203">
        <v>0.35208333333333336</v>
      </c>
      <c r="E45" s="203">
        <v>0.70833333333333337</v>
      </c>
      <c r="F45" s="201">
        <v>0.41041666666666665</v>
      </c>
      <c r="G45" s="202"/>
      <c r="H45" s="201">
        <v>0.36180555555555555</v>
      </c>
      <c r="I45" s="203">
        <v>0.67569444444444449</v>
      </c>
      <c r="J45" s="337">
        <v>0.38680555555555557</v>
      </c>
      <c r="K45" s="336" t="s">
        <v>679</v>
      </c>
      <c r="L45" s="335" t="s">
        <v>679</v>
      </c>
      <c r="M45" s="336" t="s">
        <v>679</v>
      </c>
      <c r="N45" s="201">
        <v>0.36388888888888887</v>
      </c>
      <c r="O45" s="203">
        <v>0.69027777777777777</v>
      </c>
      <c r="P45" s="201">
        <v>0.36666666666666664</v>
      </c>
      <c r="Q45" s="203">
        <v>0.63888888888888884</v>
      </c>
      <c r="R45" s="201">
        <v>0.375</v>
      </c>
      <c r="S45" s="203">
        <v>0.66666666666666663</v>
      </c>
      <c r="T45" s="201">
        <v>0.37152777777777779</v>
      </c>
      <c r="U45" s="347">
        <v>0.62916666666666665</v>
      </c>
      <c r="V45" s="201">
        <v>0.37638888888888888</v>
      </c>
      <c r="W45" s="203">
        <v>0.66388888888888886</v>
      </c>
      <c r="X45" s="335" t="s">
        <v>679</v>
      </c>
      <c r="Y45" s="336" t="s">
        <v>679</v>
      </c>
      <c r="Z45" s="335" t="s">
        <v>679</v>
      </c>
      <c r="AA45" s="336" t="s">
        <v>679</v>
      </c>
      <c r="AB45" s="201">
        <v>0.36458333333333331</v>
      </c>
      <c r="AC45" s="203">
        <v>0.6694444444444444</v>
      </c>
      <c r="AD45" s="201">
        <v>0.37569444444444444</v>
      </c>
      <c r="AE45" s="203">
        <v>0.7368055555555556</v>
      </c>
      <c r="AF45" s="201">
        <v>0.41805555555555557</v>
      </c>
      <c r="AG45" s="203">
        <v>0.63055555555555554</v>
      </c>
      <c r="AH45" s="201">
        <v>0.35208333333333336</v>
      </c>
      <c r="AI45" s="203">
        <v>0.63958333333333328</v>
      </c>
      <c r="AJ45" s="201">
        <v>0.37361111111111112</v>
      </c>
      <c r="AK45" s="203">
        <v>0.64652777777777781</v>
      </c>
      <c r="AL45" s="335" t="s">
        <v>679</v>
      </c>
      <c r="AM45" s="336" t="s">
        <v>679</v>
      </c>
      <c r="AN45" s="335" t="s">
        <v>679</v>
      </c>
      <c r="AO45" s="336" t="s">
        <v>679</v>
      </c>
      <c r="AP45" s="201">
        <v>0.37083333333333335</v>
      </c>
      <c r="AQ45" s="203">
        <v>0.68402777777777779</v>
      </c>
      <c r="AR45" s="201">
        <v>0.37638888888888888</v>
      </c>
      <c r="AS45" s="203">
        <v>0.69027777777777777</v>
      </c>
      <c r="AT45" s="201">
        <v>0.41249999999999998</v>
      </c>
      <c r="AU45" s="203">
        <v>0.75347222222222221</v>
      </c>
      <c r="AV45" s="201">
        <v>0.37777777777777777</v>
      </c>
      <c r="AW45" s="202"/>
      <c r="AX45" s="200" t="s">
        <v>679</v>
      </c>
      <c r="AY45" s="202"/>
      <c r="AZ45" s="198"/>
      <c r="BA45" s="199"/>
      <c r="BB45" s="198"/>
      <c r="BC45" s="199"/>
      <c r="BD45" s="179"/>
      <c r="BE45" s="147"/>
      <c r="BF45" s="179"/>
      <c r="BG45" s="147"/>
      <c r="BH45" s="179"/>
      <c r="BI45" s="147"/>
      <c r="BJ45" s="179"/>
      <c r="BK45" s="147"/>
      <c r="BL45" s="179"/>
      <c r="BM45" s="147"/>
      <c r="BN45" s="198">
        <f t="shared" si="0"/>
        <v>19</v>
      </c>
      <c r="BO45" s="199">
        <f t="shared" si="1"/>
        <v>15</v>
      </c>
    </row>
    <row r="46" spans="1:67" ht="16.5">
      <c r="A46" s="169" t="s">
        <v>56</v>
      </c>
      <c r="B46" s="169" t="s">
        <v>729</v>
      </c>
      <c r="C46" s="175" t="s">
        <v>62</v>
      </c>
      <c r="D46" s="205" t="s">
        <v>679</v>
      </c>
      <c r="E46" s="205" t="s">
        <v>679</v>
      </c>
      <c r="F46" s="204" t="s">
        <v>679</v>
      </c>
      <c r="G46" s="205" t="s">
        <v>679</v>
      </c>
      <c r="H46" s="204" t="s">
        <v>679</v>
      </c>
      <c r="I46" s="205" t="s">
        <v>679</v>
      </c>
      <c r="J46" s="339" t="s">
        <v>679</v>
      </c>
      <c r="K46" s="340" t="s">
        <v>679</v>
      </c>
      <c r="L46" s="339" t="s">
        <v>679</v>
      </c>
      <c r="M46" s="340" t="s">
        <v>679</v>
      </c>
      <c r="N46" s="204" t="s">
        <v>679</v>
      </c>
      <c r="O46" s="205" t="s">
        <v>679</v>
      </c>
      <c r="P46" s="204" t="s">
        <v>679</v>
      </c>
      <c r="Q46" s="205" t="s">
        <v>679</v>
      </c>
      <c r="R46" s="204" t="s">
        <v>679</v>
      </c>
      <c r="S46" s="205" t="s">
        <v>679</v>
      </c>
      <c r="T46" s="204" t="s">
        <v>679</v>
      </c>
      <c r="U46" s="205" t="s">
        <v>679</v>
      </c>
      <c r="V46" s="204" t="s">
        <v>679</v>
      </c>
      <c r="W46" s="205" t="s">
        <v>679</v>
      </c>
      <c r="X46" s="339" t="s">
        <v>679</v>
      </c>
      <c r="Y46" s="340" t="s">
        <v>679</v>
      </c>
      <c r="Z46" s="339" t="s">
        <v>679</v>
      </c>
      <c r="AA46" s="340" t="s">
        <v>679</v>
      </c>
      <c r="AB46" s="204" t="s">
        <v>679</v>
      </c>
      <c r="AC46" s="205" t="s">
        <v>679</v>
      </c>
      <c r="AD46" s="204" t="s">
        <v>679</v>
      </c>
      <c r="AE46" s="205" t="s">
        <v>679</v>
      </c>
      <c r="AF46" s="204" t="s">
        <v>679</v>
      </c>
      <c r="AG46" s="205" t="s">
        <v>679</v>
      </c>
      <c r="AH46" s="204" t="s">
        <v>679</v>
      </c>
      <c r="AI46" s="205" t="s">
        <v>679</v>
      </c>
      <c r="AJ46" s="204" t="s">
        <v>679</v>
      </c>
      <c r="AK46" s="205" t="s">
        <v>679</v>
      </c>
      <c r="AL46" s="339" t="s">
        <v>679</v>
      </c>
      <c r="AM46" s="340" t="s">
        <v>679</v>
      </c>
      <c r="AN46" s="339" t="s">
        <v>679</v>
      </c>
      <c r="AO46" s="340" t="s">
        <v>679</v>
      </c>
      <c r="AP46" s="204" t="s">
        <v>679</v>
      </c>
      <c r="AQ46" s="205" t="s">
        <v>679</v>
      </c>
      <c r="AR46" s="204" t="s">
        <v>679</v>
      </c>
      <c r="AS46" s="205" t="s">
        <v>679</v>
      </c>
      <c r="AT46" s="204" t="s">
        <v>679</v>
      </c>
      <c r="AU46" s="205" t="s">
        <v>679</v>
      </c>
      <c r="AV46" s="204" t="s">
        <v>679</v>
      </c>
      <c r="AW46" s="205" t="s">
        <v>679</v>
      </c>
      <c r="AX46" s="204" t="s">
        <v>679</v>
      </c>
      <c r="AY46" s="205" t="s">
        <v>679</v>
      </c>
      <c r="AZ46" s="196"/>
      <c r="BA46" s="197"/>
      <c r="BB46" s="196"/>
      <c r="BC46" s="197"/>
      <c r="BD46" s="181"/>
      <c r="BE46" s="180"/>
      <c r="BF46" s="181"/>
      <c r="BG46" s="180"/>
      <c r="BH46" s="181"/>
      <c r="BI46" s="180"/>
      <c r="BJ46" s="181"/>
      <c r="BK46" s="180"/>
      <c r="BL46" s="181"/>
      <c r="BM46" s="180"/>
      <c r="BN46" s="198">
        <f t="shared" si="0"/>
        <v>19</v>
      </c>
      <c r="BO46" s="199">
        <f t="shared" si="1"/>
        <v>18</v>
      </c>
    </row>
    <row r="47" spans="1:67" ht="16.5">
      <c r="A47" s="170" t="s">
        <v>56</v>
      </c>
      <c r="B47" s="170" t="s">
        <v>60</v>
      </c>
      <c r="C47" s="172" t="s">
        <v>64</v>
      </c>
      <c r="D47" s="203">
        <v>0.39791666666666664</v>
      </c>
      <c r="E47" s="203">
        <v>0.70902777777777781</v>
      </c>
      <c r="F47" s="201">
        <v>0.39444444444444443</v>
      </c>
      <c r="G47" s="203">
        <v>0.69374999999999998</v>
      </c>
      <c r="H47" s="201">
        <v>0.39444444444444443</v>
      </c>
      <c r="I47" s="203">
        <v>0.66111111111111109</v>
      </c>
      <c r="J47" s="335" t="s">
        <v>679</v>
      </c>
      <c r="K47" s="336" t="s">
        <v>679</v>
      </c>
      <c r="L47" s="335" t="s">
        <v>679</v>
      </c>
      <c r="M47" s="336" t="s">
        <v>679</v>
      </c>
      <c r="N47" s="201">
        <v>0.37083333333333335</v>
      </c>
      <c r="O47" s="203">
        <v>0.62986111111111109</v>
      </c>
      <c r="P47" s="200" t="s">
        <v>679</v>
      </c>
      <c r="Q47" s="202"/>
      <c r="R47" s="201">
        <v>0.41875000000000001</v>
      </c>
      <c r="S47" s="203">
        <v>0.65833333333333333</v>
      </c>
      <c r="T47" s="201">
        <v>0.37361111111111112</v>
      </c>
      <c r="U47" s="209">
        <v>0.64236111111111116</v>
      </c>
      <c r="V47" s="203">
        <v>0.42986111111111114</v>
      </c>
      <c r="W47" s="203">
        <v>0.6694444444444444</v>
      </c>
      <c r="X47" s="335" t="s">
        <v>679</v>
      </c>
      <c r="Y47" s="336" t="s">
        <v>679</v>
      </c>
      <c r="Z47" s="335" t="s">
        <v>679</v>
      </c>
      <c r="AA47" s="348" t="s">
        <v>679</v>
      </c>
      <c r="AB47" s="203">
        <v>0.3888888888888889</v>
      </c>
      <c r="AC47" s="203">
        <v>0.69861111111111107</v>
      </c>
      <c r="AD47" s="200" t="s">
        <v>679</v>
      </c>
      <c r="AE47" s="202"/>
      <c r="AF47" s="201">
        <v>0.4</v>
      </c>
      <c r="AG47" s="203">
        <v>0.68263888888888891</v>
      </c>
      <c r="AH47" s="201">
        <v>0.39861111111111114</v>
      </c>
      <c r="AI47" s="203">
        <v>0.64930555555555558</v>
      </c>
      <c r="AJ47" s="201">
        <v>0.37430555555555556</v>
      </c>
      <c r="AK47" s="203">
        <v>0.63194444444444442</v>
      </c>
      <c r="AL47" s="335" t="s">
        <v>679</v>
      </c>
      <c r="AM47" s="336" t="s">
        <v>679</v>
      </c>
      <c r="AN47" s="335" t="s">
        <v>679</v>
      </c>
      <c r="AO47" s="336" t="s">
        <v>679</v>
      </c>
      <c r="AP47" s="201">
        <v>0.40138888888888891</v>
      </c>
      <c r="AQ47" s="203">
        <v>0.69166666666666665</v>
      </c>
      <c r="AR47" s="201">
        <v>0.42291666666666666</v>
      </c>
      <c r="AS47" s="203">
        <v>0.69027777777777777</v>
      </c>
      <c r="AT47" s="201">
        <v>0.3840277777777778</v>
      </c>
      <c r="AU47" s="203">
        <v>0.65486111111111112</v>
      </c>
      <c r="AV47" s="201">
        <v>0.37569444444444444</v>
      </c>
      <c r="AW47" s="202"/>
      <c r="AX47" s="200" t="s">
        <v>679</v>
      </c>
      <c r="AY47" s="202"/>
      <c r="AZ47" s="198"/>
      <c r="BA47" s="199"/>
      <c r="BB47" s="198"/>
      <c r="BC47" s="199"/>
      <c r="BD47" s="179"/>
      <c r="BE47" s="147"/>
      <c r="BF47" s="179"/>
      <c r="BG47" s="147"/>
      <c r="BH47" s="179"/>
      <c r="BI47" s="147"/>
      <c r="BJ47" s="179"/>
      <c r="BK47" s="147"/>
      <c r="BL47" s="179"/>
      <c r="BM47" s="147"/>
      <c r="BN47" s="198">
        <f t="shared" si="0"/>
        <v>19</v>
      </c>
      <c r="BO47" s="199">
        <f t="shared" si="1"/>
        <v>14</v>
      </c>
    </row>
    <row r="48" spans="1:67" ht="16.5">
      <c r="A48" s="169" t="s">
        <v>56</v>
      </c>
      <c r="B48" s="169" t="s">
        <v>60</v>
      </c>
      <c r="C48" s="175" t="s">
        <v>65</v>
      </c>
      <c r="D48" s="205" t="s">
        <v>679</v>
      </c>
      <c r="E48" s="205" t="s">
        <v>679</v>
      </c>
      <c r="F48" s="204" t="s">
        <v>679</v>
      </c>
      <c r="G48" s="205" t="s">
        <v>679</v>
      </c>
      <c r="H48" s="204" t="s">
        <v>679</v>
      </c>
      <c r="I48" s="205" t="s">
        <v>679</v>
      </c>
      <c r="J48" s="339" t="s">
        <v>679</v>
      </c>
      <c r="K48" s="340" t="s">
        <v>679</v>
      </c>
      <c r="L48" s="339" t="s">
        <v>679</v>
      </c>
      <c r="M48" s="340" t="s">
        <v>679</v>
      </c>
      <c r="N48" s="204" t="s">
        <v>679</v>
      </c>
      <c r="O48" s="205" t="s">
        <v>679</v>
      </c>
      <c r="P48" s="204" t="s">
        <v>679</v>
      </c>
      <c r="Q48" s="205" t="s">
        <v>679</v>
      </c>
      <c r="R48" s="204" t="s">
        <v>679</v>
      </c>
      <c r="S48" s="205" t="s">
        <v>679</v>
      </c>
      <c r="T48" s="204" t="s">
        <v>679</v>
      </c>
      <c r="U48" s="205" t="s">
        <v>679</v>
      </c>
      <c r="V48" s="204" t="s">
        <v>679</v>
      </c>
      <c r="W48" s="205" t="s">
        <v>679</v>
      </c>
      <c r="X48" s="342">
        <v>0.35694444444444445</v>
      </c>
      <c r="Y48" s="340" t="s">
        <v>679</v>
      </c>
      <c r="Z48" s="339" t="s">
        <v>679</v>
      </c>
      <c r="AA48" s="340" t="s">
        <v>679</v>
      </c>
      <c r="AB48" s="204" t="s">
        <v>679</v>
      </c>
      <c r="AC48" s="205" t="s">
        <v>679</v>
      </c>
      <c r="AD48" s="204" t="s">
        <v>679</v>
      </c>
      <c r="AE48" s="205" t="s">
        <v>679</v>
      </c>
      <c r="AF48" s="204" t="s">
        <v>679</v>
      </c>
      <c r="AG48" s="205" t="s">
        <v>679</v>
      </c>
      <c r="AH48" s="204" t="s">
        <v>679</v>
      </c>
      <c r="AI48" s="205" t="s">
        <v>679</v>
      </c>
      <c r="AJ48" s="204" t="s">
        <v>679</v>
      </c>
      <c r="AK48" s="205" t="s">
        <v>679</v>
      </c>
      <c r="AL48" s="339" t="s">
        <v>679</v>
      </c>
      <c r="AM48" s="340" t="s">
        <v>679</v>
      </c>
      <c r="AN48" s="339" t="s">
        <v>679</v>
      </c>
      <c r="AO48" s="340" t="s">
        <v>679</v>
      </c>
      <c r="AP48" s="204" t="s">
        <v>679</v>
      </c>
      <c r="AQ48" s="205" t="s">
        <v>679</v>
      </c>
      <c r="AR48" s="204" t="s">
        <v>679</v>
      </c>
      <c r="AS48" s="205" t="s">
        <v>679</v>
      </c>
      <c r="AT48" s="204" t="s">
        <v>679</v>
      </c>
      <c r="AU48" s="205" t="s">
        <v>679</v>
      </c>
      <c r="AV48" s="204" t="s">
        <v>679</v>
      </c>
      <c r="AW48" s="205" t="s">
        <v>679</v>
      </c>
      <c r="AX48" s="204" t="s">
        <v>679</v>
      </c>
      <c r="AY48" s="205" t="s">
        <v>679</v>
      </c>
      <c r="AZ48" s="196"/>
      <c r="BA48" s="197"/>
      <c r="BB48" s="196"/>
      <c r="BC48" s="197"/>
      <c r="BD48" s="181"/>
      <c r="BE48" s="180"/>
      <c r="BF48" s="181"/>
      <c r="BG48" s="180"/>
      <c r="BH48" s="181"/>
      <c r="BI48" s="180"/>
      <c r="BJ48" s="181"/>
      <c r="BK48" s="180"/>
      <c r="BL48" s="181"/>
      <c r="BM48" s="180"/>
      <c r="BN48" s="198">
        <f t="shared" si="0"/>
        <v>19</v>
      </c>
      <c r="BO48" s="199">
        <f t="shared" si="1"/>
        <v>18</v>
      </c>
    </row>
    <row r="49" spans="1:67" ht="16.5">
      <c r="A49" s="169" t="s">
        <v>56</v>
      </c>
      <c r="B49" s="169" t="s">
        <v>695</v>
      </c>
      <c r="C49" s="175" t="s">
        <v>67</v>
      </c>
      <c r="D49" s="205" t="s">
        <v>679</v>
      </c>
      <c r="E49" s="205" t="s">
        <v>679</v>
      </c>
      <c r="F49" s="204" t="s">
        <v>679</v>
      </c>
      <c r="G49" s="205" t="s">
        <v>679</v>
      </c>
      <c r="H49" s="204" t="s">
        <v>679</v>
      </c>
      <c r="I49" s="205" t="s">
        <v>679</v>
      </c>
      <c r="J49" s="339" t="s">
        <v>679</v>
      </c>
      <c r="K49" s="340" t="s">
        <v>679</v>
      </c>
      <c r="L49" s="339" t="s">
        <v>679</v>
      </c>
      <c r="M49" s="340" t="s">
        <v>679</v>
      </c>
      <c r="N49" s="204" t="s">
        <v>679</v>
      </c>
      <c r="O49" s="205" t="s">
        <v>679</v>
      </c>
      <c r="P49" s="204" t="s">
        <v>679</v>
      </c>
      <c r="Q49" s="205" t="s">
        <v>679</v>
      </c>
      <c r="R49" s="204" t="s">
        <v>679</v>
      </c>
      <c r="S49" s="205" t="s">
        <v>679</v>
      </c>
      <c r="T49" s="204" t="s">
        <v>679</v>
      </c>
      <c r="U49" s="205" t="s">
        <v>679</v>
      </c>
      <c r="V49" s="206">
        <v>0.34722222222222221</v>
      </c>
      <c r="W49" s="207">
        <v>0.66666666666666663</v>
      </c>
      <c r="X49" s="339" t="s">
        <v>679</v>
      </c>
      <c r="Y49" s="340" t="s">
        <v>679</v>
      </c>
      <c r="Z49" s="339" t="s">
        <v>679</v>
      </c>
      <c r="AA49" s="340" t="s">
        <v>679</v>
      </c>
      <c r="AB49" s="206">
        <v>0.34791666666666665</v>
      </c>
      <c r="AC49" s="207">
        <v>0.61597222222222225</v>
      </c>
      <c r="AD49" s="206">
        <v>0.3611111111111111</v>
      </c>
      <c r="AE49" s="207">
        <v>0.5229166666666667</v>
      </c>
      <c r="AF49" s="206">
        <v>0.38958333333333334</v>
      </c>
      <c r="AG49" s="207">
        <v>0.65833333333333333</v>
      </c>
      <c r="AH49" s="206">
        <v>0.36319444444444443</v>
      </c>
      <c r="AI49" s="207">
        <v>0.64097222222222228</v>
      </c>
      <c r="AJ49" s="206">
        <v>0.3840277777777778</v>
      </c>
      <c r="AK49" s="205" t="s">
        <v>679</v>
      </c>
      <c r="AL49" s="342">
        <v>0.35138888888888886</v>
      </c>
      <c r="AM49" s="340" t="s">
        <v>679</v>
      </c>
      <c r="AN49" s="339" t="s">
        <v>679</v>
      </c>
      <c r="AO49" s="340" t="s">
        <v>679</v>
      </c>
      <c r="AP49" s="206">
        <v>0.33888888888888891</v>
      </c>
      <c r="AQ49" s="207">
        <v>0.69374999999999998</v>
      </c>
      <c r="AR49" s="206">
        <v>0.40694444444444444</v>
      </c>
      <c r="AS49" s="207">
        <v>0.70138888888888884</v>
      </c>
      <c r="AT49" s="206">
        <v>0.35902777777777778</v>
      </c>
      <c r="AU49" s="207">
        <v>0.66041666666666665</v>
      </c>
      <c r="AV49" s="206">
        <v>0.36041666666666666</v>
      </c>
      <c r="AW49" s="205" t="s">
        <v>679</v>
      </c>
      <c r="AX49" s="204" t="s">
        <v>679</v>
      </c>
      <c r="AY49" s="205" t="s">
        <v>679</v>
      </c>
      <c r="AZ49" s="196"/>
      <c r="BA49" s="197"/>
      <c r="BB49" s="196"/>
      <c r="BC49" s="197"/>
      <c r="BD49" s="181"/>
      <c r="BE49" s="180"/>
      <c r="BF49" s="181"/>
      <c r="BG49" s="180"/>
      <c r="BH49" s="181"/>
      <c r="BI49" s="180"/>
      <c r="BJ49" s="181"/>
      <c r="BK49" s="180"/>
      <c r="BL49" s="181"/>
      <c r="BM49" s="180"/>
      <c r="BN49" s="198">
        <f t="shared" si="0"/>
        <v>19</v>
      </c>
      <c r="BO49" s="199">
        <f t="shared" si="1"/>
        <v>18</v>
      </c>
    </row>
    <row r="50" spans="1:67" ht="16.5">
      <c r="A50" s="169" t="s">
        <v>56</v>
      </c>
      <c r="B50" s="169" t="s">
        <v>68</v>
      </c>
      <c r="C50" s="175" t="s">
        <v>69</v>
      </c>
      <c r="D50" s="207">
        <v>0.37013888888888891</v>
      </c>
      <c r="E50" s="207">
        <v>0.64027777777777772</v>
      </c>
      <c r="F50" s="206">
        <v>0.36041666666666666</v>
      </c>
      <c r="G50" s="207">
        <v>0.67847222222222225</v>
      </c>
      <c r="H50" s="206">
        <v>0.34652777777777777</v>
      </c>
      <c r="I50" s="207">
        <v>0.65138888888888891</v>
      </c>
      <c r="J50" s="339" t="s">
        <v>679</v>
      </c>
      <c r="K50" s="340" t="s">
        <v>679</v>
      </c>
      <c r="L50" s="339" t="s">
        <v>679</v>
      </c>
      <c r="M50" s="340" t="s">
        <v>679</v>
      </c>
      <c r="N50" s="206">
        <v>0.34722222222222221</v>
      </c>
      <c r="O50" s="207">
        <v>0.64097222222222228</v>
      </c>
      <c r="P50" s="206">
        <v>0.3527777777777778</v>
      </c>
      <c r="Q50" s="207">
        <v>0.64583333333333337</v>
      </c>
      <c r="R50" s="206">
        <v>0.3576388888888889</v>
      </c>
      <c r="S50" s="207">
        <v>0.63749999999999996</v>
      </c>
      <c r="T50" s="206">
        <v>0.35208333333333336</v>
      </c>
      <c r="U50" s="207">
        <v>0.64027777777777772</v>
      </c>
      <c r="V50" s="206">
        <v>0.35</v>
      </c>
      <c r="W50" s="207">
        <v>0.64097222222222228</v>
      </c>
      <c r="X50" s="342">
        <v>0.36805555555555558</v>
      </c>
      <c r="Y50" s="343">
        <v>0.48055555555555557</v>
      </c>
      <c r="Z50" s="339" t="s">
        <v>679</v>
      </c>
      <c r="AA50" s="340" t="s">
        <v>679</v>
      </c>
      <c r="AB50" s="206">
        <v>0.33750000000000002</v>
      </c>
      <c r="AC50" s="207">
        <v>0.63680555555555551</v>
      </c>
      <c r="AD50" s="206">
        <v>0.35138888888888886</v>
      </c>
      <c r="AE50" s="207">
        <v>0.64166666666666672</v>
      </c>
      <c r="AF50" s="206">
        <v>0.34722222222222221</v>
      </c>
      <c r="AG50" s="207">
        <v>0.67569444444444449</v>
      </c>
      <c r="AH50" s="206">
        <v>0.34444444444444444</v>
      </c>
      <c r="AI50" s="207">
        <v>0.69513888888888886</v>
      </c>
      <c r="AJ50" s="206">
        <v>0.38819444444444445</v>
      </c>
      <c r="AK50" s="207">
        <v>0.67361111111111116</v>
      </c>
      <c r="AL50" s="342">
        <v>0.49444444444444446</v>
      </c>
      <c r="AM50" s="340" t="s">
        <v>679</v>
      </c>
      <c r="AN50" s="339" t="s">
        <v>679</v>
      </c>
      <c r="AO50" s="340" t="s">
        <v>679</v>
      </c>
      <c r="AP50" s="206">
        <v>0.36458333333333331</v>
      </c>
      <c r="AQ50" s="207">
        <v>0.65208333333333335</v>
      </c>
      <c r="AR50" s="206">
        <v>0.35833333333333334</v>
      </c>
      <c r="AS50" s="207">
        <v>0.64236111111111116</v>
      </c>
      <c r="AT50" s="206">
        <v>0.34722222222222221</v>
      </c>
      <c r="AU50" s="207">
        <v>0.64375000000000004</v>
      </c>
      <c r="AV50" s="204" t="s">
        <v>679</v>
      </c>
      <c r="AW50" s="205" t="s">
        <v>679</v>
      </c>
      <c r="AX50" s="204" t="s">
        <v>679</v>
      </c>
      <c r="AY50" s="205" t="s">
        <v>679</v>
      </c>
      <c r="AZ50" s="196"/>
      <c r="BA50" s="197"/>
      <c r="BB50" s="196"/>
      <c r="BC50" s="197"/>
      <c r="BD50" s="181"/>
      <c r="BE50" s="180"/>
      <c r="BF50" s="181"/>
      <c r="BG50" s="180"/>
      <c r="BH50" s="181"/>
      <c r="BI50" s="180"/>
      <c r="BJ50" s="181"/>
      <c r="BK50" s="180"/>
      <c r="BL50" s="181"/>
      <c r="BM50" s="180"/>
      <c r="BN50" s="198">
        <f t="shared" si="0"/>
        <v>19</v>
      </c>
      <c r="BO50" s="199">
        <f t="shared" si="1"/>
        <v>18</v>
      </c>
    </row>
    <row r="51" spans="1:67" ht="16.5">
      <c r="A51" s="169" t="s">
        <v>56</v>
      </c>
      <c r="B51" s="169" t="s">
        <v>70</v>
      </c>
      <c r="C51" s="175" t="s">
        <v>71</v>
      </c>
      <c r="D51" s="207">
        <v>0.35069444444444442</v>
      </c>
      <c r="E51" s="207">
        <v>0.64513888888888893</v>
      </c>
      <c r="F51" s="206">
        <v>0.35833333333333334</v>
      </c>
      <c r="G51" s="207">
        <v>0.62708333333333333</v>
      </c>
      <c r="H51" s="206">
        <v>0.34861111111111109</v>
      </c>
      <c r="I51" s="207">
        <v>0.625</v>
      </c>
      <c r="J51" s="342">
        <v>0.38055555555555554</v>
      </c>
      <c r="K51" s="340" t="s">
        <v>679</v>
      </c>
      <c r="L51" s="339" t="s">
        <v>679</v>
      </c>
      <c r="M51" s="340" t="s">
        <v>679</v>
      </c>
      <c r="N51" s="206">
        <v>0.34583333333333333</v>
      </c>
      <c r="O51" s="207">
        <v>0.62430555555555556</v>
      </c>
      <c r="P51" s="206">
        <v>0.34861111111111109</v>
      </c>
      <c r="Q51" s="207">
        <v>0.62638888888888888</v>
      </c>
      <c r="R51" s="206">
        <v>0.34722222222222221</v>
      </c>
      <c r="S51" s="207">
        <v>0.63124999999999998</v>
      </c>
      <c r="T51" s="206">
        <v>0.35208333333333336</v>
      </c>
      <c r="U51" s="207">
        <v>0.63611111111111107</v>
      </c>
      <c r="V51" s="206">
        <v>0.3527777777777778</v>
      </c>
      <c r="W51" s="207">
        <v>0.63124999999999998</v>
      </c>
      <c r="X51" s="339" t="s">
        <v>679</v>
      </c>
      <c r="Y51" s="340" t="s">
        <v>679</v>
      </c>
      <c r="Z51" s="339" t="s">
        <v>679</v>
      </c>
      <c r="AA51" s="340" t="s">
        <v>679</v>
      </c>
      <c r="AB51" s="206">
        <v>0.34930555555555554</v>
      </c>
      <c r="AC51" s="207">
        <v>0.61111111111111116</v>
      </c>
      <c r="AD51" s="206">
        <v>0.35416666666666669</v>
      </c>
      <c r="AE51" s="207">
        <v>0.63472222222222219</v>
      </c>
      <c r="AF51" s="206">
        <v>0.34097222222222223</v>
      </c>
      <c r="AG51" s="207">
        <v>0.63124999999999998</v>
      </c>
      <c r="AH51" s="206">
        <v>0.35069444444444442</v>
      </c>
      <c r="AI51" s="207">
        <v>0.64513888888888893</v>
      </c>
      <c r="AJ51" s="206">
        <v>0.34930555555555554</v>
      </c>
      <c r="AK51" s="207">
        <v>0.61944444444444446</v>
      </c>
      <c r="AL51" s="339" t="s">
        <v>679</v>
      </c>
      <c r="AM51" s="340" t="s">
        <v>679</v>
      </c>
      <c r="AN51" s="339" t="s">
        <v>679</v>
      </c>
      <c r="AO51" s="340" t="s">
        <v>679</v>
      </c>
      <c r="AP51" s="206">
        <v>0.34097222222222223</v>
      </c>
      <c r="AQ51" s="207">
        <v>0.63055555555555554</v>
      </c>
      <c r="AR51" s="206">
        <v>0.34930555555555554</v>
      </c>
      <c r="AS51" s="207">
        <v>0.63611111111111107</v>
      </c>
      <c r="AT51" s="206">
        <v>0.35138888888888886</v>
      </c>
      <c r="AU51" s="207">
        <v>0.52430555555555558</v>
      </c>
      <c r="AV51" s="206">
        <v>0.35486111111111113</v>
      </c>
      <c r="AW51" s="205" t="s">
        <v>679</v>
      </c>
      <c r="AX51" s="204" t="s">
        <v>679</v>
      </c>
      <c r="AY51" s="205" t="s">
        <v>679</v>
      </c>
      <c r="AZ51" s="196"/>
      <c r="BA51" s="197"/>
      <c r="BB51" s="196"/>
      <c r="BC51" s="197"/>
      <c r="BD51" s="181"/>
      <c r="BE51" s="180"/>
      <c r="BF51" s="181"/>
      <c r="BG51" s="180"/>
      <c r="BH51" s="181"/>
      <c r="BI51" s="180"/>
      <c r="BJ51" s="181"/>
      <c r="BK51" s="180"/>
      <c r="BL51" s="181"/>
      <c r="BM51" s="180"/>
      <c r="BN51" s="198">
        <f t="shared" si="0"/>
        <v>19</v>
      </c>
      <c r="BO51" s="199">
        <f t="shared" si="1"/>
        <v>18</v>
      </c>
    </row>
    <row r="52" spans="1:67" ht="16.5">
      <c r="A52" s="170" t="s">
        <v>72</v>
      </c>
      <c r="B52" s="170" t="s">
        <v>73</v>
      </c>
      <c r="C52" s="172" t="s">
        <v>74</v>
      </c>
      <c r="D52" s="203">
        <v>0.35208333333333336</v>
      </c>
      <c r="E52" s="203">
        <v>0.66041666666666665</v>
      </c>
      <c r="F52" s="201">
        <v>0.42499999999999999</v>
      </c>
      <c r="G52" s="203">
        <v>0.66388888888888886</v>
      </c>
      <c r="H52" s="201">
        <v>0.36736111111111114</v>
      </c>
      <c r="I52" s="203">
        <v>0.62986111111111109</v>
      </c>
      <c r="J52" s="337">
        <v>0.3888888888888889</v>
      </c>
      <c r="K52" s="336" t="s">
        <v>679</v>
      </c>
      <c r="L52" s="335" t="s">
        <v>679</v>
      </c>
      <c r="M52" s="336" t="s">
        <v>679</v>
      </c>
      <c r="N52" s="201">
        <v>0.35972222222222222</v>
      </c>
      <c r="O52" s="203">
        <v>0.67638888888888893</v>
      </c>
      <c r="P52" s="201">
        <v>0.30208333333333331</v>
      </c>
      <c r="Q52" s="203">
        <v>0.64652777777777781</v>
      </c>
      <c r="R52" s="201">
        <v>0.43819444444444444</v>
      </c>
      <c r="S52" s="203">
        <v>0.65763888888888888</v>
      </c>
      <c r="T52" s="201">
        <v>0.38263888888888886</v>
      </c>
      <c r="U52" s="203">
        <v>0.65833333333333333</v>
      </c>
      <c r="V52" s="201">
        <v>0.36666666666666664</v>
      </c>
      <c r="W52" s="203">
        <v>0.63749999999999996</v>
      </c>
      <c r="X52" s="337">
        <v>0.39583333333333331</v>
      </c>
      <c r="Y52" s="336" t="s">
        <v>679</v>
      </c>
      <c r="Z52" s="335" t="s">
        <v>679</v>
      </c>
      <c r="AA52" s="336" t="s">
        <v>679</v>
      </c>
      <c r="AB52" s="201">
        <v>0.36666666666666664</v>
      </c>
      <c r="AC52" s="203">
        <v>0.67083333333333328</v>
      </c>
      <c r="AD52" s="201">
        <v>0.33333333333333331</v>
      </c>
      <c r="AE52" s="203">
        <v>0.65972222222222221</v>
      </c>
      <c r="AF52" s="201">
        <v>0.41875000000000001</v>
      </c>
      <c r="AG52" s="203">
        <v>0.6333333333333333</v>
      </c>
      <c r="AH52" s="201">
        <v>0.33958333333333335</v>
      </c>
      <c r="AI52" s="203">
        <v>0.63194444444444442</v>
      </c>
      <c r="AJ52" s="201">
        <v>0.40486111111111112</v>
      </c>
      <c r="AK52" s="203">
        <v>0.63680555555555551</v>
      </c>
      <c r="AL52" s="337">
        <v>0.38611111111111113</v>
      </c>
      <c r="AM52" s="338">
        <v>0.50277777777777777</v>
      </c>
      <c r="AN52" s="335" t="s">
        <v>679</v>
      </c>
      <c r="AO52" s="336" t="s">
        <v>679</v>
      </c>
      <c r="AP52" s="201">
        <v>0.40208333333333335</v>
      </c>
      <c r="AQ52" s="203">
        <v>0.64444444444444449</v>
      </c>
      <c r="AR52" s="201">
        <v>0.40347222222222223</v>
      </c>
      <c r="AS52" s="202"/>
      <c r="AT52" s="201">
        <v>0.37291666666666667</v>
      </c>
      <c r="AU52" s="203">
        <v>0.62152777777777779</v>
      </c>
      <c r="AV52" s="201">
        <v>0.39097222222222222</v>
      </c>
      <c r="AW52" s="202"/>
      <c r="AX52" s="200" t="s">
        <v>679</v>
      </c>
      <c r="AY52" s="202"/>
      <c r="AZ52" s="198"/>
      <c r="BA52" s="199"/>
      <c r="BB52" s="198"/>
      <c r="BC52" s="199"/>
      <c r="BD52" s="179"/>
      <c r="BE52" s="147"/>
      <c r="BF52" s="179"/>
      <c r="BG52" s="147"/>
      <c r="BH52" s="179"/>
      <c r="BI52" s="147"/>
      <c r="BJ52" s="179"/>
      <c r="BK52" s="147"/>
      <c r="BL52" s="179"/>
      <c r="BM52" s="147"/>
      <c r="BN52" s="198">
        <f t="shared" si="0"/>
        <v>19</v>
      </c>
      <c r="BO52" s="199">
        <f t="shared" si="1"/>
        <v>15</v>
      </c>
    </row>
    <row r="53" spans="1:67" ht="16.5">
      <c r="A53" s="169" t="s">
        <v>72</v>
      </c>
      <c r="B53" s="169" t="s">
        <v>73</v>
      </c>
      <c r="C53" s="175" t="s">
        <v>699</v>
      </c>
      <c r="D53" s="205" t="s">
        <v>679</v>
      </c>
      <c r="E53" s="205" t="s">
        <v>679</v>
      </c>
      <c r="F53" s="204" t="s">
        <v>679</v>
      </c>
      <c r="G53" s="205" t="s">
        <v>679</v>
      </c>
      <c r="H53" s="204" t="s">
        <v>679</v>
      </c>
      <c r="I53" s="205" t="s">
        <v>679</v>
      </c>
      <c r="J53" s="339" t="s">
        <v>679</v>
      </c>
      <c r="K53" s="340" t="s">
        <v>679</v>
      </c>
      <c r="L53" s="339" t="s">
        <v>679</v>
      </c>
      <c r="M53" s="340" t="s">
        <v>679</v>
      </c>
      <c r="N53" s="204" t="s">
        <v>679</v>
      </c>
      <c r="O53" s="205" t="s">
        <v>679</v>
      </c>
      <c r="P53" s="204" t="s">
        <v>679</v>
      </c>
      <c r="Q53" s="205" t="s">
        <v>679</v>
      </c>
      <c r="R53" s="204" t="s">
        <v>679</v>
      </c>
      <c r="S53" s="205" t="s">
        <v>679</v>
      </c>
      <c r="T53" s="204" t="s">
        <v>679</v>
      </c>
      <c r="U53" s="205" t="s">
        <v>679</v>
      </c>
      <c r="V53" s="204" t="s">
        <v>679</v>
      </c>
      <c r="W53" s="205" t="s">
        <v>679</v>
      </c>
      <c r="X53" s="339" t="s">
        <v>679</v>
      </c>
      <c r="Y53" s="340" t="s">
        <v>679</v>
      </c>
      <c r="Z53" s="339" t="s">
        <v>679</v>
      </c>
      <c r="AA53" s="340" t="s">
        <v>679</v>
      </c>
      <c r="AB53" s="204" t="s">
        <v>679</v>
      </c>
      <c r="AC53" s="205" t="s">
        <v>679</v>
      </c>
      <c r="AD53" s="204" t="s">
        <v>679</v>
      </c>
      <c r="AE53" s="205" t="s">
        <v>679</v>
      </c>
      <c r="AF53" s="204" t="s">
        <v>679</v>
      </c>
      <c r="AG53" s="205" t="s">
        <v>679</v>
      </c>
      <c r="AH53" s="204" t="s">
        <v>679</v>
      </c>
      <c r="AI53" s="205" t="s">
        <v>679</v>
      </c>
      <c r="AJ53" s="204" t="s">
        <v>679</v>
      </c>
      <c r="AK53" s="205" t="s">
        <v>679</v>
      </c>
      <c r="AL53" s="339" t="s">
        <v>679</v>
      </c>
      <c r="AM53" s="340" t="s">
        <v>679</v>
      </c>
      <c r="AN53" s="339" t="s">
        <v>679</v>
      </c>
      <c r="AO53" s="340" t="s">
        <v>679</v>
      </c>
      <c r="AP53" s="204" t="s">
        <v>679</v>
      </c>
      <c r="AQ53" s="205" t="s">
        <v>679</v>
      </c>
      <c r="AR53" s="204" t="s">
        <v>679</v>
      </c>
      <c r="AS53" s="205" t="s">
        <v>679</v>
      </c>
      <c r="AT53" s="204" t="s">
        <v>679</v>
      </c>
      <c r="AU53" s="205" t="s">
        <v>679</v>
      </c>
      <c r="AV53" s="204" t="s">
        <v>679</v>
      </c>
      <c r="AW53" s="205" t="s">
        <v>679</v>
      </c>
      <c r="AX53" s="204" t="s">
        <v>679</v>
      </c>
      <c r="AY53" s="205" t="s">
        <v>679</v>
      </c>
      <c r="AZ53" s="196"/>
      <c r="BA53" s="197"/>
      <c r="BB53" s="196"/>
      <c r="BC53" s="197"/>
      <c r="BD53" s="181"/>
      <c r="BE53" s="180"/>
      <c r="BF53" s="181"/>
      <c r="BG53" s="180"/>
      <c r="BH53" s="181"/>
      <c r="BI53" s="180"/>
      <c r="BJ53" s="181"/>
      <c r="BK53" s="180"/>
      <c r="BL53" s="181"/>
      <c r="BM53" s="180"/>
      <c r="BN53" s="198">
        <f t="shared" si="0"/>
        <v>19</v>
      </c>
      <c r="BO53" s="199">
        <f t="shared" si="1"/>
        <v>18</v>
      </c>
    </row>
    <row r="54" spans="1:67" ht="16.5">
      <c r="A54" s="170" t="s">
        <v>72</v>
      </c>
      <c r="B54" s="170" t="s">
        <v>82</v>
      </c>
      <c r="C54" s="172" t="s">
        <v>83</v>
      </c>
      <c r="D54" s="203">
        <v>0.41805555555555557</v>
      </c>
      <c r="E54" s="203">
        <v>0.68194444444444446</v>
      </c>
      <c r="F54" s="201">
        <v>0.41319444444444442</v>
      </c>
      <c r="G54" s="203">
        <v>0.6645833333333333</v>
      </c>
      <c r="H54" s="201">
        <v>0.41805555555555557</v>
      </c>
      <c r="I54" s="203">
        <v>0.64652777777777781</v>
      </c>
      <c r="J54" s="337">
        <v>0.42777777777777776</v>
      </c>
      <c r="K54" s="336" t="s">
        <v>679</v>
      </c>
      <c r="L54" s="335" t="s">
        <v>679</v>
      </c>
      <c r="M54" s="336" t="s">
        <v>679</v>
      </c>
      <c r="N54" s="201">
        <v>0.41805555555555557</v>
      </c>
      <c r="O54" s="203">
        <v>0.64652777777777781</v>
      </c>
      <c r="P54" s="201">
        <v>0.39583333333333331</v>
      </c>
      <c r="Q54" s="203">
        <v>0.68263888888888891</v>
      </c>
      <c r="R54" s="201">
        <v>0.40486111111111112</v>
      </c>
      <c r="S54" s="203">
        <v>0.64097222222222228</v>
      </c>
      <c r="T54" s="201">
        <v>0.39305555555555555</v>
      </c>
      <c r="U54" s="203">
        <v>0.64375000000000004</v>
      </c>
      <c r="V54" s="200" t="s">
        <v>679</v>
      </c>
      <c r="W54" s="202"/>
      <c r="X54" s="335" t="s">
        <v>679</v>
      </c>
      <c r="Y54" s="336" t="s">
        <v>679</v>
      </c>
      <c r="Z54" s="335" t="s">
        <v>679</v>
      </c>
      <c r="AA54" s="336" t="s">
        <v>679</v>
      </c>
      <c r="AB54" s="201">
        <v>0.4152777777777778</v>
      </c>
      <c r="AC54" s="203">
        <v>0.64652777777777781</v>
      </c>
      <c r="AD54" s="201">
        <v>0.39791666666666664</v>
      </c>
      <c r="AE54" s="203">
        <v>0.65833333333333333</v>
      </c>
      <c r="AF54" s="201">
        <v>0.38055555555555554</v>
      </c>
      <c r="AG54" s="203">
        <v>0.63263888888888886</v>
      </c>
      <c r="AH54" s="201">
        <v>0.38958333333333334</v>
      </c>
      <c r="AI54" s="203">
        <v>0.63541666666666663</v>
      </c>
      <c r="AJ54" s="201">
        <v>0.38819444444444445</v>
      </c>
      <c r="AK54" s="203">
        <v>0.63680555555555551</v>
      </c>
      <c r="AL54" s="335" t="s">
        <v>679</v>
      </c>
      <c r="AM54" s="336" t="s">
        <v>679</v>
      </c>
      <c r="AN54" s="335" t="s">
        <v>679</v>
      </c>
      <c r="AO54" s="336" t="s">
        <v>679</v>
      </c>
      <c r="AP54" s="201">
        <v>0.4</v>
      </c>
      <c r="AQ54" s="203">
        <v>0.64166666666666672</v>
      </c>
      <c r="AR54" s="201">
        <v>0.3972222222222222</v>
      </c>
      <c r="AS54" s="203">
        <v>0.62847222222222221</v>
      </c>
      <c r="AT54" s="201">
        <v>0.37916666666666665</v>
      </c>
      <c r="AU54" s="203">
        <v>0.70208333333333328</v>
      </c>
      <c r="AV54" s="201">
        <v>0.43194444444444446</v>
      </c>
      <c r="AW54" s="202"/>
      <c r="AX54" s="200" t="s">
        <v>679</v>
      </c>
      <c r="AY54" s="202"/>
      <c r="AZ54" s="198"/>
      <c r="BA54" s="199"/>
      <c r="BB54" s="198"/>
      <c r="BC54" s="199"/>
      <c r="BD54" s="179"/>
      <c r="BE54" s="147"/>
      <c r="BF54" s="179"/>
      <c r="BG54" s="147"/>
      <c r="BH54" s="179"/>
      <c r="BI54" s="147"/>
      <c r="BJ54" s="179"/>
      <c r="BK54" s="147"/>
      <c r="BL54" s="179"/>
      <c r="BM54" s="147"/>
      <c r="BN54" s="198">
        <f t="shared" si="0"/>
        <v>19</v>
      </c>
      <c r="BO54" s="199">
        <f t="shared" si="1"/>
        <v>15</v>
      </c>
    </row>
    <row r="55" spans="1:67" ht="16.5">
      <c r="A55" s="169" t="s">
        <v>72</v>
      </c>
      <c r="B55" s="169" t="s">
        <v>82</v>
      </c>
      <c r="C55" s="175" t="s">
        <v>84</v>
      </c>
      <c r="D55" s="205" t="s">
        <v>679</v>
      </c>
      <c r="E55" s="205" t="s">
        <v>679</v>
      </c>
      <c r="F55" s="204" t="s">
        <v>679</v>
      </c>
      <c r="G55" s="205" t="s">
        <v>679</v>
      </c>
      <c r="H55" s="204" t="s">
        <v>679</v>
      </c>
      <c r="I55" s="205" t="s">
        <v>679</v>
      </c>
      <c r="J55" s="339" t="s">
        <v>679</v>
      </c>
      <c r="K55" s="340" t="s">
        <v>679</v>
      </c>
      <c r="L55" s="339" t="s">
        <v>679</v>
      </c>
      <c r="M55" s="340" t="s">
        <v>679</v>
      </c>
      <c r="N55" s="204" t="s">
        <v>679</v>
      </c>
      <c r="O55" s="205" t="s">
        <v>679</v>
      </c>
      <c r="P55" s="204" t="s">
        <v>679</v>
      </c>
      <c r="Q55" s="205" t="s">
        <v>679</v>
      </c>
      <c r="R55" s="204" t="s">
        <v>679</v>
      </c>
      <c r="S55" s="205" t="s">
        <v>679</v>
      </c>
      <c r="T55" s="204" t="s">
        <v>679</v>
      </c>
      <c r="U55" s="205" t="s">
        <v>679</v>
      </c>
      <c r="V55" s="206">
        <v>0.3923611111111111</v>
      </c>
      <c r="W55" s="207">
        <v>0.65486111111111112</v>
      </c>
      <c r="X55" s="339" t="s">
        <v>679</v>
      </c>
      <c r="Y55" s="340" t="s">
        <v>679</v>
      </c>
      <c r="Z55" s="339" t="s">
        <v>679</v>
      </c>
      <c r="AA55" s="340" t="s">
        <v>679</v>
      </c>
      <c r="AB55" s="204" t="s">
        <v>679</v>
      </c>
      <c r="AC55" s="205" t="s">
        <v>679</v>
      </c>
      <c r="AD55" s="204" t="s">
        <v>679</v>
      </c>
      <c r="AE55" s="205" t="s">
        <v>679</v>
      </c>
      <c r="AF55" s="204" t="s">
        <v>679</v>
      </c>
      <c r="AG55" s="205" t="s">
        <v>679</v>
      </c>
      <c r="AH55" s="204" t="s">
        <v>679</v>
      </c>
      <c r="AI55" s="205" t="s">
        <v>679</v>
      </c>
      <c r="AJ55" s="204" t="s">
        <v>679</v>
      </c>
      <c r="AK55" s="205" t="s">
        <v>679</v>
      </c>
      <c r="AL55" s="339" t="s">
        <v>679</v>
      </c>
      <c r="AM55" s="340" t="s">
        <v>679</v>
      </c>
      <c r="AN55" s="339" t="s">
        <v>679</v>
      </c>
      <c r="AO55" s="340" t="s">
        <v>679</v>
      </c>
      <c r="AP55" s="204" t="s">
        <v>679</v>
      </c>
      <c r="AQ55" s="205" t="s">
        <v>679</v>
      </c>
      <c r="AR55" s="204" t="s">
        <v>679</v>
      </c>
      <c r="AS55" s="205" t="s">
        <v>679</v>
      </c>
      <c r="AT55" s="204" t="s">
        <v>679</v>
      </c>
      <c r="AU55" s="205" t="s">
        <v>679</v>
      </c>
      <c r="AV55" s="204" t="s">
        <v>679</v>
      </c>
      <c r="AW55" s="205" t="s">
        <v>679</v>
      </c>
      <c r="AX55" s="204" t="s">
        <v>679</v>
      </c>
      <c r="AY55" s="205" t="s">
        <v>679</v>
      </c>
      <c r="AZ55" s="196"/>
      <c r="BA55" s="197"/>
      <c r="BB55" s="196"/>
      <c r="BC55" s="197"/>
      <c r="BD55" s="181"/>
      <c r="BE55" s="180"/>
      <c r="BF55" s="181"/>
      <c r="BG55" s="180"/>
      <c r="BH55" s="181"/>
      <c r="BI55" s="180"/>
      <c r="BJ55" s="181"/>
      <c r="BK55" s="180"/>
      <c r="BL55" s="181"/>
      <c r="BM55" s="180"/>
      <c r="BN55" s="198">
        <f t="shared" si="0"/>
        <v>19</v>
      </c>
      <c r="BO55" s="199">
        <f t="shared" si="1"/>
        <v>18</v>
      </c>
    </row>
    <row r="56" spans="1:67" ht="16.5">
      <c r="A56" s="170" t="s">
        <v>72</v>
      </c>
      <c r="B56" s="170" t="s">
        <v>85</v>
      </c>
      <c r="C56" s="172" t="s">
        <v>86</v>
      </c>
      <c r="D56" s="203">
        <v>0.38541666666666669</v>
      </c>
      <c r="E56" s="202"/>
      <c r="F56" s="200" t="s">
        <v>679</v>
      </c>
      <c r="G56" s="202"/>
      <c r="H56" s="200" t="s">
        <v>679</v>
      </c>
      <c r="I56" s="202"/>
      <c r="J56" s="335" t="s">
        <v>679</v>
      </c>
      <c r="K56" s="336" t="s">
        <v>679</v>
      </c>
      <c r="L56" s="335" t="s">
        <v>679</v>
      </c>
      <c r="M56" s="336" t="s">
        <v>679</v>
      </c>
      <c r="N56" s="201">
        <v>0.37986111111111109</v>
      </c>
      <c r="O56" s="202"/>
      <c r="P56" s="200" t="s">
        <v>679</v>
      </c>
      <c r="Q56" s="202"/>
      <c r="R56" s="200" t="s">
        <v>679</v>
      </c>
      <c r="S56" s="202"/>
      <c r="T56" s="200" t="s">
        <v>679</v>
      </c>
      <c r="U56" s="202"/>
      <c r="V56" s="201">
        <v>0.34791666666666665</v>
      </c>
      <c r="W56" s="202"/>
      <c r="X56" s="335" t="s">
        <v>679</v>
      </c>
      <c r="Y56" s="336" t="s">
        <v>679</v>
      </c>
      <c r="Z56" s="335" t="s">
        <v>679</v>
      </c>
      <c r="AA56" s="336" t="s">
        <v>679</v>
      </c>
      <c r="AB56" s="200" t="s">
        <v>679</v>
      </c>
      <c r="AC56" s="202"/>
      <c r="AD56" s="200" t="s">
        <v>679</v>
      </c>
      <c r="AE56" s="202"/>
      <c r="AF56" s="200" t="s">
        <v>679</v>
      </c>
      <c r="AG56" s="202"/>
      <c r="AH56" s="200" t="s">
        <v>679</v>
      </c>
      <c r="AI56" s="202"/>
      <c r="AJ56" s="200" t="s">
        <v>679</v>
      </c>
      <c r="AK56" s="202"/>
      <c r="AL56" s="335" t="s">
        <v>679</v>
      </c>
      <c r="AM56" s="336" t="s">
        <v>679</v>
      </c>
      <c r="AN56" s="335" t="s">
        <v>679</v>
      </c>
      <c r="AO56" s="336" t="s">
        <v>679</v>
      </c>
      <c r="AP56" s="200" t="s">
        <v>679</v>
      </c>
      <c r="AQ56" s="202"/>
      <c r="AR56" s="200" t="s">
        <v>679</v>
      </c>
      <c r="AS56" s="202"/>
      <c r="AT56" s="200" t="s">
        <v>679</v>
      </c>
      <c r="AU56" s="202"/>
      <c r="AV56" s="200" t="s">
        <v>679</v>
      </c>
      <c r="AW56" s="202"/>
      <c r="AX56" s="200" t="s">
        <v>679</v>
      </c>
      <c r="AY56" s="202"/>
      <c r="AZ56" s="198"/>
      <c r="BA56" s="199"/>
      <c r="BB56" s="198"/>
      <c r="BC56" s="199"/>
      <c r="BD56" s="179"/>
      <c r="BE56" s="147"/>
      <c r="BF56" s="179"/>
      <c r="BG56" s="147"/>
      <c r="BH56" s="179"/>
      <c r="BI56" s="147"/>
      <c r="BJ56" s="179"/>
      <c r="BK56" s="147"/>
      <c r="BL56" s="179"/>
      <c r="BM56" s="147"/>
      <c r="BN56" s="198">
        <f t="shared" si="0"/>
        <v>19</v>
      </c>
      <c r="BO56" s="199">
        <f t="shared" si="1"/>
        <v>0</v>
      </c>
    </row>
    <row r="57" spans="1:67" ht="16.5">
      <c r="A57" s="170" t="s">
        <v>72</v>
      </c>
      <c r="B57" s="170" t="s">
        <v>85</v>
      </c>
      <c r="C57" s="172" t="s">
        <v>87</v>
      </c>
      <c r="D57" s="202"/>
      <c r="E57" s="202"/>
      <c r="F57" s="200" t="s">
        <v>679</v>
      </c>
      <c r="G57" s="202"/>
      <c r="H57" s="200" t="s">
        <v>679</v>
      </c>
      <c r="I57" s="202"/>
      <c r="J57" s="335" t="s">
        <v>679</v>
      </c>
      <c r="K57" s="336" t="s">
        <v>679</v>
      </c>
      <c r="L57" s="335" t="s">
        <v>679</v>
      </c>
      <c r="M57" s="336" t="s">
        <v>679</v>
      </c>
      <c r="N57" s="200" t="s">
        <v>679</v>
      </c>
      <c r="O57" s="202"/>
      <c r="P57" s="200" t="s">
        <v>679</v>
      </c>
      <c r="Q57" s="202"/>
      <c r="R57" s="200" t="s">
        <v>679</v>
      </c>
      <c r="S57" s="202"/>
      <c r="T57" s="200" t="s">
        <v>679</v>
      </c>
      <c r="U57" s="202"/>
      <c r="V57" s="200" t="s">
        <v>679</v>
      </c>
      <c r="W57" s="202"/>
      <c r="X57" s="337">
        <v>0.41041666666666665</v>
      </c>
      <c r="Y57" s="338">
        <v>0.54236111111111107</v>
      </c>
      <c r="Z57" s="335" t="s">
        <v>679</v>
      </c>
      <c r="AA57" s="336" t="s">
        <v>679</v>
      </c>
      <c r="AB57" s="200" t="s">
        <v>679</v>
      </c>
      <c r="AC57" s="202"/>
      <c r="AD57" s="200" t="s">
        <v>679</v>
      </c>
      <c r="AE57" s="202"/>
      <c r="AF57" s="200" t="s">
        <v>679</v>
      </c>
      <c r="AG57" s="202"/>
      <c r="AH57" s="200" t="s">
        <v>679</v>
      </c>
      <c r="AI57" s="202"/>
      <c r="AJ57" s="200" t="s">
        <v>679</v>
      </c>
      <c r="AK57" s="202"/>
      <c r="AL57" s="337">
        <v>0.54652777777777772</v>
      </c>
      <c r="AM57" s="336" t="s">
        <v>679</v>
      </c>
      <c r="AN57" s="335" t="s">
        <v>679</v>
      </c>
      <c r="AO57" s="336" t="s">
        <v>679</v>
      </c>
      <c r="AP57" s="200" t="s">
        <v>679</v>
      </c>
      <c r="AQ57" s="202"/>
      <c r="AR57" s="200" t="s">
        <v>679</v>
      </c>
      <c r="AS57" s="202"/>
      <c r="AT57" s="200" t="s">
        <v>679</v>
      </c>
      <c r="AU57" s="202"/>
      <c r="AV57" s="200" t="s">
        <v>679</v>
      </c>
      <c r="AW57" s="202"/>
      <c r="AX57" s="200" t="s">
        <v>679</v>
      </c>
      <c r="AY57" s="202"/>
      <c r="AZ57" s="198"/>
      <c r="BA57" s="199"/>
      <c r="BB57" s="198"/>
      <c r="BC57" s="199"/>
      <c r="BD57" s="179"/>
      <c r="BE57" s="147"/>
      <c r="BF57" s="179"/>
      <c r="BG57" s="147"/>
      <c r="BH57" s="179"/>
      <c r="BI57" s="147"/>
      <c r="BJ57" s="179"/>
      <c r="BK57" s="147"/>
      <c r="BL57" s="179"/>
      <c r="BM57" s="147"/>
      <c r="BN57" s="198">
        <f t="shared" si="0"/>
        <v>18</v>
      </c>
      <c r="BO57" s="199">
        <f t="shared" si="1"/>
        <v>0</v>
      </c>
    </row>
    <row r="58" spans="1:67" ht="16.5">
      <c r="A58" s="169" t="s">
        <v>72</v>
      </c>
      <c r="B58" s="169" t="s">
        <v>85</v>
      </c>
      <c r="C58" s="175" t="s">
        <v>88</v>
      </c>
      <c r="D58" s="205" t="s">
        <v>679</v>
      </c>
      <c r="E58" s="205" t="s">
        <v>679</v>
      </c>
      <c r="F58" s="204" t="s">
        <v>679</v>
      </c>
      <c r="G58" s="205" t="s">
        <v>679</v>
      </c>
      <c r="H58" s="204" t="s">
        <v>679</v>
      </c>
      <c r="I58" s="205" t="s">
        <v>679</v>
      </c>
      <c r="J58" s="339" t="s">
        <v>679</v>
      </c>
      <c r="K58" s="340" t="s">
        <v>679</v>
      </c>
      <c r="L58" s="339" t="s">
        <v>679</v>
      </c>
      <c r="M58" s="340" t="s">
        <v>679</v>
      </c>
      <c r="N58" s="204" t="s">
        <v>679</v>
      </c>
      <c r="O58" s="205" t="s">
        <v>679</v>
      </c>
      <c r="P58" s="204" t="s">
        <v>679</v>
      </c>
      <c r="Q58" s="205" t="s">
        <v>679</v>
      </c>
      <c r="R58" s="204" t="s">
        <v>679</v>
      </c>
      <c r="S58" s="205" t="s">
        <v>679</v>
      </c>
      <c r="T58" s="204" t="s">
        <v>679</v>
      </c>
      <c r="U58" s="205" t="s">
        <v>679</v>
      </c>
      <c r="V58" s="204" t="s">
        <v>679</v>
      </c>
      <c r="W58" s="205" t="s">
        <v>679</v>
      </c>
      <c r="X58" s="339" t="s">
        <v>679</v>
      </c>
      <c r="Y58" s="340" t="s">
        <v>679</v>
      </c>
      <c r="Z58" s="339" t="s">
        <v>679</v>
      </c>
      <c r="AA58" s="340" t="s">
        <v>679</v>
      </c>
      <c r="AB58" s="204" t="s">
        <v>679</v>
      </c>
      <c r="AC58" s="205" t="s">
        <v>679</v>
      </c>
      <c r="AD58" s="204" t="s">
        <v>679</v>
      </c>
      <c r="AE58" s="205" t="s">
        <v>679</v>
      </c>
      <c r="AF58" s="204" t="s">
        <v>679</v>
      </c>
      <c r="AG58" s="205" t="s">
        <v>679</v>
      </c>
      <c r="AH58" s="204" t="s">
        <v>679</v>
      </c>
      <c r="AI58" s="205" t="s">
        <v>679</v>
      </c>
      <c r="AJ58" s="204" t="s">
        <v>679</v>
      </c>
      <c r="AK58" s="205" t="s">
        <v>679</v>
      </c>
      <c r="AL58" s="339" t="s">
        <v>679</v>
      </c>
      <c r="AM58" s="340" t="s">
        <v>679</v>
      </c>
      <c r="AN58" s="339" t="s">
        <v>679</v>
      </c>
      <c r="AO58" s="340" t="s">
        <v>679</v>
      </c>
      <c r="AP58" s="204" t="s">
        <v>679</v>
      </c>
      <c r="AQ58" s="205" t="s">
        <v>679</v>
      </c>
      <c r="AR58" s="204" t="s">
        <v>679</v>
      </c>
      <c r="AS58" s="205" t="s">
        <v>679</v>
      </c>
      <c r="AT58" s="204" t="s">
        <v>679</v>
      </c>
      <c r="AU58" s="205" t="s">
        <v>679</v>
      </c>
      <c r="AV58" s="204" t="s">
        <v>679</v>
      </c>
      <c r="AW58" s="205" t="s">
        <v>679</v>
      </c>
      <c r="AX58" s="204" t="s">
        <v>679</v>
      </c>
      <c r="AY58" s="205" t="s">
        <v>679</v>
      </c>
      <c r="AZ58" s="196"/>
      <c r="BA58" s="197"/>
      <c r="BB58" s="196"/>
      <c r="BC58" s="197"/>
      <c r="BD58" s="181"/>
      <c r="BE58" s="180"/>
      <c r="BF58" s="181"/>
      <c r="BG58" s="180"/>
      <c r="BH58" s="181"/>
      <c r="BI58" s="180"/>
      <c r="BJ58" s="181"/>
      <c r="BK58" s="180"/>
      <c r="BL58" s="181"/>
      <c r="BM58" s="180"/>
      <c r="BN58" s="198">
        <f t="shared" si="0"/>
        <v>19</v>
      </c>
      <c r="BO58" s="199">
        <f t="shared" si="1"/>
        <v>18</v>
      </c>
    </row>
    <row r="59" spans="1:67" ht="16.5">
      <c r="A59" s="170" t="s">
        <v>72</v>
      </c>
      <c r="B59" s="170" t="s">
        <v>91</v>
      </c>
      <c r="C59" s="172" t="s">
        <v>92</v>
      </c>
      <c r="D59" s="203">
        <v>0.40902777777777777</v>
      </c>
      <c r="E59" s="203">
        <v>0.73819444444444449</v>
      </c>
      <c r="F59" s="201">
        <v>0.42916666666666664</v>
      </c>
      <c r="G59" s="203">
        <v>0.75277777777777777</v>
      </c>
      <c r="H59" s="201">
        <v>0.40416666666666667</v>
      </c>
      <c r="I59" s="203">
        <v>0.67500000000000004</v>
      </c>
      <c r="J59" s="337">
        <v>0.38124999999999998</v>
      </c>
      <c r="K59" s="336" t="s">
        <v>679</v>
      </c>
      <c r="L59" s="335" t="s">
        <v>679</v>
      </c>
      <c r="M59" s="336" t="s">
        <v>679</v>
      </c>
      <c r="N59" s="201">
        <v>0.40486111111111112</v>
      </c>
      <c r="O59" s="203">
        <v>0.75277777777777777</v>
      </c>
      <c r="P59" s="201">
        <v>0.41805555555555557</v>
      </c>
      <c r="Q59" s="203">
        <v>0.72083333333333333</v>
      </c>
      <c r="R59" s="201">
        <v>0.39930555555555558</v>
      </c>
      <c r="S59" s="203">
        <v>0.68958333333333333</v>
      </c>
      <c r="T59" s="201">
        <v>0.39791666666666664</v>
      </c>
      <c r="U59" s="203">
        <v>0.64097222222222228</v>
      </c>
      <c r="V59" s="201">
        <v>0.37847222222222221</v>
      </c>
      <c r="W59" s="203">
        <v>0.64652777777777781</v>
      </c>
      <c r="X59" s="335" t="s">
        <v>679</v>
      </c>
      <c r="Y59" s="336" t="s">
        <v>679</v>
      </c>
      <c r="Z59" s="335" t="s">
        <v>679</v>
      </c>
      <c r="AA59" s="336" t="s">
        <v>679</v>
      </c>
      <c r="AB59" s="201">
        <v>0.40625</v>
      </c>
      <c r="AC59" s="203">
        <v>0.66597222222222219</v>
      </c>
      <c r="AD59" s="201">
        <v>0.40138888888888891</v>
      </c>
      <c r="AE59" s="203">
        <v>0.70763888888888893</v>
      </c>
      <c r="AF59" s="201">
        <v>0.36666666666666664</v>
      </c>
      <c r="AG59" s="203">
        <v>0.70277777777777772</v>
      </c>
      <c r="AH59" s="201">
        <v>0.39166666666666666</v>
      </c>
      <c r="AI59" s="203">
        <v>0.76180555555555551</v>
      </c>
      <c r="AJ59" s="201">
        <v>0.38819444444444445</v>
      </c>
      <c r="AK59" s="203">
        <v>0.75277777777777777</v>
      </c>
      <c r="AL59" s="335" t="s">
        <v>679</v>
      </c>
      <c r="AM59" s="336" t="s">
        <v>679</v>
      </c>
      <c r="AN59" s="335" t="s">
        <v>679</v>
      </c>
      <c r="AO59" s="336" t="s">
        <v>679</v>
      </c>
      <c r="AP59" s="201">
        <v>0.39861111111111114</v>
      </c>
      <c r="AQ59" s="203">
        <v>0.68333333333333335</v>
      </c>
      <c r="AR59" s="201">
        <v>0.39305555555555555</v>
      </c>
      <c r="AS59" s="202"/>
      <c r="AT59" s="201">
        <v>0.37083333333333335</v>
      </c>
      <c r="AU59" s="203">
        <v>0.66249999999999998</v>
      </c>
      <c r="AV59" s="201">
        <v>0.37986111111111109</v>
      </c>
      <c r="AW59" s="202"/>
      <c r="AX59" s="200" t="s">
        <v>679</v>
      </c>
      <c r="AY59" s="202"/>
      <c r="AZ59" s="198"/>
      <c r="BA59" s="199"/>
      <c r="BB59" s="198"/>
      <c r="BC59" s="199"/>
      <c r="BD59" s="179"/>
      <c r="BE59" s="147"/>
      <c r="BF59" s="179"/>
      <c r="BG59" s="147"/>
      <c r="BH59" s="179"/>
      <c r="BI59" s="147"/>
      <c r="BJ59" s="179"/>
      <c r="BK59" s="147"/>
      <c r="BL59" s="179"/>
      <c r="BM59" s="147"/>
      <c r="BN59" s="198">
        <f t="shared" si="0"/>
        <v>19</v>
      </c>
      <c r="BO59" s="199">
        <f t="shared" si="1"/>
        <v>15</v>
      </c>
    </row>
    <row r="60" spans="1:67" ht="16.5">
      <c r="A60" s="169" t="s">
        <v>72</v>
      </c>
      <c r="B60" s="169" t="s">
        <v>91</v>
      </c>
      <c r="C60" s="175" t="s">
        <v>93</v>
      </c>
      <c r="D60" s="205" t="s">
        <v>679</v>
      </c>
      <c r="E60" s="205" t="s">
        <v>679</v>
      </c>
      <c r="F60" s="204" t="s">
        <v>679</v>
      </c>
      <c r="G60" s="205" t="s">
        <v>679</v>
      </c>
      <c r="H60" s="204" t="s">
        <v>679</v>
      </c>
      <c r="I60" s="205" t="s">
        <v>679</v>
      </c>
      <c r="J60" s="339" t="s">
        <v>679</v>
      </c>
      <c r="K60" s="340" t="s">
        <v>679</v>
      </c>
      <c r="L60" s="339" t="s">
        <v>679</v>
      </c>
      <c r="M60" s="340" t="s">
        <v>679</v>
      </c>
      <c r="N60" s="204" t="s">
        <v>679</v>
      </c>
      <c r="O60" s="205" t="s">
        <v>679</v>
      </c>
      <c r="P60" s="204" t="s">
        <v>679</v>
      </c>
      <c r="Q60" s="205" t="s">
        <v>679</v>
      </c>
      <c r="R60" s="204" t="s">
        <v>679</v>
      </c>
      <c r="S60" s="205" t="s">
        <v>679</v>
      </c>
      <c r="T60" s="204" t="s">
        <v>679</v>
      </c>
      <c r="U60" s="205" t="s">
        <v>679</v>
      </c>
      <c r="V60" s="204" t="s">
        <v>679</v>
      </c>
      <c r="W60" s="205" t="s">
        <v>679</v>
      </c>
      <c r="X60" s="339" t="s">
        <v>679</v>
      </c>
      <c r="Y60" s="340" t="s">
        <v>679</v>
      </c>
      <c r="Z60" s="339" t="s">
        <v>679</v>
      </c>
      <c r="AA60" s="340" t="s">
        <v>679</v>
      </c>
      <c r="AB60" s="204" t="s">
        <v>679</v>
      </c>
      <c r="AC60" s="205" t="s">
        <v>679</v>
      </c>
      <c r="AD60" s="204" t="s">
        <v>679</v>
      </c>
      <c r="AE60" s="205" t="s">
        <v>679</v>
      </c>
      <c r="AF60" s="204" t="s">
        <v>679</v>
      </c>
      <c r="AG60" s="205" t="s">
        <v>679</v>
      </c>
      <c r="AH60" s="204" t="s">
        <v>679</v>
      </c>
      <c r="AI60" s="205" t="s">
        <v>679</v>
      </c>
      <c r="AJ60" s="204" t="s">
        <v>679</v>
      </c>
      <c r="AK60" s="205" t="s">
        <v>679</v>
      </c>
      <c r="AL60" s="339" t="s">
        <v>679</v>
      </c>
      <c r="AM60" s="340" t="s">
        <v>679</v>
      </c>
      <c r="AN60" s="339" t="s">
        <v>679</v>
      </c>
      <c r="AO60" s="340" t="s">
        <v>679</v>
      </c>
      <c r="AP60" s="204" t="s">
        <v>679</v>
      </c>
      <c r="AQ60" s="205" t="s">
        <v>679</v>
      </c>
      <c r="AR60" s="204" t="s">
        <v>679</v>
      </c>
      <c r="AS60" s="205" t="s">
        <v>679</v>
      </c>
      <c r="AT60" s="204" t="s">
        <v>679</v>
      </c>
      <c r="AU60" s="205" t="s">
        <v>679</v>
      </c>
      <c r="AV60" s="204" t="s">
        <v>679</v>
      </c>
      <c r="AW60" s="205" t="s">
        <v>679</v>
      </c>
      <c r="AX60" s="204" t="s">
        <v>679</v>
      </c>
      <c r="AY60" s="205" t="s">
        <v>679</v>
      </c>
      <c r="AZ60" s="196"/>
      <c r="BA60" s="197"/>
      <c r="BB60" s="196"/>
      <c r="BC60" s="197"/>
      <c r="BD60" s="181"/>
      <c r="BE60" s="180"/>
      <c r="BF60" s="181"/>
      <c r="BG60" s="180"/>
      <c r="BH60" s="181"/>
      <c r="BI60" s="180"/>
      <c r="BJ60" s="181"/>
      <c r="BK60" s="180"/>
      <c r="BL60" s="181"/>
      <c r="BM60" s="180"/>
      <c r="BN60" s="198">
        <f t="shared" si="0"/>
        <v>19</v>
      </c>
      <c r="BO60" s="199">
        <f t="shared" si="1"/>
        <v>18</v>
      </c>
    </row>
    <row r="61" spans="1:67" ht="16.5">
      <c r="A61" s="169" t="s">
        <v>94</v>
      </c>
      <c r="B61" s="169" t="s">
        <v>95</v>
      </c>
      <c r="C61" s="193" t="s">
        <v>96</v>
      </c>
      <c r="D61" s="207">
        <v>0.39444444444444443</v>
      </c>
      <c r="E61" s="207">
        <v>0.6875</v>
      </c>
      <c r="F61" s="206">
        <v>0.40555555555555556</v>
      </c>
      <c r="G61" s="207">
        <v>0.6694444444444444</v>
      </c>
      <c r="H61" s="206">
        <v>0.40972222222222221</v>
      </c>
      <c r="I61" s="207">
        <v>0.67222222222222228</v>
      </c>
      <c r="J61" s="339" t="s">
        <v>679</v>
      </c>
      <c r="K61" s="340" t="s">
        <v>679</v>
      </c>
      <c r="L61" s="339" t="s">
        <v>679</v>
      </c>
      <c r="M61" s="340" t="s">
        <v>679</v>
      </c>
      <c r="N61" s="206">
        <v>0.39374999999999999</v>
      </c>
      <c r="O61" s="207">
        <v>0.63263888888888886</v>
      </c>
      <c r="P61" s="206">
        <v>0.3611111111111111</v>
      </c>
      <c r="Q61" s="207">
        <v>0.66319444444444442</v>
      </c>
      <c r="R61" s="206">
        <v>0.36041666666666666</v>
      </c>
      <c r="S61" s="207">
        <v>0.6645833333333333</v>
      </c>
      <c r="T61" s="206">
        <v>0.39861111111111114</v>
      </c>
      <c r="U61" s="207">
        <v>0.65277777777777779</v>
      </c>
      <c r="V61" s="206">
        <v>0.40486111111111112</v>
      </c>
      <c r="W61" s="207">
        <v>0.67152777777777772</v>
      </c>
      <c r="X61" s="342">
        <v>0.4152777777777778</v>
      </c>
      <c r="Y61" s="340" t="s">
        <v>679</v>
      </c>
      <c r="Z61" s="339" t="s">
        <v>679</v>
      </c>
      <c r="AA61" s="340" t="s">
        <v>679</v>
      </c>
      <c r="AB61" s="206">
        <v>0.3923611111111111</v>
      </c>
      <c r="AC61" s="207">
        <v>0.66874999999999996</v>
      </c>
      <c r="AD61" s="206">
        <v>0.38541666666666669</v>
      </c>
      <c r="AE61" s="207">
        <v>0.69444444444444442</v>
      </c>
      <c r="AF61" s="206">
        <v>0.39166666666666666</v>
      </c>
      <c r="AG61" s="207">
        <v>0.66041666666666665</v>
      </c>
      <c r="AH61" s="206">
        <v>0.40625</v>
      </c>
      <c r="AI61" s="207">
        <v>0.6430555555555556</v>
      </c>
      <c r="AJ61" s="206">
        <v>0.40972222222222221</v>
      </c>
      <c r="AK61" s="207">
        <v>0.70347222222222228</v>
      </c>
      <c r="AL61" s="339" t="s">
        <v>679</v>
      </c>
      <c r="AM61" s="340" t="s">
        <v>679</v>
      </c>
      <c r="AN61" s="339" t="s">
        <v>679</v>
      </c>
      <c r="AO61" s="340" t="s">
        <v>679</v>
      </c>
      <c r="AP61" s="206">
        <v>0.38333333333333336</v>
      </c>
      <c r="AQ61" s="207">
        <v>0.68055555555555558</v>
      </c>
      <c r="AR61" s="206">
        <v>0.3840277777777778</v>
      </c>
      <c r="AS61" s="207">
        <v>0.50138888888888888</v>
      </c>
      <c r="AT61" s="206">
        <v>0.3840277777777778</v>
      </c>
      <c r="AU61" s="207">
        <v>0.64652777777777781</v>
      </c>
      <c r="AV61" s="206">
        <v>0.42083333333333334</v>
      </c>
      <c r="AW61" s="205" t="s">
        <v>679</v>
      </c>
      <c r="AX61" s="204" t="s">
        <v>679</v>
      </c>
      <c r="AY61" s="205" t="s">
        <v>679</v>
      </c>
      <c r="AZ61" s="196"/>
      <c r="BA61" s="197"/>
      <c r="BB61" s="196"/>
      <c r="BC61" s="197"/>
      <c r="BD61" s="181"/>
      <c r="BE61" s="180"/>
      <c r="BF61" s="181"/>
      <c r="BG61" s="180"/>
      <c r="BH61" s="181"/>
      <c r="BI61" s="180"/>
      <c r="BJ61" s="181"/>
      <c r="BK61" s="180"/>
      <c r="BL61" s="181"/>
      <c r="BM61" s="180"/>
      <c r="BN61" s="198">
        <f t="shared" si="0"/>
        <v>19</v>
      </c>
      <c r="BO61" s="199">
        <f t="shared" si="1"/>
        <v>18</v>
      </c>
    </row>
    <row r="62" spans="1:67" ht="16.5">
      <c r="A62" s="169" t="s">
        <v>97</v>
      </c>
      <c r="B62" s="169" t="s">
        <v>192</v>
      </c>
      <c r="C62" s="175" t="s">
        <v>99</v>
      </c>
      <c r="D62" s="207">
        <v>0.37152777777777779</v>
      </c>
      <c r="E62" s="207">
        <v>0.67013888888888884</v>
      </c>
      <c r="F62" s="206">
        <v>0.37222222222222223</v>
      </c>
      <c r="G62" s="207">
        <v>0.65347222222222223</v>
      </c>
      <c r="H62" s="206">
        <v>0.37291666666666667</v>
      </c>
      <c r="I62" s="207">
        <v>0.71111111111111114</v>
      </c>
      <c r="J62" s="342">
        <v>0.34375</v>
      </c>
      <c r="K62" s="340" t="s">
        <v>679</v>
      </c>
      <c r="L62" s="339" t="s">
        <v>679</v>
      </c>
      <c r="M62" s="340" t="s">
        <v>679</v>
      </c>
      <c r="N62" s="206">
        <v>0.36666666666666664</v>
      </c>
      <c r="O62" s="207">
        <v>0.69861111111111107</v>
      </c>
      <c r="P62" s="206">
        <v>0.34861111111111109</v>
      </c>
      <c r="Q62" s="207">
        <v>0.65069444444444446</v>
      </c>
      <c r="R62" s="206">
        <v>0.37430555555555556</v>
      </c>
      <c r="S62" s="207">
        <v>0.7104166666666667</v>
      </c>
      <c r="T62" s="206">
        <v>0.36319444444444443</v>
      </c>
      <c r="U62" s="207">
        <v>0.66388888888888886</v>
      </c>
      <c r="V62" s="206">
        <v>0.36944444444444446</v>
      </c>
      <c r="W62" s="207">
        <v>0.66527777777777775</v>
      </c>
      <c r="X62" s="342">
        <v>0.43888888888888888</v>
      </c>
      <c r="Y62" s="340" t="s">
        <v>679</v>
      </c>
      <c r="Z62" s="339" t="s">
        <v>679</v>
      </c>
      <c r="AA62" s="340" t="s">
        <v>679</v>
      </c>
      <c r="AB62" s="206">
        <v>0.37152777777777779</v>
      </c>
      <c r="AC62" s="207">
        <v>0.68055555555555558</v>
      </c>
      <c r="AD62" s="206">
        <v>0.46388888888888891</v>
      </c>
      <c r="AE62" s="207">
        <v>0.64722222222222225</v>
      </c>
      <c r="AF62" s="206">
        <v>0.36805555555555558</v>
      </c>
      <c r="AG62" s="207">
        <v>0.64027777777777772</v>
      </c>
      <c r="AH62" s="206">
        <v>0.37569444444444444</v>
      </c>
      <c r="AI62" s="207">
        <v>0.63402777777777775</v>
      </c>
      <c r="AJ62" s="206">
        <v>0.35555555555555557</v>
      </c>
      <c r="AK62" s="207">
        <v>0.69791666666666663</v>
      </c>
      <c r="AL62" s="339" t="s">
        <v>679</v>
      </c>
      <c r="AM62" s="340" t="s">
        <v>679</v>
      </c>
      <c r="AN62" s="339" t="s">
        <v>679</v>
      </c>
      <c r="AO62" s="340" t="s">
        <v>679</v>
      </c>
      <c r="AP62" s="206">
        <v>0.35833333333333334</v>
      </c>
      <c r="AQ62" s="207">
        <v>0.69236111111111109</v>
      </c>
      <c r="AR62" s="206">
        <v>0.36527777777777776</v>
      </c>
      <c r="AS62" s="207">
        <v>0.62986111111111109</v>
      </c>
      <c r="AT62" s="206">
        <v>0.36180555555555555</v>
      </c>
      <c r="AU62" s="207">
        <v>0.625</v>
      </c>
      <c r="AV62" s="206">
        <v>0.36319444444444443</v>
      </c>
      <c r="AW62" s="205" t="s">
        <v>679</v>
      </c>
      <c r="AX62" s="204" t="s">
        <v>679</v>
      </c>
      <c r="AY62" s="205" t="s">
        <v>679</v>
      </c>
      <c r="AZ62" s="196"/>
      <c r="BA62" s="197"/>
      <c r="BB62" s="196"/>
      <c r="BC62" s="197"/>
      <c r="BD62" s="181"/>
      <c r="BE62" s="180"/>
      <c r="BF62" s="181"/>
      <c r="BG62" s="180"/>
      <c r="BH62" s="181"/>
      <c r="BI62" s="180"/>
      <c r="BJ62" s="181"/>
      <c r="BK62" s="180"/>
      <c r="BL62" s="181"/>
      <c r="BM62" s="180"/>
      <c r="BN62" s="198">
        <f t="shared" si="0"/>
        <v>19</v>
      </c>
      <c r="BO62" s="199">
        <f t="shared" si="1"/>
        <v>18</v>
      </c>
    </row>
    <row r="63" spans="1:67" ht="16.5">
      <c r="A63" s="169" t="s">
        <v>97</v>
      </c>
      <c r="B63" s="169" t="s">
        <v>100</v>
      </c>
      <c r="C63" s="175" t="s">
        <v>101</v>
      </c>
      <c r="D63" s="207">
        <v>0.3659722222222222</v>
      </c>
      <c r="E63" s="207">
        <v>0.6875</v>
      </c>
      <c r="F63" s="206">
        <v>0.37083333333333335</v>
      </c>
      <c r="G63" s="207">
        <v>0.71736111111111112</v>
      </c>
      <c r="H63" s="206">
        <v>0.39027777777777778</v>
      </c>
      <c r="I63" s="207">
        <v>0.69652777777777775</v>
      </c>
      <c r="J63" s="339" t="s">
        <v>679</v>
      </c>
      <c r="K63" s="340" t="s">
        <v>679</v>
      </c>
      <c r="L63" s="339" t="s">
        <v>679</v>
      </c>
      <c r="M63" s="340" t="s">
        <v>679</v>
      </c>
      <c r="N63" s="206">
        <v>0.41111111111111109</v>
      </c>
      <c r="O63" s="207">
        <v>0.68263888888888891</v>
      </c>
      <c r="P63" s="206">
        <v>0.37847222222222221</v>
      </c>
      <c r="Q63" s="207">
        <v>0.68611111111111112</v>
      </c>
      <c r="R63" s="206">
        <v>0.38472222222222224</v>
      </c>
      <c r="S63" s="207">
        <v>0.71527777777777779</v>
      </c>
      <c r="T63" s="204" t="s">
        <v>679</v>
      </c>
      <c r="U63" s="205" t="s">
        <v>679</v>
      </c>
      <c r="V63" s="206">
        <v>0.42222222222222222</v>
      </c>
      <c r="W63" s="207">
        <v>0.67083333333333328</v>
      </c>
      <c r="X63" s="339" t="s">
        <v>679</v>
      </c>
      <c r="Y63" s="340" t="s">
        <v>679</v>
      </c>
      <c r="Z63" s="339" t="s">
        <v>679</v>
      </c>
      <c r="AA63" s="340" t="s">
        <v>679</v>
      </c>
      <c r="AB63" s="206">
        <v>0.48055555555555557</v>
      </c>
      <c r="AC63" s="207">
        <v>0.63402777777777775</v>
      </c>
      <c r="AD63" s="206">
        <v>0.38750000000000001</v>
      </c>
      <c r="AE63" s="207">
        <v>0.65416666666666667</v>
      </c>
      <c r="AF63" s="206">
        <v>0.43125000000000002</v>
      </c>
      <c r="AG63" s="207">
        <v>0.69861111111111107</v>
      </c>
      <c r="AH63" s="206">
        <v>0.42291666666666666</v>
      </c>
      <c r="AI63" s="207">
        <v>0.65972222222222221</v>
      </c>
      <c r="AJ63" s="206">
        <v>0.39305555555555555</v>
      </c>
      <c r="AK63" s="207">
        <v>0.70625000000000004</v>
      </c>
      <c r="AL63" s="339" t="s">
        <v>679</v>
      </c>
      <c r="AM63" s="340" t="s">
        <v>679</v>
      </c>
      <c r="AN63" s="339" t="s">
        <v>679</v>
      </c>
      <c r="AO63" s="340" t="s">
        <v>679</v>
      </c>
      <c r="AP63" s="206">
        <v>0.33888888888888891</v>
      </c>
      <c r="AQ63" s="207">
        <v>0.71458333333333335</v>
      </c>
      <c r="AR63" s="206">
        <v>0.3576388888888889</v>
      </c>
      <c r="AS63" s="207">
        <v>0.70416666666666672</v>
      </c>
      <c r="AT63" s="206">
        <v>0.38958333333333334</v>
      </c>
      <c r="AU63" s="207">
        <v>0.70625000000000004</v>
      </c>
      <c r="AV63" s="206">
        <v>0.36875000000000002</v>
      </c>
      <c r="AW63" s="205" t="s">
        <v>679</v>
      </c>
      <c r="AX63" s="204" t="s">
        <v>679</v>
      </c>
      <c r="AY63" s="205" t="s">
        <v>679</v>
      </c>
      <c r="AZ63" s="196"/>
      <c r="BA63" s="197"/>
      <c r="BB63" s="196"/>
      <c r="BC63" s="197"/>
      <c r="BD63" s="181"/>
      <c r="BE63" s="180"/>
      <c r="BF63" s="181"/>
      <c r="BG63" s="180"/>
      <c r="BH63" s="181"/>
      <c r="BI63" s="180"/>
      <c r="BJ63" s="181"/>
      <c r="BK63" s="180"/>
      <c r="BL63" s="181"/>
      <c r="BM63" s="180"/>
      <c r="BN63" s="198">
        <f t="shared" si="0"/>
        <v>19</v>
      </c>
      <c r="BO63" s="199">
        <f t="shared" si="1"/>
        <v>18</v>
      </c>
    </row>
    <row r="64" spans="1:67" ht="16.5">
      <c r="A64" s="170" t="s">
        <v>97</v>
      </c>
      <c r="B64" s="170" t="s">
        <v>102</v>
      </c>
      <c r="C64" s="172" t="s">
        <v>103</v>
      </c>
      <c r="D64" s="203">
        <v>0.38472222222222224</v>
      </c>
      <c r="E64" s="202"/>
      <c r="F64" s="201">
        <v>0.37222222222222223</v>
      </c>
      <c r="G64" s="202"/>
      <c r="H64" s="201">
        <v>0.38750000000000001</v>
      </c>
      <c r="I64" s="202"/>
      <c r="J64" s="335" t="s">
        <v>679</v>
      </c>
      <c r="K64" s="336" t="s">
        <v>679</v>
      </c>
      <c r="L64" s="335" t="s">
        <v>679</v>
      </c>
      <c r="M64" s="336" t="s">
        <v>679</v>
      </c>
      <c r="N64" s="201">
        <v>0.39861111111111114</v>
      </c>
      <c r="O64" s="202"/>
      <c r="P64" s="201">
        <v>0.36944444444444446</v>
      </c>
      <c r="Q64" s="202"/>
      <c r="R64" s="201">
        <v>0.40486111111111112</v>
      </c>
      <c r="S64" s="202"/>
      <c r="T64" s="201">
        <v>0.37569444444444444</v>
      </c>
      <c r="U64" s="203">
        <v>0.70138888888888884</v>
      </c>
      <c r="V64" s="201">
        <v>0.37847222222222221</v>
      </c>
      <c r="W64" s="203">
        <v>0.68055555555555558</v>
      </c>
      <c r="X64" s="335" t="s">
        <v>679</v>
      </c>
      <c r="Y64" s="336" t="s">
        <v>679</v>
      </c>
      <c r="Z64" s="335" t="s">
        <v>679</v>
      </c>
      <c r="AA64" s="336" t="s">
        <v>679</v>
      </c>
      <c r="AB64" s="201">
        <v>0.40555555555555556</v>
      </c>
      <c r="AC64" s="203">
        <v>0.68055555555555558</v>
      </c>
      <c r="AD64" s="201">
        <v>0.38958333333333334</v>
      </c>
      <c r="AE64" s="203">
        <v>0.6645833333333333</v>
      </c>
      <c r="AF64" s="201">
        <v>0.38958333333333334</v>
      </c>
      <c r="AG64" s="203">
        <v>0.64722222222222225</v>
      </c>
      <c r="AH64" s="201">
        <v>0.37291666666666667</v>
      </c>
      <c r="AI64" s="203">
        <v>0.65</v>
      </c>
      <c r="AJ64" s="201">
        <v>0.41111111111111109</v>
      </c>
      <c r="AK64" s="203">
        <v>0.72361111111111109</v>
      </c>
      <c r="AL64" s="335" t="s">
        <v>679</v>
      </c>
      <c r="AM64" s="336" t="s">
        <v>679</v>
      </c>
      <c r="AN64" s="335" t="s">
        <v>679</v>
      </c>
      <c r="AO64" s="336" t="s">
        <v>679</v>
      </c>
      <c r="AP64" s="201">
        <v>0.38541666666666669</v>
      </c>
      <c r="AQ64" s="202"/>
      <c r="AR64" s="201">
        <v>0.39166666666666666</v>
      </c>
      <c r="AS64" s="203">
        <v>0.70486111111111116</v>
      </c>
      <c r="AT64" s="201">
        <v>0.40069444444444446</v>
      </c>
      <c r="AU64" s="203">
        <v>0.66527777777777775</v>
      </c>
      <c r="AV64" s="200" t="s">
        <v>679</v>
      </c>
      <c r="AW64" s="202"/>
      <c r="AX64" s="200" t="s">
        <v>679</v>
      </c>
      <c r="AY64" s="202"/>
      <c r="AZ64" s="198"/>
      <c r="BA64" s="199"/>
      <c r="BB64" s="198"/>
      <c r="BC64" s="199"/>
      <c r="BD64" s="179"/>
      <c r="BE64" s="147"/>
      <c r="BF64" s="179"/>
      <c r="BG64" s="147"/>
      <c r="BH64" s="179"/>
      <c r="BI64" s="147"/>
      <c r="BJ64" s="179"/>
      <c r="BK64" s="147"/>
      <c r="BL64" s="179"/>
      <c r="BM64" s="147"/>
      <c r="BN64" s="198">
        <f t="shared" si="0"/>
        <v>19</v>
      </c>
      <c r="BO64" s="199">
        <f t="shared" si="1"/>
        <v>9</v>
      </c>
    </row>
    <row r="65" spans="1:67" ht="16.5">
      <c r="A65" s="169" t="s">
        <v>97</v>
      </c>
      <c r="B65" s="169" t="s">
        <v>102</v>
      </c>
      <c r="C65" s="175" t="s">
        <v>104</v>
      </c>
      <c r="D65" s="205" t="s">
        <v>679</v>
      </c>
      <c r="E65" s="207">
        <v>0.68680555555555556</v>
      </c>
      <c r="F65" s="204" t="s">
        <v>679</v>
      </c>
      <c r="G65" s="207">
        <v>0.66249999999999998</v>
      </c>
      <c r="H65" s="204" t="s">
        <v>679</v>
      </c>
      <c r="I65" s="207">
        <v>0.67500000000000004</v>
      </c>
      <c r="J65" s="339" t="s">
        <v>679</v>
      </c>
      <c r="K65" s="340" t="s">
        <v>679</v>
      </c>
      <c r="L65" s="339" t="s">
        <v>679</v>
      </c>
      <c r="M65" s="340" t="s">
        <v>679</v>
      </c>
      <c r="N65" s="204" t="s">
        <v>679</v>
      </c>
      <c r="O65" s="207">
        <v>0.71527777777777779</v>
      </c>
      <c r="P65" s="204" t="s">
        <v>679</v>
      </c>
      <c r="Q65" s="207">
        <v>0.69305555555555554</v>
      </c>
      <c r="R65" s="204" t="s">
        <v>679</v>
      </c>
      <c r="S65" s="207">
        <v>0.65833333333333333</v>
      </c>
      <c r="T65" s="204" t="s">
        <v>679</v>
      </c>
      <c r="U65" s="205" t="s">
        <v>679</v>
      </c>
      <c r="V65" s="204" t="s">
        <v>679</v>
      </c>
      <c r="W65" s="205" t="s">
        <v>679</v>
      </c>
      <c r="X65" s="339" t="s">
        <v>679</v>
      </c>
      <c r="Y65" s="340" t="s">
        <v>679</v>
      </c>
      <c r="Z65" s="339" t="s">
        <v>679</v>
      </c>
      <c r="AA65" s="340" t="s">
        <v>679</v>
      </c>
      <c r="AB65" s="204" t="s">
        <v>679</v>
      </c>
      <c r="AC65" s="205" t="s">
        <v>679</v>
      </c>
      <c r="AD65" s="204" t="s">
        <v>679</v>
      </c>
      <c r="AE65" s="205" t="s">
        <v>679</v>
      </c>
      <c r="AF65" s="204" t="s">
        <v>679</v>
      </c>
      <c r="AG65" s="205" t="s">
        <v>679</v>
      </c>
      <c r="AH65" s="204" t="s">
        <v>679</v>
      </c>
      <c r="AI65" s="205" t="s">
        <v>679</v>
      </c>
      <c r="AJ65" s="204" t="s">
        <v>679</v>
      </c>
      <c r="AK65" s="205" t="s">
        <v>679</v>
      </c>
      <c r="AL65" s="339" t="s">
        <v>679</v>
      </c>
      <c r="AM65" s="340" t="s">
        <v>679</v>
      </c>
      <c r="AN65" s="339" t="s">
        <v>679</v>
      </c>
      <c r="AO65" s="340" t="s">
        <v>679</v>
      </c>
      <c r="AP65" s="204" t="s">
        <v>679</v>
      </c>
      <c r="AQ65" s="205" t="s">
        <v>679</v>
      </c>
      <c r="AR65" s="204" t="s">
        <v>679</v>
      </c>
      <c r="AS65" s="205" t="s">
        <v>679</v>
      </c>
      <c r="AT65" s="204" t="s">
        <v>679</v>
      </c>
      <c r="AU65" s="205" t="s">
        <v>679</v>
      </c>
      <c r="AV65" s="204" t="s">
        <v>679</v>
      </c>
      <c r="AW65" s="205" t="s">
        <v>679</v>
      </c>
      <c r="AX65" s="204" t="s">
        <v>679</v>
      </c>
      <c r="AY65" s="205" t="s">
        <v>679</v>
      </c>
      <c r="AZ65" s="196"/>
      <c r="BA65" s="197"/>
      <c r="BB65" s="196"/>
      <c r="BC65" s="197"/>
      <c r="BD65" s="181"/>
      <c r="BE65" s="180"/>
      <c r="BF65" s="181"/>
      <c r="BG65" s="180"/>
      <c r="BH65" s="181"/>
      <c r="BI65" s="180"/>
      <c r="BJ65" s="181"/>
      <c r="BK65" s="180"/>
      <c r="BL65" s="181"/>
      <c r="BM65" s="180"/>
      <c r="BN65" s="198">
        <f t="shared" si="0"/>
        <v>19</v>
      </c>
      <c r="BO65" s="199">
        <f t="shared" si="1"/>
        <v>18</v>
      </c>
    </row>
    <row r="66" spans="1:67" ht="16.5">
      <c r="A66" s="170" t="s">
        <v>97</v>
      </c>
      <c r="B66" s="170" t="s">
        <v>105</v>
      </c>
      <c r="C66" s="172" t="s">
        <v>106</v>
      </c>
      <c r="D66" s="349">
        <v>0.39027777777777778</v>
      </c>
      <c r="E66" s="203">
        <v>0.63263888888888886</v>
      </c>
      <c r="F66" s="200" t="s">
        <v>679</v>
      </c>
      <c r="G66" s="203">
        <v>0.65833333333333333</v>
      </c>
      <c r="H66" s="200" t="s">
        <v>679</v>
      </c>
      <c r="I66" s="203">
        <v>0.64722222222222225</v>
      </c>
      <c r="J66" s="337">
        <v>0.35208333333333336</v>
      </c>
      <c r="K66" s="336" t="s">
        <v>679</v>
      </c>
      <c r="L66" s="335" t="s">
        <v>679</v>
      </c>
      <c r="M66" s="336" t="s">
        <v>679</v>
      </c>
      <c r="N66" s="200" t="s">
        <v>679</v>
      </c>
      <c r="O66" s="202"/>
      <c r="P66" s="200" t="s">
        <v>679</v>
      </c>
      <c r="Q66" s="203">
        <v>0.66736111111111107</v>
      </c>
      <c r="R66" s="200" t="s">
        <v>679</v>
      </c>
      <c r="S66" s="203">
        <v>0.73472222222222228</v>
      </c>
      <c r="T66" s="201">
        <v>0.36527777777777776</v>
      </c>
      <c r="U66" s="203">
        <v>0.67708333333333337</v>
      </c>
      <c r="V66" s="201">
        <v>0.43125000000000002</v>
      </c>
      <c r="W66" s="203">
        <v>0.6645833333333333</v>
      </c>
      <c r="X66" s="335" t="s">
        <v>679</v>
      </c>
      <c r="Y66" s="336" t="s">
        <v>679</v>
      </c>
      <c r="Z66" s="335" t="s">
        <v>679</v>
      </c>
      <c r="AA66" s="336" t="s">
        <v>679</v>
      </c>
      <c r="AB66" s="201">
        <v>0.40277777777777779</v>
      </c>
      <c r="AC66" s="203">
        <v>0.65138888888888891</v>
      </c>
      <c r="AD66" s="201">
        <v>0.44166666666666665</v>
      </c>
      <c r="AE66" s="203">
        <v>0.75208333333333333</v>
      </c>
      <c r="AF66" s="201">
        <v>0.40625</v>
      </c>
      <c r="AG66" s="203">
        <v>0.66388888888888886</v>
      </c>
      <c r="AH66" s="201">
        <v>0.46250000000000002</v>
      </c>
      <c r="AI66" s="203">
        <v>0.65972222222222221</v>
      </c>
      <c r="AJ66" s="201">
        <v>0.41111111111111109</v>
      </c>
      <c r="AK66" s="203">
        <v>0.71111111111111114</v>
      </c>
      <c r="AL66" s="335" t="s">
        <v>679</v>
      </c>
      <c r="AM66" s="336" t="s">
        <v>679</v>
      </c>
      <c r="AN66" s="335" t="s">
        <v>679</v>
      </c>
      <c r="AO66" s="336" t="s">
        <v>679</v>
      </c>
      <c r="AP66" s="201">
        <v>0.3888888888888889</v>
      </c>
      <c r="AQ66" s="202"/>
      <c r="AR66" s="201">
        <v>0.41944444444444445</v>
      </c>
      <c r="AS66" s="202"/>
      <c r="AT66" s="201">
        <v>0.44027777777777777</v>
      </c>
      <c r="AU66" s="203">
        <v>0.6791666666666667</v>
      </c>
      <c r="AV66" s="201">
        <v>0.45555555555555555</v>
      </c>
      <c r="AW66" s="202"/>
      <c r="AX66" s="200" t="s">
        <v>679</v>
      </c>
      <c r="AY66" s="202"/>
      <c r="AZ66" s="198"/>
      <c r="BA66" s="199"/>
      <c r="BB66" s="198"/>
      <c r="BC66" s="199"/>
      <c r="BD66" s="179"/>
      <c r="BE66" s="147"/>
      <c r="BF66" s="179"/>
      <c r="BG66" s="147"/>
      <c r="BH66" s="179"/>
      <c r="BI66" s="147"/>
      <c r="BJ66" s="179"/>
      <c r="BK66" s="147"/>
      <c r="BL66" s="179"/>
      <c r="BM66" s="147"/>
      <c r="BN66" s="198">
        <f t="shared" si="0"/>
        <v>19</v>
      </c>
      <c r="BO66" s="199">
        <f t="shared" si="1"/>
        <v>13</v>
      </c>
    </row>
    <row r="67" spans="1:67" ht="16.5">
      <c r="A67" s="169" t="s">
        <v>97</v>
      </c>
      <c r="B67" s="169" t="s">
        <v>105</v>
      </c>
      <c r="C67" s="175" t="s">
        <v>107</v>
      </c>
      <c r="D67" s="205" t="s">
        <v>679</v>
      </c>
      <c r="E67" s="205" t="s">
        <v>679</v>
      </c>
      <c r="F67" s="204" t="s">
        <v>679</v>
      </c>
      <c r="G67" s="205" t="s">
        <v>679</v>
      </c>
      <c r="H67" s="204" t="s">
        <v>679</v>
      </c>
      <c r="I67" s="205" t="s">
        <v>679</v>
      </c>
      <c r="J67" s="339" t="s">
        <v>679</v>
      </c>
      <c r="K67" s="340" t="s">
        <v>679</v>
      </c>
      <c r="L67" s="339" t="s">
        <v>679</v>
      </c>
      <c r="M67" s="340" t="s">
        <v>679</v>
      </c>
      <c r="N67" s="204" t="s">
        <v>679</v>
      </c>
      <c r="O67" s="205" t="s">
        <v>679</v>
      </c>
      <c r="P67" s="204" t="s">
        <v>679</v>
      </c>
      <c r="Q67" s="205" t="s">
        <v>679</v>
      </c>
      <c r="R67" s="204" t="s">
        <v>679</v>
      </c>
      <c r="S67" s="205" t="s">
        <v>679</v>
      </c>
      <c r="T67" s="204" t="s">
        <v>679</v>
      </c>
      <c r="U67" s="205" t="s">
        <v>679</v>
      </c>
      <c r="V67" s="204" t="s">
        <v>679</v>
      </c>
      <c r="W67" s="205" t="s">
        <v>679</v>
      </c>
      <c r="X67" s="339" t="s">
        <v>679</v>
      </c>
      <c r="Y67" s="340" t="s">
        <v>679</v>
      </c>
      <c r="Z67" s="339" t="s">
        <v>679</v>
      </c>
      <c r="AA67" s="340" t="s">
        <v>679</v>
      </c>
      <c r="AB67" s="204" t="s">
        <v>679</v>
      </c>
      <c r="AC67" s="205" t="s">
        <v>679</v>
      </c>
      <c r="AD67" s="204" t="s">
        <v>679</v>
      </c>
      <c r="AE67" s="205" t="s">
        <v>679</v>
      </c>
      <c r="AF67" s="204" t="s">
        <v>679</v>
      </c>
      <c r="AG67" s="205" t="s">
        <v>679</v>
      </c>
      <c r="AH67" s="204" t="s">
        <v>679</v>
      </c>
      <c r="AI67" s="205" t="s">
        <v>679</v>
      </c>
      <c r="AJ67" s="204" t="s">
        <v>679</v>
      </c>
      <c r="AK67" s="205" t="s">
        <v>679</v>
      </c>
      <c r="AL67" s="339" t="s">
        <v>679</v>
      </c>
      <c r="AM67" s="340" t="s">
        <v>679</v>
      </c>
      <c r="AN67" s="339" t="s">
        <v>679</v>
      </c>
      <c r="AO67" s="340" t="s">
        <v>679</v>
      </c>
      <c r="AP67" s="204" t="s">
        <v>679</v>
      </c>
      <c r="AQ67" s="205" t="s">
        <v>679</v>
      </c>
      <c r="AR67" s="204" t="s">
        <v>679</v>
      </c>
      <c r="AS67" s="205" t="s">
        <v>679</v>
      </c>
      <c r="AT67" s="204" t="s">
        <v>679</v>
      </c>
      <c r="AU67" s="205" t="s">
        <v>679</v>
      </c>
      <c r="AV67" s="204" t="s">
        <v>679</v>
      </c>
      <c r="AW67" s="205" t="s">
        <v>679</v>
      </c>
      <c r="AX67" s="204" t="s">
        <v>679</v>
      </c>
      <c r="AY67" s="205" t="s">
        <v>679</v>
      </c>
      <c r="AZ67" s="196"/>
      <c r="BA67" s="197"/>
      <c r="BB67" s="196"/>
      <c r="BC67" s="197"/>
      <c r="BD67" s="181"/>
      <c r="BE67" s="180"/>
      <c r="BF67" s="181"/>
      <c r="BG67" s="180"/>
      <c r="BH67" s="181"/>
      <c r="BI67" s="180"/>
      <c r="BJ67" s="181"/>
      <c r="BK67" s="180"/>
      <c r="BL67" s="181"/>
      <c r="BM67" s="180"/>
      <c r="BN67" s="198">
        <f t="shared" si="0"/>
        <v>19</v>
      </c>
      <c r="BO67" s="199">
        <f t="shared" si="1"/>
        <v>18</v>
      </c>
    </row>
    <row r="68" spans="1:67" ht="16.5">
      <c r="A68" s="170" t="s">
        <v>108</v>
      </c>
      <c r="B68" s="170" t="s">
        <v>109</v>
      </c>
      <c r="C68" s="172" t="s">
        <v>110</v>
      </c>
      <c r="D68" s="202"/>
      <c r="E68" s="350">
        <v>0.74861111111111112</v>
      </c>
      <c r="F68" s="200" t="s">
        <v>679</v>
      </c>
      <c r="G68" s="203">
        <v>0.52847222222222223</v>
      </c>
      <c r="H68" s="201">
        <v>0.46805555555555556</v>
      </c>
      <c r="I68" s="202"/>
      <c r="J68" s="335" t="s">
        <v>679</v>
      </c>
      <c r="K68" s="336" t="s">
        <v>679</v>
      </c>
      <c r="L68" s="335" t="s">
        <v>679</v>
      </c>
      <c r="M68" s="336" t="s">
        <v>679</v>
      </c>
      <c r="N68" s="200" t="s">
        <v>679</v>
      </c>
      <c r="O68" s="202"/>
      <c r="P68" s="200" t="s">
        <v>679</v>
      </c>
      <c r="Q68" s="202"/>
      <c r="R68" s="200" t="s">
        <v>679</v>
      </c>
      <c r="S68" s="202"/>
      <c r="T68" s="200" t="s">
        <v>679</v>
      </c>
      <c r="U68" s="202"/>
      <c r="V68" s="200" t="s">
        <v>679</v>
      </c>
      <c r="W68" s="202"/>
      <c r="X68" s="335" t="s">
        <v>679</v>
      </c>
      <c r="Y68" s="336" t="s">
        <v>679</v>
      </c>
      <c r="Z68" s="335" t="s">
        <v>679</v>
      </c>
      <c r="AA68" s="336" t="s">
        <v>679</v>
      </c>
      <c r="AB68" s="200" t="s">
        <v>679</v>
      </c>
      <c r="AC68" s="202"/>
      <c r="AD68" s="200" t="s">
        <v>679</v>
      </c>
      <c r="AE68" s="202"/>
      <c r="AF68" s="200" t="s">
        <v>679</v>
      </c>
      <c r="AG68" s="202"/>
      <c r="AH68" s="200" t="s">
        <v>679</v>
      </c>
      <c r="AI68" s="202"/>
      <c r="AJ68" s="200" t="s">
        <v>679</v>
      </c>
      <c r="AK68" s="202"/>
      <c r="AL68" s="335" t="s">
        <v>679</v>
      </c>
      <c r="AM68" s="336" t="s">
        <v>679</v>
      </c>
      <c r="AN68" s="335" t="s">
        <v>679</v>
      </c>
      <c r="AO68" s="336" t="s">
        <v>679</v>
      </c>
      <c r="AP68" s="200" t="s">
        <v>679</v>
      </c>
      <c r="AQ68" s="202"/>
      <c r="AR68" s="201">
        <v>0.34652777777777777</v>
      </c>
      <c r="AS68" s="202"/>
      <c r="AT68" s="201">
        <v>0.3923611111111111</v>
      </c>
      <c r="AU68" s="202"/>
      <c r="AV68" s="200" t="s">
        <v>679</v>
      </c>
      <c r="AW68" s="202"/>
      <c r="AX68" s="200" t="s">
        <v>679</v>
      </c>
      <c r="AY68" s="202"/>
      <c r="AZ68" s="198"/>
      <c r="BA68" s="199"/>
      <c r="BB68" s="198"/>
      <c r="BC68" s="199"/>
      <c r="BD68" s="179"/>
      <c r="BE68" s="147"/>
      <c r="BF68" s="179"/>
      <c r="BG68" s="147"/>
      <c r="BH68" s="179"/>
      <c r="BI68" s="147"/>
      <c r="BJ68" s="179"/>
      <c r="BK68" s="147"/>
      <c r="BL68" s="179"/>
      <c r="BM68" s="147"/>
      <c r="BN68" s="198">
        <f t="shared" ref="BN68:BN101" si="2">COUNTA(D68,F68,H68,N68,P68,R68,T68,V68,,AB68,AD68,AF68,AH68,AJ68,AP68,AR68,AT68,AV68,AX68,BD68,BF68,BH68,BJ68,BL68)</f>
        <v>18</v>
      </c>
      <c r="BO68" s="199">
        <f t="shared" ref="BO68:BO101" si="3">COUNTA(E68,G68,I68,O68,Q68,S68,U68,W68,AC68,AE68,AG68,AI68,AK68,AQ68,AS68,AU68,AW68,AY68,BE68,BG68,BI68,BK100:BK108,BK68,BM68)</f>
        <v>2</v>
      </c>
    </row>
    <row r="69" spans="1:67" ht="16.5">
      <c r="A69" s="169" t="s">
        <v>108</v>
      </c>
      <c r="B69" s="169" t="s">
        <v>109</v>
      </c>
      <c r="C69" s="175" t="s">
        <v>111</v>
      </c>
      <c r="D69" s="205" t="s">
        <v>679</v>
      </c>
      <c r="E69" s="207">
        <v>0.74930555555555556</v>
      </c>
      <c r="F69" s="204" t="s">
        <v>679</v>
      </c>
      <c r="G69" s="205" t="s">
        <v>679</v>
      </c>
      <c r="H69" s="204" t="s">
        <v>679</v>
      </c>
      <c r="I69" s="207">
        <v>0.56736111111111109</v>
      </c>
      <c r="J69" s="339" t="s">
        <v>679</v>
      </c>
      <c r="K69" s="340" t="s">
        <v>679</v>
      </c>
      <c r="L69" s="339" t="s">
        <v>679</v>
      </c>
      <c r="M69" s="340" t="s">
        <v>679</v>
      </c>
      <c r="N69" s="204" t="s">
        <v>679</v>
      </c>
      <c r="O69" s="205" t="s">
        <v>679</v>
      </c>
      <c r="P69" s="204" t="s">
        <v>679</v>
      </c>
      <c r="Q69" s="205" t="s">
        <v>679</v>
      </c>
      <c r="R69" s="204" t="s">
        <v>679</v>
      </c>
      <c r="S69" s="205" t="s">
        <v>679</v>
      </c>
      <c r="T69" s="204" t="s">
        <v>679</v>
      </c>
      <c r="U69" s="205" t="s">
        <v>679</v>
      </c>
      <c r="V69" s="204" t="s">
        <v>679</v>
      </c>
      <c r="W69" s="205" t="s">
        <v>679</v>
      </c>
      <c r="X69" s="339" t="s">
        <v>679</v>
      </c>
      <c r="Y69" s="340" t="s">
        <v>679</v>
      </c>
      <c r="Z69" s="339" t="s">
        <v>679</v>
      </c>
      <c r="AA69" s="340" t="s">
        <v>679</v>
      </c>
      <c r="AB69" s="204" t="s">
        <v>679</v>
      </c>
      <c r="AC69" s="205" t="s">
        <v>679</v>
      </c>
      <c r="AD69" s="204" t="s">
        <v>679</v>
      </c>
      <c r="AE69" s="205" t="s">
        <v>679</v>
      </c>
      <c r="AF69" s="204" t="s">
        <v>679</v>
      </c>
      <c r="AG69" s="205" t="s">
        <v>679</v>
      </c>
      <c r="AH69" s="204" t="s">
        <v>679</v>
      </c>
      <c r="AI69" s="205" t="s">
        <v>679</v>
      </c>
      <c r="AJ69" s="204" t="s">
        <v>679</v>
      </c>
      <c r="AK69" s="205" t="s">
        <v>679</v>
      </c>
      <c r="AL69" s="339" t="s">
        <v>679</v>
      </c>
      <c r="AM69" s="340" t="s">
        <v>679</v>
      </c>
      <c r="AN69" s="339" t="s">
        <v>679</v>
      </c>
      <c r="AO69" s="340" t="s">
        <v>679</v>
      </c>
      <c r="AP69" s="204" t="s">
        <v>679</v>
      </c>
      <c r="AQ69" s="205" t="s">
        <v>679</v>
      </c>
      <c r="AR69" s="204" t="s">
        <v>679</v>
      </c>
      <c r="AS69" s="205" t="s">
        <v>679</v>
      </c>
      <c r="AT69" s="204" t="s">
        <v>679</v>
      </c>
      <c r="AU69" s="205" t="s">
        <v>679</v>
      </c>
      <c r="AV69" s="204" t="s">
        <v>679</v>
      </c>
      <c r="AW69" s="205" t="s">
        <v>679</v>
      </c>
      <c r="AX69" s="204" t="s">
        <v>679</v>
      </c>
      <c r="AY69" s="205" t="s">
        <v>679</v>
      </c>
      <c r="AZ69" s="196"/>
      <c r="BA69" s="197"/>
      <c r="BB69" s="196"/>
      <c r="BC69" s="197"/>
      <c r="BD69" s="181"/>
      <c r="BE69" s="180"/>
      <c r="BF69" s="181"/>
      <c r="BG69" s="180"/>
      <c r="BH69" s="181"/>
      <c r="BI69" s="180"/>
      <c r="BJ69" s="181"/>
      <c r="BK69" s="180"/>
      <c r="BL69" s="181"/>
      <c r="BM69" s="180"/>
      <c r="BN69" s="198">
        <f t="shared" si="2"/>
        <v>19</v>
      </c>
      <c r="BO69" s="199">
        <f t="shared" si="3"/>
        <v>18</v>
      </c>
    </row>
    <row r="70" spans="1:67" ht="16.5">
      <c r="A70" s="170" t="s">
        <v>108</v>
      </c>
      <c r="B70" s="170" t="s">
        <v>112</v>
      </c>
      <c r="C70" s="172" t="s">
        <v>113</v>
      </c>
      <c r="D70" s="202"/>
      <c r="E70" s="203">
        <v>0.62847222222222221</v>
      </c>
      <c r="F70" s="200" t="s">
        <v>679</v>
      </c>
      <c r="G70" s="203">
        <v>0.64375000000000004</v>
      </c>
      <c r="H70" s="200" t="s">
        <v>679</v>
      </c>
      <c r="I70" s="203">
        <v>0.6479166666666667</v>
      </c>
      <c r="J70" s="335" t="s">
        <v>679</v>
      </c>
      <c r="K70" s="336" t="s">
        <v>679</v>
      </c>
      <c r="L70" s="335" t="s">
        <v>679</v>
      </c>
      <c r="M70" s="336" t="s">
        <v>679</v>
      </c>
      <c r="N70" s="200" t="s">
        <v>679</v>
      </c>
      <c r="O70" s="203">
        <v>0.63124999999999998</v>
      </c>
      <c r="P70" s="200" t="s">
        <v>679</v>
      </c>
      <c r="Q70" s="203">
        <v>0.6479166666666667</v>
      </c>
      <c r="R70" s="200" t="s">
        <v>679</v>
      </c>
      <c r="S70" s="203">
        <v>0.63611111111111107</v>
      </c>
      <c r="T70" s="200" t="s">
        <v>679</v>
      </c>
      <c r="U70" s="203">
        <v>0.64027777777777772</v>
      </c>
      <c r="V70" s="201">
        <v>0.38750000000000001</v>
      </c>
      <c r="W70" s="203">
        <v>0.65069444444444446</v>
      </c>
      <c r="X70" s="335" t="s">
        <v>679</v>
      </c>
      <c r="Y70" s="336" t="s">
        <v>679</v>
      </c>
      <c r="Z70" s="335" t="s">
        <v>679</v>
      </c>
      <c r="AA70" s="336" t="s">
        <v>679</v>
      </c>
      <c r="AB70" s="201">
        <v>0.35347222222222224</v>
      </c>
      <c r="AC70" s="203">
        <v>0.64444444444444449</v>
      </c>
      <c r="AD70" s="201">
        <v>0.3840277777777778</v>
      </c>
      <c r="AE70" s="203">
        <v>0.64930555555555558</v>
      </c>
      <c r="AF70" s="201">
        <v>0.3576388888888889</v>
      </c>
      <c r="AG70" s="203">
        <v>0.61875000000000002</v>
      </c>
      <c r="AH70" s="201">
        <v>0.39166666666666666</v>
      </c>
      <c r="AI70" s="203">
        <v>0.6479166666666667</v>
      </c>
      <c r="AJ70" s="201">
        <v>0.37638888888888888</v>
      </c>
      <c r="AK70" s="203">
        <v>0.64513888888888893</v>
      </c>
      <c r="AL70" s="335" t="s">
        <v>679</v>
      </c>
      <c r="AM70" s="336" t="s">
        <v>679</v>
      </c>
      <c r="AN70" s="335" t="s">
        <v>679</v>
      </c>
      <c r="AO70" s="336" t="s">
        <v>679</v>
      </c>
      <c r="AP70" s="201">
        <v>0.40833333333333333</v>
      </c>
      <c r="AQ70" s="203">
        <v>0.65</v>
      </c>
      <c r="AR70" s="201">
        <v>0.37430555555555556</v>
      </c>
      <c r="AS70" s="203">
        <v>0.64930555555555558</v>
      </c>
      <c r="AT70" s="201">
        <v>0.38472222222222224</v>
      </c>
      <c r="AU70" s="203">
        <v>0.65555555555555556</v>
      </c>
      <c r="AV70" s="201">
        <v>0.34722222222222221</v>
      </c>
      <c r="AW70" s="202"/>
      <c r="AX70" s="200" t="s">
        <v>679</v>
      </c>
      <c r="AY70" s="202"/>
      <c r="AZ70" s="198"/>
      <c r="BA70" s="199"/>
      <c r="BB70" s="198"/>
      <c r="BC70" s="199"/>
      <c r="BD70" s="179"/>
      <c r="BE70" s="147"/>
      <c r="BF70" s="179"/>
      <c r="BG70" s="147"/>
      <c r="BH70" s="179"/>
      <c r="BI70" s="147"/>
      <c r="BJ70" s="179"/>
      <c r="BK70" s="147"/>
      <c r="BL70" s="179"/>
      <c r="BM70" s="147"/>
      <c r="BN70" s="198">
        <f t="shared" si="2"/>
        <v>18</v>
      </c>
      <c r="BO70" s="199">
        <f t="shared" si="3"/>
        <v>16</v>
      </c>
    </row>
    <row r="71" spans="1:67" ht="16.5">
      <c r="A71" s="169" t="s">
        <v>108</v>
      </c>
      <c r="B71" s="169" t="s">
        <v>112</v>
      </c>
      <c r="C71" s="175" t="s">
        <v>114</v>
      </c>
      <c r="D71" s="207">
        <v>0.3659722222222222</v>
      </c>
      <c r="E71" s="205" t="s">
        <v>679</v>
      </c>
      <c r="F71" s="206">
        <v>0.41249999999999998</v>
      </c>
      <c r="G71" s="205" t="s">
        <v>679</v>
      </c>
      <c r="H71" s="206">
        <v>0.39652777777777776</v>
      </c>
      <c r="I71" s="205" t="s">
        <v>679</v>
      </c>
      <c r="J71" s="339" t="s">
        <v>679</v>
      </c>
      <c r="K71" s="340" t="s">
        <v>679</v>
      </c>
      <c r="L71" s="339" t="s">
        <v>679</v>
      </c>
      <c r="M71" s="340" t="s">
        <v>679</v>
      </c>
      <c r="N71" s="206">
        <v>0.3611111111111111</v>
      </c>
      <c r="O71" s="205" t="s">
        <v>679</v>
      </c>
      <c r="P71" s="206">
        <v>0.39930555555555558</v>
      </c>
      <c r="Q71" s="205" t="s">
        <v>679</v>
      </c>
      <c r="R71" s="206">
        <v>0.38472222222222224</v>
      </c>
      <c r="S71" s="205" t="s">
        <v>679</v>
      </c>
      <c r="T71" s="206">
        <v>0.37152777777777779</v>
      </c>
      <c r="U71" s="205" t="s">
        <v>679</v>
      </c>
      <c r="V71" s="204" t="s">
        <v>679</v>
      </c>
      <c r="W71" s="205" t="s">
        <v>679</v>
      </c>
      <c r="X71" s="339" t="s">
        <v>679</v>
      </c>
      <c r="Y71" s="340" t="s">
        <v>679</v>
      </c>
      <c r="Z71" s="339" t="s">
        <v>679</v>
      </c>
      <c r="AA71" s="340" t="s">
        <v>679</v>
      </c>
      <c r="AB71" s="204" t="s">
        <v>679</v>
      </c>
      <c r="AC71" s="205" t="s">
        <v>679</v>
      </c>
      <c r="AD71" s="204" t="s">
        <v>679</v>
      </c>
      <c r="AE71" s="205" t="s">
        <v>679</v>
      </c>
      <c r="AF71" s="204" t="s">
        <v>679</v>
      </c>
      <c r="AG71" s="205" t="s">
        <v>679</v>
      </c>
      <c r="AH71" s="204" t="s">
        <v>679</v>
      </c>
      <c r="AI71" s="205" t="s">
        <v>679</v>
      </c>
      <c r="AJ71" s="204" t="s">
        <v>679</v>
      </c>
      <c r="AK71" s="205" t="s">
        <v>679</v>
      </c>
      <c r="AL71" s="339" t="s">
        <v>679</v>
      </c>
      <c r="AM71" s="340" t="s">
        <v>679</v>
      </c>
      <c r="AN71" s="339" t="s">
        <v>679</v>
      </c>
      <c r="AO71" s="340" t="s">
        <v>679</v>
      </c>
      <c r="AP71" s="204" t="s">
        <v>679</v>
      </c>
      <c r="AQ71" s="205" t="s">
        <v>679</v>
      </c>
      <c r="AR71" s="204" t="s">
        <v>679</v>
      </c>
      <c r="AS71" s="205" t="s">
        <v>679</v>
      </c>
      <c r="AT71" s="204" t="s">
        <v>679</v>
      </c>
      <c r="AU71" s="205" t="s">
        <v>679</v>
      </c>
      <c r="AV71" s="204" t="s">
        <v>679</v>
      </c>
      <c r="AW71" s="205" t="s">
        <v>679</v>
      </c>
      <c r="AX71" s="204" t="s">
        <v>679</v>
      </c>
      <c r="AY71" s="205" t="s">
        <v>679</v>
      </c>
      <c r="AZ71" s="196"/>
      <c r="BA71" s="197"/>
      <c r="BB71" s="196"/>
      <c r="BC71" s="197"/>
      <c r="BD71" s="181"/>
      <c r="BE71" s="180"/>
      <c r="BF71" s="181"/>
      <c r="BG71" s="180"/>
      <c r="BH71" s="181"/>
      <c r="BI71" s="180"/>
      <c r="BJ71" s="181"/>
      <c r="BK71" s="180"/>
      <c r="BL71" s="181"/>
      <c r="BM71" s="180"/>
      <c r="BN71" s="198">
        <f t="shared" si="2"/>
        <v>19</v>
      </c>
      <c r="BO71" s="199">
        <f t="shared" si="3"/>
        <v>18</v>
      </c>
    </row>
    <row r="72" spans="1:67" ht="16.5">
      <c r="A72" s="169" t="s">
        <v>108</v>
      </c>
      <c r="B72" s="169" t="s">
        <v>115</v>
      </c>
      <c r="C72" s="175" t="s">
        <v>116</v>
      </c>
      <c r="D72" s="207">
        <v>0.37430555555555556</v>
      </c>
      <c r="E72" s="207">
        <v>0.63958333333333328</v>
      </c>
      <c r="F72" s="206">
        <v>0.37569444444444444</v>
      </c>
      <c r="G72" s="207">
        <v>0.67083333333333328</v>
      </c>
      <c r="H72" s="206">
        <v>0.36666666666666664</v>
      </c>
      <c r="I72" s="207">
        <v>0.62847222222222221</v>
      </c>
      <c r="J72" s="339" t="s">
        <v>679</v>
      </c>
      <c r="K72" s="340" t="s">
        <v>679</v>
      </c>
      <c r="L72" s="339" t="s">
        <v>679</v>
      </c>
      <c r="M72" s="340" t="s">
        <v>679</v>
      </c>
      <c r="N72" s="206">
        <v>0.37916666666666665</v>
      </c>
      <c r="O72" s="207">
        <v>0.63541666666666663</v>
      </c>
      <c r="P72" s="206">
        <v>0.36944444444444446</v>
      </c>
      <c r="Q72" s="207">
        <v>0.62916666666666665</v>
      </c>
      <c r="R72" s="206">
        <v>0.35972222222222222</v>
      </c>
      <c r="S72" s="207">
        <v>0.63124999999999998</v>
      </c>
      <c r="T72" s="206">
        <v>0.36388888888888887</v>
      </c>
      <c r="U72" s="205" t="s">
        <v>679</v>
      </c>
      <c r="V72" s="206">
        <v>0.37777777777777777</v>
      </c>
      <c r="W72" s="207">
        <v>0.64513888888888893</v>
      </c>
      <c r="X72" s="339" t="s">
        <v>679</v>
      </c>
      <c r="Y72" s="340" t="s">
        <v>679</v>
      </c>
      <c r="Z72" s="339" t="s">
        <v>679</v>
      </c>
      <c r="AA72" s="340" t="s">
        <v>679</v>
      </c>
      <c r="AB72" s="206">
        <v>0.36666666666666664</v>
      </c>
      <c r="AC72" s="207">
        <v>0.6381944444444444</v>
      </c>
      <c r="AD72" s="206">
        <v>0.36875000000000002</v>
      </c>
      <c r="AE72" s="207">
        <v>0.63472222222222219</v>
      </c>
      <c r="AF72" s="206">
        <v>0.36527777777777776</v>
      </c>
      <c r="AG72" s="207">
        <v>0.62986111111111109</v>
      </c>
      <c r="AH72" s="206">
        <v>0.38263888888888886</v>
      </c>
      <c r="AI72" s="207">
        <v>0.64861111111111114</v>
      </c>
      <c r="AJ72" s="206">
        <v>0.37638888888888888</v>
      </c>
      <c r="AK72" s="207">
        <v>0.6381944444444444</v>
      </c>
      <c r="AL72" s="339" t="s">
        <v>679</v>
      </c>
      <c r="AM72" s="340" t="s">
        <v>679</v>
      </c>
      <c r="AN72" s="339" t="s">
        <v>679</v>
      </c>
      <c r="AO72" s="340" t="s">
        <v>679</v>
      </c>
      <c r="AP72" s="206">
        <v>0.36875000000000002</v>
      </c>
      <c r="AQ72" s="207">
        <v>0.64930555555555558</v>
      </c>
      <c r="AR72" s="206">
        <v>0.4</v>
      </c>
      <c r="AS72" s="207">
        <v>0.61875000000000002</v>
      </c>
      <c r="AT72" s="206">
        <v>0.37916666666666665</v>
      </c>
      <c r="AU72" s="207">
        <v>0.66736111111111107</v>
      </c>
      <c r="AV72" s="206">
        <v>0.37083333333333335</v>
      </c>
      <c r="AW72" s="205" t="s">
        <v>679</v>
      </c>
      <c r="AX72" s="204" t="s">
        <v>679</v>
      </c>
      <c r="AY72" s="205" t="s">
        <v>679</v>
      </c>
      <c r="AZ72" s="196"/>
      <c r="BA72" s="197"/>
      <c r="BB72" s="196"/>
      <c r="BC72" s="197"/>
      <c r="BD72" s="181"/>
      <c r="BE72" s="180"/>
      <c r="BF72" s="181"/>
      <c r="BG72" s="180"/>
      <c r="BH72" s="181"/>
      <c r="BI72" s="180"/>
      <c r="BJ72" s="181"/>
      <c r="BK72" s="180"/>
      <c r="BL72" s="181"/>
      <c r="BM72" s="180"/>
      <c r="BN72" s="198">
        <f t="shared" si="2"/>
        <v>19</v>
      </c>
      <c r="BO72" s="199">
        <f t="shared" si="3"/>
        <v>18</v>
      </c>
    </row>
    <row r="73" spans="1:67" ht="16.5">
      <c r="A73" s="169" t="s">
        <v>108</v>
      </c>
      <c r="B73" s="169" t="s">
        <v>117</v>
      </c>
      <c r="C73" s="175" t="s">
        <v>118</v>
      </c>
      <c r="D73" s="207">
        <v>0.38750000000000001</v>
      </c>
      <c r="E73" s="207">
        <v>0.63472222222222219</v>
      </c>
      <c r="F73" s="206">
        <v>0.39583333333333331</v>
      </c>
      <c r="G73" s="207">
        <v>0.65625</v>
      </c>
      <c r="H73" s="204" t="s">
        <v>679</v>
      </c>
      <c r="I73" s="205" t="s">
        <v>679</v>
      </c>
      <c r="J73" s="339" t="s">
        <v>679</v>
      </c>
      <c r="K73" s="340" t="s">
        <v>679</v>
      </c>
      <c r="L73" s="339" t="s">
        <v>679</v>
      </c>
      <c r="M73" s="340" t="s">
        <v>679</v>
      </c>
      <c r="N73" s="204" t="s">
        <v>679</v>
      </c>
      <c r="O73" s="205" t="s">
        <v>679</v>
      </c>
      <c r="P73" s="204" t="s">
        <v>679</v>
      </c>
      <c r="Q73" s="205" t="s">
        <v>679</v>
      </c>
      <c r="R73" s="204" t="s">
        <v>679</v>
      </c>
      <c r="S73" s="205" t="s">
        <v>679</v>
      </c>
      <c r="T73" s="204" t="s">
        <v>679</v>
      </c>
      <c r="U73" s="205" t="s">
        <v>679</v>
      </c>
      <c r="V73" s="206">
        <v>0.42499999999999999</v>
      </c>
      <c r="W73" s="207">
        <v>0.70416666666666672</v>
      </c>
      <c r="X73" s="339" t="s">
        <v>679</v>
      </c>
      <c r="Y73" s="340" t="s">
        <v>679</v>
      </c>
      <c r="Z73" s="339" t="s">
        <v>679</v>
      </c>
      <c r="AA73" s="340" t="s">
        <v>679</v>
      </c>
      <c r="AB73" s="206">
        <v>0.40416666666666667</v>
      </c>
      <c r="AC73" s="205" t="s">
        <v>679</v>
      </c>
      <c r="AD73" s="204" t="s">
        <v>679</v>
      </c>
      <c r="AE73" s="205" t="s">
        <v>679</v>
      </c>
      <c r="AF73" s="204" t="s">
        <v>679</v>
      </c>
      <c r="AG73" s="207">
        <v>0.65347222222222223</v>
      </c>
      <c r="AH73" s="204" t="s">
        <v>679</v>
      </c>
      <c r="AI73" s="205" t="s">
        <v>679</v>
      </c>
      <c r="AJ73" s="206">
        <v>0.38958333333333334</v>
      </c>
      <c r="AK73" s="207">
        <v>0.69236111111111109</v>
      </c>
      <c r="AL73" s="339" t="s">
        <v>679</v>
      </c>
      <c r="AM73" s="340" t="s">
        <v>679</v>
      </c>
      <c r="AN73" s="339" t="s">
        <v>679</v>
      </c>
      <c r="AO73" s="340" t="s">
        <v>679</v>
      </c>
      <c r="AP73" s="206">
        <v>0.38680555555555557</v>
      </c>
      <c r="AQ73" s="205" t="s">
        <v>679</v>
      </c>
      <c r="AR73" s="204" t="s">
        <v>679</v>
      </c>
      <c r="AS73" s="205" t="s">
        <v>679</v>
      </c>
      <c r="AT73" s="206">
        <v>0.3972222222222222</v>
      </c>
      <c r="AU73" s="205" t="s">
        <v>679</v>
      </c>
      <c r="AV73" s="204" t="s">
        <v>679</v>
      </c>
      <c r="AW73" s="205" t="s">
        <v>679</v>
      </c>
      <c r="AX73" s="204" t="s">
        <v>679</v>
      </c>
      <c r="AY73" s="205" t="s">
        <v>679</v>
      </c>
      <c r="AZ73" s="196"/>
      <c r="BA73" s="197"/>
      <c r="BB73" s="196"/>
      <c r="BC73" s="197"/>
      <c r="BD73" s="181"/>
      <c r="BE73" s="180"/>
      <c r="BF73" s="181"/>
      <c r="BG73" s="180"/>
      <c r="BH73" s="181"/>
      <c r="BI73" s="180"/>
      <c r="BJ73" s="181"/>
      <c r="BK73" s="180"/>
      <c r="BL73" s="181"/>
      <c r="BM73" s="180"/>
      <c r="BN73" s="198">
        <f t="shared" si="2"/>
        <v>19</v>
      </c>
      <c r="BO73" s="199">
        <f t="shared" si="3"/>
        <v>18</v>
      </c>
    </row>
    <row r="74" spans="1:67" ht="16.5">
      <c r="A74" s="169" t="s">
        <v>108</v>
      </c>
      <c r="B74" s="169" t="s">
        <v>730</v>
      </c>
      <c r="C74" s="175" t="s">
        <v>120</v>
      </c>
      <c r="D74" s="207">
        <v>0.40694444444444444</v>
      </c>
      <c r="E74" s="207">
        <v>0.63124999999999998</v>
      </c>
      <c r="F74" s="206">
        <v>0.39027777777777778</v>
      </c>
      <c r="G74" s="205" t="s">
        <v>679</v>
      </c>
      <c r="H74" s="206">
        <v>0.37847222222222221</v>
      </c>
      <c r="I74" s="205" t="s">
        <v>679</v>
      </c>
      <c r="J74" s="339" t="s">
        <v>679</v>
      </c>
      <c r="K74" s="340" t="s">
        <v>679</v>
      </c>
      <c r="L74" s="339" t="s">
        <v>679</v>
      </c>
      <c r="M74" s="340" t="s">
        <v>679</v>
      </c>
      <c r="N74" s="206">
        <v>0.46527777777777779</v>
      </c>
      <c r="O74" s="205" t="s">
        <v>679</v>
      </c>
      <c r="P74" s="206">
        <v>0.39513888888888887</v>
      </c>
      <c r="Q74" s="207">
        <v>0.69236111111111109</v>
      </c>
      <c r="R74" s="204" t="s">
        <v>679</v>
      </c>
      <c r="S74" s="205" t="s">
        <v>679</v>
      </c>
      <c r="T74" s="204" t="s">
        <v>679</v>
      </c>
      <c r="U74" s="205" t="s">
        <v>679</v>
      </c>
      <c r="V74" s="206">
        <v>0.44930555555555557</v>
      </c>
      <c r="W74" s="207">
        <v>0.64861111111111114</v>
      </c>
      <c r="X74" s="342">
        <v>0.38263888888888886</v>
      </c>
      <c r="Y74" s="340" t="s">
        <v>679</v>
      </c>
      <c r="Z74" s="339" t="s">
        <v>679</v>
      </c>
      <c r="AA74" s="340" t="s">
        <v>679</v>
      </c>
      <c r="AB74" s="206">
        <v>0.38472222222222224</v>
      </c>
      <c r="AC74" s="207">
        <v>0.63124999999999998</v>
      </c>
      <c r="AD74" s="206">
        <v>0.37152777777777779</v>
      </c>
      <c r="AE74" s="207">
        <v>0.64236111111111116</v>
      </c>
      <c r="AF74" s="206">
        <v>0.37083333333333335</v>
      </c>
      <c r="AG74" s="207">
        <v>0.62013888888888891</v>
      </c>
      <c r="AH74" s="206">
        <v>0.37222222222222223</v>
      </c>
      <c r="AI74" s="207">
        <v>0.63472222222222219</v>
      </c>
      <c r="AJ74" s="206">
        <v>0.39791666666666664</v>
      </c>
      <c r="AK74" s="207">
        <v>0.62847222222222221</v>
      </c>
      <c r="AL74" s="342">
        <v>0.38194444444444442</v>
      </c>
      <c r="AM74" s="340" t="s">
        <v>679</v>
      </c>
      <c r="AN74" s="339" t="s">
        <v>679</v>
      </c>
      <c r="AO74" s="340" t="s">
        <v>679</v>
      </c>
      <c r="AP74" s="206">
        <v>0.40625</v>
      </c>
      <c r="AQ74" s="207">
        <v>0.63402777777777775</v>
      </c>
      <c r="AR74" s="206">
        <v>0.36319444444444443</v>
      </c>
      <c r="AS74" s="207">
        <v>0.67708333333333337</v>
      </c>
      <c r="AT74" s="206">
        <v>0.42152777777777778</v>
      </c>
      <c r="AU74" s="207">
        <v>0.63749999999999996</v>
      </c>
      <c r="AV74" s="206">
        <v>0.38958333333333334</v>
      </c>
      <c r="AW74" s="205" t="s">
        <v>679</v>
      </c>
      <c r="AX74" s="204" t="s">
        <v>679</v>
      </c>
      <c r="AY74" s="205" t="s">
        <v>679</v>
      </c>
      <c r="AZ74" s="196"/>
      <c r="BA74" s="197"/>
      <c r="BB74" s="196"/>
      <c r="BC74" s="197"/>
      <c r="BD74" s="181"/>
      <c r="BE74" s="180"/>
      <c r="BF74" s="181"/>
      <c r="BG74" s="180"/>
      <c r="BH74" s="181"/>
      <c r="BI74" s="180"/>
      <c r="BJ74" s="181"/>
      <c r="BK74" s="180"/>
      <c r="BL74" s="181"/>
      <c r="BM74" s="180"/>
      <c r="BN74" s="198">
        <f t="shared" si="2"/>
        <v>19</v>
      </c>
      <c r="BO74" s="199">
        <f t="shared" si="3"/>
        <v>18</v>
      </c>
    </row>
    <row r="75" spans="1:67" ht="16.5">
      <c r="A75" s="169" t="s">
        <v>108</v>
      </c>
      <c r="B75" s="169" t="s">
        <v>731</v>
      </c>
      <c r="C75" s="175" t="s">
        <v>122</v>
      </c>
      <c r="D75" s="207">
        <v>0.42916666666666664</v>
      </c>
      <c r="E75" s="207">
        <v>0.63611111111111107</v>
      </c>
      <c r="F75" s="204" t="s">
        <v>679</v>
      </c>
      <c r="G75" s="205" t="s">
        <v>679</v>
      </c>
      <c r="H75" s="204" t="s">
        <v>679</v>
      </c>
      <c r="I75" s="205" t="s">
        <v>679</v>
      </c>
      <c r="J75" s="339" t="s">
        <v>679</v>
      </c>
      <c r="K75" s="340" t="s">
        <v>679</v>
      </c>
      <c r="L75" s="339" t="s">
        <v>679</v>
      </c>
      <c r="M75" s="340" t="s">
        <v>679</v>
      </c>
      <c r="N75" s="204" t="s">
        <v>679</v>
      </c>
      <c r="O75" s="205" t="s">
        <v>679</v>
      </c>
      <c r="P75" s="204" t="s">
        <v>679</v>
      </c>
      <c r="Q75" s="205" t="s">
        <v>679</v>
      </c>
      <c r="R75" s="206">
        <v>0.44097222222222221</v>
      </c>
      <c r="S75" s="207">
        <v>0.64722222222222225</v>
      </c>
      <c r="T75" s="204" t="s">
        <v>679</v>
      </c>
      <c r="U75" s="205" t="s">
        <v>679</v>
      </c>
      <c r="V75" s="206">
        <v>0.42569444444444443</v>
      </c>
      <c r="W75" s="207">
        <v>0.68402777777777779</v>
      </c>
      <c r="X75" s="339" t="s">
        <v>679</v>
      </c>
      <c r="Y75" s="340" t="s">
        <v>679</v>
      </c>
      <c r="Z75" s="339" t="s">
        <v>679</v>
      </c>
      <c r="AA75" s="340" t="s">
        <v>679</v>
      </c>
      <c r="AB75" s="204" t="s">
        <v>679</v>
      </c>
      <c r="AC75" s="205" t="s">
        <v>679</v>
      </c>
      <c r="AD75" s="206">
        <v>0.41388888888888886</v>
      </c>
      <c r="AE75" s="207">
        <v>0.70625000000000004</v>
      </c>
      <c r="AF75" s="206">
        <v>0.46388888888888891</v>
      </c>
      <c r="AG75" s="207">
        <v>0.74583333333333335</v>
      </c>
      <c r="AH75" s="206">
        <v>0.42777777777777776</v>
      </c>
      <c r="AI75" s="207">
        <v>0.67638888888888893</v>
      </c>
      <c r="AJ75" s="206">
        <v>0.39791666666666664</v>
      </c>
      <c r="AK75" s="207">
        <v>0.67847222222222225</v>
      </c>
      <c r="AL75" s="339" t="s">
        <v>679</v>
      </c>
      <c r="AM75" s="340" t="s">
        <v>679</v>
      </c>
      <c r="AN75" s="339" t="s">
        <v>679</v>
      </c>
      <c r="AO75" s="340" t="s">
        <v>679</v>
      </c>
      <c r="AP75" s="206">
        <v>0.4201388888888889</v>
      </c>
      <c r="AQ75" s="207">
        <v>0.71319444444444446</v>
      </c>
      <c r="AR75" s="206">
        <v>0.36527777777777776</v>
      </c>
      <c r="AS75" s="207">
        <v>0.68958333333333333</v>
      </c>
      <c r="AT75" s="206">
        <v>0.4152777777777778</v>
      </c>
      <c r="AU75" s="207">
        <v>0.69097222222222221</v>
      </c>
      <c r="AV75" s="206">
        <v>0.41805555555555557</v>
      </c>
      <c r="AW75" s="205" t="s">
        <v>679</v>
      </c>
      <c r="AX75" s="204" t="s">
        <v>679</v>
      </c>
      <c r="AY75" s="205" t="s">
        <v>679</v>
      </c>
      <c r="AZ75" s="196"/>
      <c r="BA75" s="197"/>
      <c r="BB75" s="196"/>
      <c r="BC75" s="197"/>
      <c r="BD75" s="181"/>
      <c r="BE75" s="180"/>
      <c r="BF75" s="181"/>
      <c r="BG75" s="180"/>
      <c r="BH75" s="181"/>
      <c r="BI75" s="180"/>
      <c r="BJ75" s="181"/>
      <c r="BK75" s="180"/>
      <c r="BL75" s="181"/>
      <c r="BM75" s="180"/>
      <c r="BN75" s="198">
        <f t="shared" si="2"/>
        <v>19</v>
      </c>
      <c r="BO75" s="199">
        <f t="shared" si="3"/>
        <v>18</v>
      </c>
    </row>
    <row r="76" spans="1:67" ht="16.5">
      <c r="A76" s="169" t="s">
        <v>123</v>
      </c>
      <c r="B76" s="169" t="s">
        <v>124</v>
      </c>
      <c r="C76" s="175" t="s">
        <v>125</v>
      </c>
      <c r="D76" s="207">
        <v>0.35833333333333334</v>
      </c>
      <c r="E76" s="207">
        <v>0.625</v>
      </c>
      <c r="F76" s="206">
        <v>0.35555555555555557</v>
      </c>
      <c r="G76" s="207">
        <v>0.67291666666666672</v>
      </c>
      <c r="H76" s="206">
        <v>0.35208333333333336</v>
      </c>
      <c r="I76" s="207">
        <v>0.63055555555555554</v>
      </c>
      <c r="J76" s="342">
        <v>0.33750000000000002</v>
      </c>
      <c r="K76" s="340" t="s">
        <v>679</v>
      </c>
      <c r="L76" s="339" t="s">
        <v>679</v>
      </c>
      <c r="M76" s="340" t="s">
        <v>679</v>
      </c>
      <c r="N76" s="206">
        <v>0.37152777777777779</v>
      </c>
      <c r="O76" s="207">
        <v>0.62569444444444444</v>
      </c>
      <c r="P76" s="206">
        <v>0.36944444444444446</v>
      </c>
      <c r="Q76" s="207">
        <v>0.61458333333333337</v>
      </c>
      <c r="R76" s="206">
        <v>0.38263888888888886</v>
      </c>
      <c r="S76" s="207">
        <v>0.62430555555555556</v>
      </c>
      <c r="T76" s="206">
        <v>0.38124999999999998</v>
      </c>
      <c r="U76" s="207">
        <v>0.66874999999999996</v>
      </c>
      <c r="V76" s="206">
        <v>0.37638888888888888</v>
      </c>
      <c r="W76" s="207">
        <v>0.64513888888888893</v>
      </c>
      <c r="X76" s="339" t="s">
        <v>679</v>
      </c>
      <c r="Y76" s="340" t="s">
        <v>679</v>
      </c>
      <c r="Z76" s="339" t="s">
        <v>679</v>
      </c>
      <c r="AA76" s="340" t="s">
        <v>679</v>
      </c>
      <c r="AB76" s="206">
        <v>0.39444444444444443</v>
      </c>
      <c r="AC76" s="207">
        <v>0.62638888888888888</v>
      </c>
      <c r="AD76" s="206">
        <v>0.36875000000000002</v>
      </c>
      <c r="AE76" s="207">
        <v>0.62222222222222223</v>
      </c>
      <c r="AF76" s="206">
        <v>0.4152777777777778</v>
      </c>
      <c r="AG76" s="207">
        <v>0.62083333333333335</v>
      </c>
      <c r="AH76" s="206">
        <v>0.36666666666666664</v>
      </c>
      <c r="AI76" s="207">
        <v>0.67638888888888893</v>
      </c>
      <c r="AJ76" s="206">
        <v>0.36875000000000002</v>
      </c>
      <c r="AK76" s="207">
        <v>0.61041666666666672</v>
      </c>
      <c r="AL76" s="339" t="s">
        <v>679</v>
      </c>
      <c r="AM76" s="340" t="s">
        <v>679</v>
      </c>
      <c r="AN76" s="339" t="s">
        <v>679</v>
      </c>
      <c r="AO76" s="340" t="s">
        <v>679</v>
      </c>
      <c r="AP76" s="206">
        <v>0.36944444444444446</v>
      </c>
      <c r="AQ76" s="207">
        <v>0.62638888888888888</v>
      </c>
      <c r="AR76" s="206">
        <v>0.36666666666666664</v>
      </c>
      <c r="AS76" s="207">
        <v>0.625</v>
      </c>
      <c r="AT76" s="206">
        <v>0.35902777777777778</v>
      </c>
      <c r="AU76" s="207">
        <v>0.62152777777777779</v>
      </c>
      <c r="AV76" s="206">
        <v>0.37291666666666667</v>
      </c>
      <c r="AW76" s="205" t="s">
        <v>679</v>
      </c>
      <c r="AX76" s="204" t="s">
        <v>679</v>
      </c>
      <c r="AY76" s="205" t="s">
        <v>679</v>
      </c>
      <c r="AZ76" s="196"/>
      <c r="BA76" s="197"/>
      <c r="BB76" s="196"/>
      <c r="BC76" s="197"/>
      <c r="BD76" s="181"/>
      <c r="BE76" s="180"/>
      <c r="BF76" s="181"/>
      <c r="BG76" s="180"/>
      <c r="BH76" s="181"/>
      <c r="BI76" s="180"/>
      <c r="BJ76" s="181"/>
      <c r="BK76" s="180"/>
      <c r="BL76" s="181"/>
      <c r="BM76" s="180"/>
      <c r="BN76" s="198">
        <f t="shared" si="2"/>
        <v>19</v>
      </c>
      <c r="BO76" s="199">
        <f t="shared" si="3"/>
        <v>18</v>
      </c>
    </row>
    <row r="77" spans="1:67" ht="16.5">
      <c r="A77" s="169" t="s">
        <v>123</v>
      </c>
      <c r="B77" s="169" t="s">
        <v>126</v>
      </c>
      <c r="C77" s="175" t="s">
        <v>127</v>
      </c>
      <c r="D77" s="207">
        <v>0.37013888888888891</v>
      </c>
      <c r="E77" s="207">
        <v>0.65694444444444444</v>
      </c>
      <c r="F77" s="206">
        <v>0.36249999999999999</v>
      </c>
      <c r="G77" s="207">
        <v>0.67361111111111116</v>
      </c>
      <c r="H77" s="206">
        <v>0.35694444444444445</v>
      </c>
      <c r="I77" s="207">
        <v>0.65763888888888888</v>
      </c>
      <c r="J77" s="342">
        <v>0.36041666666666666</v>
      </c>
      <c r="K77" s="340" t="s">
        <v>679</v>
      </c>
      <c r="L77" s="339" t="s">
        <v>679</v>
      </c>
      <c r="M77" s="340" t="s">
        <v>679</v>
      </c>
      <c r="N77" s="206">
        <v>0.36666666666666664</v>
      </c>
      <c r="O77" s="207">
        <v>0.66527777777777775</v>
      </c>
      <c r="P77" s="206">
        <v>0.35416666666666669</v>
      </c>
      <c r="Q77" s="207">
        <v>0.67500000000000004</v>
      </c>
      <c r="R77" s="206">
        <v>0.3576388888888889</v>
      </c>
      <c r="S77" s="207">
        <v>0.65069444444444446</v>
      </c>
      <c r="T77" s="206">
        <v>0.35694444444444445</v>
      </c>
      <c r="U77" s="207">
        <v>0.64166666666666672</v>
      </c>
      <c r="V77" s="206">
        <v>0.36527777777777776</v>
      </c>
      <c r="W77" s="207">
        <v>0.65625</v>
      </c>
      <c r="X77" s="339" t="s">
        <v>679</v>
      </c>
      <c r="Y77" s="340" t="s">
        <v>679</v>
      </c>
      <c r="Z77" s="339" t="s">
        <v>679</v>
      </c>
      <c r="AA77" s="340" t="s">
        <v>679</v>
      </c>
      <c r="AB77" s="206">
        <v>0.39097222222222222</v>
      </c>
      <c r="AC77" s="207">
        <v>0.64444444444444449</v>
      </c>
      <c r="AD77" s="206">
        <v>0.37569444444444444</v>
      </c>
      <c r="AE77" s="207">
        <v>0.67569444444444449</v>
      </c>
      <c r="AF77" s="206">
        <v>0.38055555555555554</v>
      </c>
      <c r="AG77" s="207">
        <v>0.66249999999999998</v>
      </c>
      <c r="AH77" s="206">
        <v>0.38611111111111113</v>
      </c>
      <c r="AI77" s="207">
        <v>0.65347222222222223</v>
      </c>
      <c r="AJ77" s="206">
        <v>0.37361111111111112</v>
      </c>
      <c r="AK77" s="207">
        <v>0.70347222222222228</v>
      </c>
      <c r="AL77" s="339" t="s">
        <v>679</v>
      </c>
      <c r="AM77" s="340" t="s">
        <v>679</v>
      </c>
      <c r="AN77" s="339" t="s">
        <v>679</v>
      </c>
      <c r="AO77" s="340" t="s">
        <v>679</v>
      </c>
      <c r="AP77" s="206">
        <v>0.37777777777777777</v>
      </c>
      <c r="AQ77" s="207">
        <v>0.66319444444444442</v>
      </c>
      <c r="AR77" s="206">
        <v>0.37708333333333333</v>
      </c>
      <c r="AS77" s="207">
        <v>0.65138888888888891</v>
      </c>
      <c r="AT77" s="206">
        <v>0.37847222222222221</v>
      </c>
      <c r="AU77" s="207">
        <v>0.65347222222222223</v>
      </c>
      <c r="AV77" s="206">
        <v>0.39652777777777776</v>
      </c>
      <c r="AW77" s="205" t="s">
        <v>679</v>
      </c>
      <c r="AX77" s="204" t="s">
        <v>679</v>
      </c>
      <c r="AY77" s="205" t="s">
        <v>679</v>
      </c>
      <c r="AZ77" s="196"/>
      <c r="BA77" s="197"/>
      <c r="BB77" s="196"/>
      <c r="BC77" s="197"/>
      <c r="BD77" s="181"/>
      <c r="BE77" s="180"/>
      <c r="BF77" s="181"/>
      <c r="BG77" s="180"/>
      <c r="BH77" s="181"/>
      <c r="BI77" s="180"/>
      <c r="BJ77" s="181"/>
      <c r="BK77" s="180"/>
      <c r="BL77" s="181"/>
      <c r="BM77" s="180"/>
      <c r="BN77" s="198">
        <f t="shared" si="2"/>
        <v>19</v>
      </c>
      <c r="BO77" s="199">
        <f t="shared" si="3"/>
        <v>18</v>
      </c>
    </row>
    <row r="78" spans="1:67" ht="16.5">
      <c r="A78" s="169" t="s">
        <v>123</v>
      </c>
      <c r="B78" s="169" t="s">
        <v>641</v>
      </c>
      <c r="C78" s="175" t="s">
        <v>193</v>
      </c>
      <c r="D78" s="207">
        <v>0.35625000000000001</v>
      </c>
      <c r="E78" s="207">
        <v>0.64375000000000004</v>
      </c>
      <c r="F78" s="206">
        <v>0.37569444444444444</v>
      </c>
      <c r="G78" s="207">
        <v>0.64236111111111116</v>
      </c>
      <c r="H78" s="206">
        <v>0.36944444444444446</v>
      </c>
      <c r="I78" s="207">
        <v>0.63472222222222219</v>
      </c>
      <c r="J78" s="339" t="s">
        <v>679</v>
      </c>
      <c r="K78" s="340" t="s">
        <v>679</v>
      </c>
      <c r="L78" s="339" t="s">
        <v>679</v>
      </c>
      <c r="M78" s="340" t="s">
        <v>679</v>
      </c>
      <c r="N78" s="206">
        <v>0.37569444444444444</v>
      </c>
      <c r="O78" s="207">
        <v>0.6430555555555556</v>
      </c>
      <c r="P78" s="206">
        <v>0.37777777777777777</v>
      </c>
      <c r="Q78" s="207">
        <v>0.6381944444444444</v>
      </c>
      <c r="R78" s="206">
        <v>0.38263888888888886</v>
      </c>
      <c r="S78" s="207">
        <v>0.63749999999999996</v>
      </c>
      <c r="T78" s="206">
        <v>0.37291666666666667</v>
      </c>
      <c r="U78" s="207">
        <v>0.64236111111111116</v>
      </c>
      <c r="V78" s="206">
        <v>0.3888888888888889</v>
      </c>
      <c r="W78" s="207">
        <v>0.69791666666666663</v>
      </c>
      <c r="X78" s="339" t="s">
        <v>679</v>
      </c>
      <c r="Y78" s="340" t="s">
        <v>679</v>
      </c>
      <c r="Z78" s="339" t="s">
        <v>679</v>
      </c>
      <c r="AA78" s="340" t="s">
        <v>679</v>
      </c>
      <c r="AB78" s="206">
        <v>0.37777777777777777</v>
      </c>
      <c r="AC78" s="207">
        <v>0.6430555555555556</v>
      </c>
      <c r="AD78" s="206">
        <v>0.37847222222222221</v>
      </c>
      <c r="AE78" s="207">
        <v>0.6430555555555556</v>
      </c>
      <c r="AF78" s="206">
        <v>0.36527777777777776</v>
      </c>
      <c r="AG78" s="207">
        <v>0.65972222222222221</v>
      </c>
      <c r="AH78" s="206">
        <v>0.38958333333333334</v>
      </c>
      <c r="AI78" s="207">
        <v>0.6958333333333333</v>
      </c>
      <c r="AJ78" s="206">
        <v>0.37083333333333335</v>
      </c>
      <c r="AK78" s="207">
        <v>0.64097222222222228</v>
      </c>
      <c r="AL78" s="339" t="s">
        <v>679</v>
      </c>
      <c r="AM78" s="340" t="s">
        <v>679</v>
      </c>
      <c r="AN78" s="339" t="s">
        <v>679</v>
      </c>
      <c r="AO78" s="340" t="s">
        <v>679</v>
      </c>
      <c r="AP78" s="206">
        <v>0.37569444444444444</v>
      </c>
      <c r="AQ78" s="207">
        <v>0.65069444444444446</v>
      </c>
      <c r="AR78" s="206">
        <v>0.37152777777777779</v>
      </c>
      <c r="AS78" s="207">
        <v>0.63194444444444442</v>
      </c>
      <c r="AT78" s="206">
        <v>0.38124999999999998</v>
      </c>
      <c r="AU78" s="207">
        <v>0.64166666666666672</v>
      </c>
      <c r="AV78" s="206">
        <v>0.39444444444444443</v>
      </c>
      <c r="AW78" s="205" t="s">
        <v>679</v>
      </c>
      <c r="AX78" s="204" t="s">
        <v>679</v>
      </c>
      <c r="AY78" s="205" t="s">
        <v>679</v>
      </c>
      <c r="AZ78" s="196"/>
      <c r="BA78" s="197"/>
      <c r="BB78" s="196"/>
      <c r="BC78" s="197"/>
      <c r="BD78" s="181"/>
      <c r="BE78" s="180"/>
      <c r="BF78" s="181"/>
      <c r="BG78" s="180"/>
      <c r="BH78" s="181"/>
      <c r="BI78" s="180"/>
      <c r="BJ78" s="181"/>
      <c r="BK78" s="180"/>
      <c r="BL78" s="181"/>
      <c r="BM78" s="180"/>
      <c r="BN78" s="198">
        <f t="shared" si="2"/>
        <v>19</v>
      </c>
      <c r="BO78" s="199">
        <f t="shared" si="3"/>
        <v>18</v>
      </c>
    </row>
    <row r="79" spans="1:67" ht="16.5">
      <c r="A79" s="169" t="s">
        <v>123</v>
      </c>
      <c r="B79" s="169" t="s">
        <v>128</v>
      </c>
      <c r="C79" s="175" t="s">
        <v>194</v>
      </c>
      <c r="D79" s="207">
        <v>0.37708333333333333</v>
      </c>
      <c r="E79" s="207">
        <v>0.6694444444444444</v>
      </c>
      <c r="F79" s="206">
        <v>0.3840277777777778</v>
      </c>
      <c r="G79" s="207">
        <v>0.72499999999999998</v>
      </c>
      <c r="H79" s="206">
        <v>0.3888888888888889</v>
      </c>
      <c r="I79" s="207">
        <v>0.70138888888888884</v>
      </c>
      <c r="J79" s="342">
        <v>0.45833333333333331</v>
      </c>
      <c r="K79" s="340" t="s">
        <v>679</v>
      </c>
      <c r="L79" s="339" t="s">
        <v>679</v>
      </c>
      <c r="M79" s="340" t="s">
        <v>679</v>
      </c>
      <c r="N79" s="206">
        <v>0.44861111111111113</v>
      </c>
      <c r="O79" s="207">
        <v>0.67986111111111114</v>
      </c>
      <c r="P79" s="206">
        <v>0.36319444444444443</v>
      </c>
      <c r="Q79" s="207">
        <v>0.67708333333333337</v>
      </c>
      <c r="R79" s="206">
        <v>0.3298611111111111</v>
      </c>
      <c r="S79" s="207">
        <v>0.65208333333333335</v>
      </c>
      <c r="T79" s="206">
        <v>0.36875000000000002</v>
      </c>
      <c r="U79" s="207">
        <v>0.66597222222222219</v>
      </c>
      <c r="V79" s="206">
        <v>0.38263888888888886</v>
      </c>
      <c r="W79" s="207">
        <v>0.65972222222222221</v>
      </c>
      <c r="X79" s="342">
        <v>0.36875000000000002</v>
      </c>
      <c r="Y79" s="340" t="s">
        <v>679</v>
      </c>
      <c r="Z79" s="339" t="s">
        <v>679</v>
      </c>
      <c r="AA79" s="340" t="s">
        <v>679</v>
      </c>
      <c r="AB79" s="206">
        <v>0.43472222222222223</v>
      </c>
      <c r="AC79" s="207">
        <v>0.7055555555555556</v>
      </c>
      <c r="AD79" s="206">
        <v>0.38263888888888886</v>
      </c>
      <c r="AE79" s="207">
        <v>0.71250000000000002</v>
      </c>
      <c r="AF79" s="206">
        <v>0.38750000000000001</v>
      </c>
      <c r="AG79" s="207">
        <v>0.6791666666666667</v>
      </c>
      <c r="AH79" s="206">
        <v>0.3888888888888889</v>
      </c>
      <c r="AI79" s="207">
        <v>0.66666666666666663</v>
      </c>
      <c r="AJ79" s="206">
        <v>0.43333333333333335</v>
      </c>
      <c r="AK79" s="207">
        <v>0.71736111111111112</v>
      </c>
      <c r="AL79" s="342">
        <v>0.37569444444444444</v>
      </c>
      <c r="AM79" s="340" t="s">
        <v>679</v>
      </c>
      <c r="AN79" s="339" t="s">
        <v>679</v>
      </c>
      <c r="AO79" s="340" t="s">
        <v>679</v>
      </c>
      <c r="AP79" s="206">
        <v>0.38055555555555554</v>
      </c>
      <c r="AQ79" s="207">
        <v>0.72847222222222219</v>
      </c>
      <c r="AR79" s="206">
        <v>0.36527777777777776</v>
      </c>
      <c r="AS79" s="207">
        <v>0.70902777777777781</v>
      </c>
      <c r="AT79" s="206">
        <v>0.38194444444444442</v>
      </c>
      <c r="AU79" s="207">
        <v>0.73124999999999996</v>
      </c>
      <c r="AV79" s="206">
        <v>0.37708333333333333</v>
      </c>
      <c r="AW79" s="205" t="s">
        <v>679</v>
      </c>
      <c r="AX79" s="204" t="s">
        <v>679</v>
      </c>
      <c r="AY79" s="205" t="s">
        <v>679</v>
      </c>
      <c r="AZ79" s="196"/>
      <c r="BA79" s="197"/>
      <c r="BB79" s="196"/>
      <c r="BC79" s="197"/>
      <c r="BD79" s="181"/>
      <c r="BE79" s="180"/>
      <c r="BF79" s="181"/>
      <c r="BG79" s="180"/>
      <c r="BH79" s="181"/>
      <c r="BI79" s="180"/>
      <c r="BJ79" s="181"/>
      <c r="BK79" s="180"/>
      <c r="BL79" s="181"/>
      <c r="BM79" s="180"/>
      <c r="BN79" s="198">
        <f t="shared" si="2"/>
        <v>19</v>
      </c>
      <c r="BO79" s="199">
        <f t="shared" si="3"/>
        <v>18</v>
      </c>
    </row>
    <row r="80" spans="1:67" ht="16.5">
      <c r="A80" s="169" t="s">
        <v>123</v>
      </c>
      <c r="B80" s="169" t="s">
        <v>130</v>
      </c>
      <c r="C80" s="175" t="s">
        <v>131</v>
      </c>
      <c r="D80" s="207">
        <v>0.38819444444444445</v>
      </c>
      <c r="E80" s="207">
        <v>0.67222222222222228</v>
      </c>
      <c r="F80" s="206">
        <v>0.37986111111111109</v>
      </c>
      <c r="G80" s="207">
        <v>0.71666666666666667</v>
      </c>
      <c r="H80" s="206">
        <v>0.35555555555555557</v>
      </c>
      <c r="I80" s="207">
        <v>0.71250000000000002</v>
      </c>
      <c r="J80" s="342">
        <v>0.50972222222222219</v>
      </c>
      <c r="K80" s="340" t="s">
        <v>679</v>
      </c>
      <c r="L80" s="339" t="s">
        <v>679</v>
      </c>
      <c r="M80" s="340" t="s">
        <v>679</v>
      </c>
      <c r="N80" s="206">
        <v>0.47152777777777777</v>
      </c>
      <c r="O80" s="207">
        <v>0.77916666666666667</v>
      </c>
      <c r="P80" s="206">
        <v>0.38263888888888886</v>
      </c>
      <c r="Q80" s="207">
        <v>0.65486111111111112</v>
      </c>
      <c r="R80" s="206">
        <v>0.37430555555555556</v>
      </c>
      <c r="S80" s="205" t="s">
        <v>679</v>
      </c>
      <c r="T80" s="204" t="s">
        <v>679</v>
      </c>
      <c r="U80" s="205" t="s">
        <v>679</v>
      </c>
      <c r="V80" s="206">
        <v>0.39166666666666666</v>
      </c>
      <c r="W80" s="207">
        <v>0.67986111111111114</v>
      </c>
      <c r="X80" s="339" t="s">
        <v>679</v>
      </c>
      <c r="Y80" s="340" t="s">
        <v>679</v>
      </c>
      <c r="Z80" s="339" t="s">
        <v>679</v>
      </c>
      <c r="AA80" s="340" t="s">
        <v>679</v>
      </c>
      <c r="AB80" s="206">
        <v>0.39097222222222222</v>
      </c>
      <c r="AC80" s="207">
        <v>0.6791666666666667</v>
      </c>
      <c r="AD80" s="206">
        <v>0.38472222222222224</v>
      </c>
      <c r="AE80" s="207">
        <v>0.67569444444444449</v>
      </c>
      <c r="AF80" s="206">
        <v>0.38541666666666669</v>
      </c>
      <c r="AG80" s="207">
        <v>0.68541666666666667</v>
      </c>
      <c r="AH80" s="204" t="s">
        <v>679</v>
      </c>
      <c r="AI80" s="207">
        <v>0.65972222222222221</v>
      </c>
      <c r="AJ80" s="206">
        <v>0.39444444444444443</v>
      </c>
      <c r="AK80" s="207">
        <v>0.67152777777777772</v>
      </c>
      <c r="AL80" s="339" t="s">
        <v>679</v>
      </c>
      <c r="AM80" s="340" t="s">
        <v>679</v>
      </c>
      <c r="AN80" s="339" t="s">
        <v>679</v>
      </c>
      <c r="AO80" s="340" t="s">
        <v>679</v>
      </c>
      <c r="AP80" s="206">
        <v>0.36944444444444446</v>
      </c>
      <c r="AQ80" s="207">
        <v>0.67361111111111116</v>
      </c>
      <c r="AR80" s="206">
        <v>0.37291666666666667</v>
      </c>
      <c r="AS80" s="207">
        <v>0.74722222222222223</v>
      </c>
      <c r="AT80" s="206">
        <v>0.38055555555555554</v>
      </c>
      <c r="AU80" s="207">
        <v>0.74375000000000002</v>
      </c>
      <c r="AV80" s="206">
        <v>0.37638888888888888</v>
      </c>
      <c r="AW80" s="207">
        <v>0.50277777777777777</v>
      </c>
      <c r="AX80" s="204" t="s">
        <v>679</v>
      </c>
      <c r="AY80" s="205" t="s">
        <v>679</v>
      </c>
      <c r="AZ80" s="196"/>
      <c r="BA80" s="197"/>
      <c r="BB80" s="196"/>
      <c r="BC80" s="197"/>
      <c r="BD80" s="181"/>
      <c r="BE80" s="180"/>
      <c r="BF80" s="181"/>
      <c r="BG80" s="180"/>
      <c r="BH80" s="181"/>
      <c r="BI80" s="180"/>
      <c r="BJ80" s="181"/>
      <c r="BK80" s="180"/>
      <c r="BL80" s="181"/>
      <c r="BM80" s="180"/>
      <c r="BN80" s="198">
        <f t="shared" si="2"/>
        <v>19</v>
      </c>
      <c r="BO80" s="199">
        <f t="shared" si="3"/>
        <v>18</v>
      </c>
    </row>
    <row r="81" spans="1:67" ht="16.5">
      <c r="A81" s="169" t="s">
        <v>123</v>
      </c>
      <c r="B81" s="169" t="s">
        <v>132</v>
      </c>
      <c r="C81" s="175" t="s">
        <v>133</v>
      </c>
      <c r="D81" s="207">
        <v>0.37361111111111112</v>
      </c>
      <c r="E81" s="207">
        <v>0.63472222222222219</v>
      </c>
      <c r="F81" s="206">
        <v>0.37986111111111109</v>
      </c>
      <c r="G81" s="207">
        <v>0.64375000000000004</v>
      </c>
      <c r="H81" s="206">
        <v>0.39930555555555558</v>
      </c>
      <c r="I81" s="207">
        <v>0.65486111111111112</v>
      </c>
      <c r="J81" s="342">
        <v>0.37638888888888888</v>
      </c>
      <c r="K81" s="340" t="s">
        <v>679</v>
      </c>
      <c r="L81" s="339" t="s">
        <v>679</v>
      </c>
      <c r="M81" s="340" t="s">
        <v>679</v>
      </c>
      <c r="N81" s="206">
        <v>0.38472222222222224</v>
      </c>
      <c r="O81" s="207">
        <v>0.65</v>
      </c>
      <c r="P81" s="206">
        <v>0.39513888888888887</v>
      </c>
      <c r="Q81" s="207">
        <v>0.63680555555555551</v>
      </c>
      <c r="R81" s="206">
        <v>0.38472222222222224</v>
      </c>
      <c r="S81" s="207">
        <v>0.65555555555555556</v>
      </c>
      <c r="T81" s="206">
        <v>0.39444444444444443</v>
      </c>
      <c r="U81" s="207">
        <v>0.65486111111111112</v>
      </c>
      <c r="V81" s="206">
        <v>0.36041666666666666</v>
      </c>
      <c r="W81" s="207">
        <v>0.64861111111111114</v>
      </c>
      <c r="X81" s="339" t="s">
        <v>679</v>
      </c>
      <c r="Y81" s="340" t="s">
        <v>679</v>
      </c>
      <c r="Z81" s="339" t="s">
        <v>679</v>
      </c>
      <c r="AA81" s="340" t="s">
        <v>679</v>
      </c>
      <c r="AB81" s="206">
        <v>0.37847222222222221</v>
      </c>
      <c r="AC81" s="207">
        <v>0.62847222222222221</v>
      </c>
      <c r="AD81" s="206">
        <v>0.38194444444444442</v>
      </c>
      <c r="AE81" s="207">
        <v>0.64166666666666672</v>
      </c>
      <c r="AF81" s="206">
        <v>0.40208333333333335</v>
      </c>
      <c r="AG81" s="207">
        <v>0.63611111111111107</v>
      </c>
      <c r="AH81" s="206">
        <v>0.40972222222222221</v>
      </c>
      <c r="AI81" s="207">
        <v>0.64583333333333337</v>
      </c>
      <c r="AJ81" s="206">
        <v>0.3923611111111111</v>
      </c>
      <c r="AK81" s="207">
        <v>0.64236111111111116</v>
      </c>
      <c r="AL81" s="339" t="s">
        <v>679</v>
      </c>
      <c r="AM81" s="340" t="s">
        <v>679</v>
      </c>
      <c r="AN81" s="339" t="s">
        <v>679</v>
      </c>
      <c r="AO81" s="340" t="s">
        <v>679</v>
      </c>
      <c r="AP81" s="206">
        <v>0.39027777777777778</v>
      </c>
      <c r="AQ81" s="207">
        <v>0.63541666666666663</v>
      </c>
      <c r="AR81" s="206">
        <v>0.38124999999999998</v>
      </c>
      <c r="AS81" s="207">
        <v>0.62708333333333333</v>
      </c>
      <c r="AT81" s="206">
        <v>0.37847222222222221</v>
      </c>
      <c r="AU81" s="207">
        <v>0.63749999999999996</v>
      </c>
      <c r="AV81" s="206">
        <v>0.38472222222222224</v>
      </c>
      <c r="AW81" s="205" t="s">
        <v>679</v>
      </c>
      <c r="AX81" s="204" t="s">
        <v>679</v>
      </c>
      <c r="AY81" s="205" t="s">
        <v>679</v>
      </c>
      <c r="AZ81" s="196"/>
      <c r="BA81" s="197"/>
      <c r="BB81" s="196"/>
      <c r="BC81" s="197"/>
      <c r="BD81" s="181"/>
      <c r="BE81" s="180"/>
      <c r="BF81" s="181"/>
      <c r="BG81" s="180"/>
      <c r="BH81" s="181"/>
      <c r="BI81" s="180"/>
      <c r="BJ81" s="181"/>
      <c r="BK81" s="180"/>
      <c r="BL81" s="181"/>
      <c r="BM81" s="180"/>
      <c r="BN81" s="198">
        <f t="shared" si="2"/>
        <v>19</v>
      </c>
      <c r="BO81" s="199">
        <f t="shared" si="3"/>
        <v>18</v>
      </c>
    </row>
    <row r="82" spans="1:67" ht="16.5">
      <c r="A82" s="170" t="s">
        <v>134</v>
      </c>
      <c r="B82" s="170" t="s">
        <v>135</v>
      </c>
      <c r="C82" s="172" t="s">
        <v>136</v>
      </c>
      <c r="D82" s="203">
        <v>0.38680555555555557</v>
      </c>
      <c r="E82" s="203">
        <v>0.65902777777777777</v>
      </c>
      <c r="F82" s="201">
        <v>0.375</v>
      </c>
      <c r="G82" s="203">
        <v>0.63541666666666663</v>
      </c>
      <c r="H82" s="201">
        <v>0.4152777777777778</v>
      </c>
      <c r="I82" s="203">
        <v>0.6333333333333333</v>
      </c>
      <c r="J82" s="335" t="s">
        <v>679</v>
      </c>
      <c r="K82" s="336" t="s">
        <v>679</v>
      </c>
      <c r="L82" s="335" t="s">
        <v>679</v>
      </c>
      <c r="M82" s="336" t="s">
        <v>679</v>
      </c>
      <c r="N82" s="201">
        <v>0.36527777777777776</v>
      </c>
      <c r="O82" s="203">
        <v>0.61458333333333337</v>
      </c>
      <c r="P82" s="201">
        <v>0.3611111111111111</v>
      </c>
      <c r="Q82" s="203">
        <v>0.6430555555555556</v>
      </c>
      <c r="R82" s="201">
        <v>0.35555555555555557</v>
      </c>
      <c r="S82" s="203">
        <v>0.63402777777777775</v>
      </c>
      <c r="T82" s="201">
        <v>0.35486111111111113</v>
      </c>
      <c r="U82" s="203">
        <v>0.65347222222222223</v>
      </c>
      <c r="V82" s="201">
        <v>0.42638888888888887</v>
      </c>
      <c r="W82" s="203">
        <v>0.65</v>
      </c>
      <c r="X82" s="335" t="s">
        <v>679</v>
      </c>
      <c r="Y82" s="336" t="s">
        <v>679</v>
      </c>
      <c r="Z82" s="335" t="s">
        <v>679</v>
      </c>
      <c r="AA82" s="336" t="s">
        <v>679</v>
      </c>
      <c r="AB82" s="201">
        <v>0.35347222222222224</v>
      </c>
      <c r="AC82" s="203">
        <v>0.63263888888888886</v>
      </c>
      <c r="AD82" s="201">
        <v>0.35486111111111113</v>
      </c>
      <c r="AE82" s="203">
        <v>0.63680555555555551</v>
      </c>
      <c r="AF82" s="201">
        <v>0.40625</v>
      </c>
      <c r="AG82" s="203">
        <v>0.66041666666666665</v>
      </c>
      <c r="AH82" s="201">
        <v>0.36527777777777776</v>
      </c>
      <c r="AI82" s="203">
        <v>0.63749999999999996</v>
      </c>
      <c r="AJ82" s="201">
        <v>0.38819444444444445</v>
      </c>
      <c r="AK82" s="203">
        <v>0.60555555555555551</v>
      </c>
      <c r="AL82" s="335" t="s">
        <v>679</v>
      </c>
      <c r="AM82" s="336" t="s">
        <v>679</v>
      </c>
      <c r="AN82" s="335" t="s">
        <v>679</v>
      </c>
      <c r="AO82" s="336" t="s">
        <v>679</v>
      </c>
      <c r="AP82" s="201">
        <v>0.35694444444444445</v>
      </c>
      <c r="AQ82" s="203">
        <v>0.64375000000000004</v>
      </c>
      <c r="AR82" s="201">
        <v>0.35694444444444445</v>
      </c>
      <c r="AS82" s="203">
        <v>0.63611111111111107</v>
      </c>
      <c r="AT82" s="201">
        <v>0.35555555555555557</v>
      </c>
      <c r="AU82" s="203">
        <v>0.62847222222222221</v>
      </c>
      <c r="AV82" s="201">
        <v>0.35486111111111113</v>
      </c>
      <c r="AW82" s="202"/>
      <c r="AX82" s="200" t="s">
        <v>679</v>
      </c>
      <c r="AY82" s="202"/>
      <c r="AZ82" s="198"/>
      <c r="BA82" s="199"/>
      <c r="BB82" s="198"/>
      <c r="BC82" s="199"/>
      <c r="BD82" s="179"/>
      <c r="BE82" s="147"/>
      <c r="BF82" s="179"/>
      <c r="BG82" s="147"/>
      <c r="BH82" s="179"/>
      <c r="BI82" s="147"/>
      <c r="BJ82" s="179"/>
      <c r="BK82" s="147"/>
      <c r="BL82" s="179"/>
      <c r="BM82" s="147"/>
      <c r="BN82" s="198">
        <f t="shared" si="2"/>
        <v>19</v>
      </c>
      <c r="BO82" s="199">
        <f t="shared" si="3"/>
        <v>16</v>
      </c>
    </row>
    <row r="83" spans="1:67" ht="16.5">
      <c r="A83" s="170" t="s">
        <v>134</v>
      </c>
      <c r="B83" s="170" t="s">
        <v>135</v>
      </c>
      <c r="C83" s="172" t="s">
        <v>137</v>
      </c>
      <c r="D83" s="202"/>
      <c r="E83" s="202"/>
      <c r="F83" s="200" t="s">
        <v>679</v>
      </c>
      <c r="G83" s="202"/>
      <c r="H83" s="200" t="s">
        <v>679</v>
      </c>
      <c r="I83" s="202"/>
      <c r="J83" s="335" t="s">
        <v>679</v>
      </c>
      <c r="K83" s="336" t="s">
        <v>679</v>
      </c>
      <c r="L83" s="335" t="s">
        <v>679</v>
      </c>
      <c r="M83" s="336" t="s">
        <v>679</v>
      </c>
      <c r="N83" s="200" t="s">
        <v>679</v>
      </c>
      <c r="O83" s="202"/>
      <c r="P83" s="200" t="s">
        <v>679</v>
      </c>
      <c r="Q83" s="202"/>
      <c r="R83" s="200" t="s">
        <v>679</v>
      </c>
      <c r="S83" s="202"/>
      <c r="T83" s="200" t="s">
        <v>679</v>
      </c>
      <c r="U83" s="202"/>
      <c r="V83" s="200" t="s">
        <v>679</v>
      </c>
      <c r="W83" s="202"/>
      <c r="X83" s="335" t="s">
        <v>679</v>
      </c>
      <c r="Y83" s="336" t="s">
        <v>679</v>
      </c>
      <c r="Z83" s="335" t="s">
        <v>679</v>
      </c>
      <c r="AA83" s="336" t="s">
        <v>679</v>
      </c>
      <c r="AB83" s="200" t="s">
        <v>679</v>
      </c>
      <c r="AC83" s="202"/>
      <c r="AD83" s="200" t="s">
        <v>679</v>
      </c>
      <c r="AE83" s="202"/>
      <c r="AF83" s="200" t="s">
        <v>679</v>
      </c>
      <c r="AG83" s="202"/>
      <c r="AH83" s="200" t="s">
        <v>679</v>
      </c>
      <c r="AI83" s="202"/>
      <c r="AJ83" s="200" t="s">
        <v>679</v>
      </c>
      <c r="AK83" s="202"/>
      <c r="AL83" s="335" t="s">
        <v>679</v>
      </c>
      <c r="AM83" s="336" t="s">
        <v>679</v>
      </c>
      <c r="AN83" s="335" t="s">
        <v>679</v>
      </c>
      <c r="AO83" s="336" t="s">
        <v>679</v>
      </c>
      <c r="AP83" s="200" t="s">
        <v>679</v>
      </c>
      <c r="AQ83" s="202"/>
      <c r="AR83" s="200" t="s">
        <v>679</v>
      </c>
      <c r="AS83" s="202"/>
      <c r="AT83" s="200" t="s">
        <v>679</v>
      </c>
      <c r="AU83" s="202"/>
      <c r="AV83" s="200" t="s">
        <v>679</v>
      </c>
      <c r="AW83" s="202"/>
      <c r="AX83" s="200" t="s">
        <v>679</v>
      </c>
      <c r="AY83" s="202"/>
      <c r="AZ83" s="198"/>
      <c r="BA83" s="199"/>
      <c r="BB83" s="198"/>
      <c r="BC83" s="199"/>
      <c r="BD83" s="179"/>
      <c r="BE83" s="147"/>
      <c r="BF83" s="179"/>
      <c r="BG83" s="147"/>
      <c r="BH83" s="179"/>
      <c r="BI83" s="147"/>
      <c r="BJ83" s="179"/>
      <c r="BK83" s="147"/>
      <c r="BL83" s="179"/>
      <c r="BM83" s="147"/>
      <c r="BN83" s="198">
        <f t="shared" si="2"/>
        <v>18</v>
      </c>
      <c r="BO83" s="199">
        <f t="shared" si="3"/>
        <v>0</v>
      </c>
    </row>
    <row r="84" spans="1:67" ht="16.5">
      <c r="A84" s="170" t="s">
        <v>134</v>
      </c>
      <c r="B84" s="170" t="s">
        <v>135</v>
      </c>
      <c r="C84" s="172" t="s">
        <v>138</v>
      </c>
      <c r="D84" s="202"/>
      <c r="E84" s="202"/>
      <c r="F84" s="200" t="s">
        <v>679</v>
      </c>
      <c r="G84" s="202"/>
      <c r="H84" s="200" t="s">
        <v>679</v>
      </c>
      <c r="I84" s="202"/>
      <c r="J84" s="335" t="s">
        <v>679</v>
      </c>
      <c r="K84" s="336" t="s">
        <v>679</v>
      </c>
      <c r="L84" s="335" t="s">
        <v>679</v>
      </c>
      <c r="M84" s="336" t="s">
        <v>679</v>
      </c>
      <c r="N84" s="200" t="s">
        <v>679</v>
      </c>
      <c r="O84" s="202"/>
      <c r="P84" s="200" t="s">
        <v>679</v>
      </c>
      <c r="Q84" s="202"/>
      <c r="R84" s="200" t="s">
        <v>679</v>
      </c>
      <c r="S84" s="202"/>
      <c r="T84" s="200" t="s">
        <v>679</v>
      </c>
      <c r="U84" s="202"/>
      <c r="V84" s="200" t="s">
        <v>679</v>
      </c>
      <c r="W84" s="202"/>
      <c r="X84" s="335" t="s">
        <v>679</v>
      </c>
      <c r="Y84" s="336" t="s">
        <v>679</v>
      </c>
      <c r="Z84" s="335" t="s">
        <v>679</v>
      </c>
      <c r="AA84" s="336" t="s">
        <v>679</v>
      </c>
      <c r="AB84" s="200" t="s">
        <v>679</v>
      </c>
      <c r="AC84" s="202"/>
      <c r="AD84" s="200" t="s">
        <v>679</v>
      </c>
      <c r="AE84" s="202"/>
      <c r="AF84" s="200" t="s">
        <v>679</v>
      </c>
      <c r="AG84" s="202"/>
      <c r="AH84" s="200" t="s">
        <v>679</v>
      </c>
      <c r="AI84" s="202"/>
      <c r="AJ84" s="200" t="s">
        <v>679</v>
      </c>
      <c r="AK84" s="202"/>
      <c r="AL84" s="335" t="s">
        <v>679</v>
      </c>
      <c r="AM84" s="336" t="s">
        <v>679</v>
      </c>
      <c r="AN84" s="335" t="s">
        <v>679</v>
      </c>
      <c r="AO84" s="336" t="s">
        <v>679</v>
      </c>
      <c r="AP84" s="200" t="s">
        <v>679</v>
      </c>
      <c r="AQ84" s="202"/>
      <c r="AR84" s="200" t="s">
        <v>679</v>
      </c>
      <c r="AS84" s="202"/>
      <c r="AT84" s="200" t="s">
        <v>679</v>
      </c>
      <c r="AU84" s="202"/>
      <c r="AV84" s="200" t="s">
        <v>679</v>
      </c>
      <c r="AW84" s="202"/>
      <c r="AX84" s="200" t="s">
        <v>679</v>
      </c>
      <c r="AY84" s="202"/>
      <c r="AZ84" s="198"/>
      <c r="BA84" s="199"/>
      <c r="BB84" s="198"/>
      <c r="BC84" s="199"/>
      <c r="BD84" s="179"/>
      <c r="BE84" s="147"/>
      <c r="BF84" s="179"/>
      <c r="BG84" s="147"/>
      <c r="BH84" s="179"/>
      <c r="BI84" s="147"/>
      <c r="BJ84" s="179"/>
      <c r="BK84" s="147"/>
      <c r="BL84" s="179"/>
      <c r="BM84" s="147"/>
      <c r="BN84" s="198">
        <f t="shared" si="2"/>
        <v>18</v>
      </c>
      <c r="BO84" s="199">
        <f t="shared" si="3"/>
        <v>0</v>
      </c>
    </row>
    <row r="85" spans="1:67" ht="16.5">
      <c r="A85" s="170" t="s">
        <v>134</v>
      </c>
      <c r="B85" s="170" t="s">
        <v>135</v>
      </c>
      <c r="C85" s="172" t="s">
        <v>139</v>
      </c>
      <c r="D85" s="202"/>
      <c r="E85" s="202"/>
      <c r="F85" s="200" t="s">
        <v>679</v>
      </c>
      <c r="G85" s="202"/>
      <c r="H85" s="200" t="s">
        <v>679</v>
      </c>
      <c r="I85" s="202"/>
      <c r="J85" s="335" t="s">
        <v>679</v>
      </c>
      <c r="K85" s="336" t="s">
        <v>679</v>
      </c>
      <c r="L85" s="335" t="s">
        <v>679</v>
      </c>
      <c r="M85" s="336" t="s">
        <v>679</v>
      </c>
      <c r="N85" s="200" t="s">
        <v>679</v>
      </c>
      <c r="O85" s="202"/>
      <c r="P85" s="200" t="s">
        <v>679</v>
      </c>
      <c r="Q85" s="202"/>
      <c r="R85" s="200" t="s">
        <v>679</v>
      </c>
      <c r="S85" s="202"/>
      <c r="T85" s="200" t="s">
        <v>679</v>
      </c>
      <c r="U85" s="202"/>
      <c r="V85" s="200" t="s">
        <v>679</v>
      </c>
      <c r="W85" s="202"/>
      <c r="X85" s="335" t="s">
        <v>679</v>
      </c>
      <c r="Y85" s="336" t="s">
        <v>679</v>
      </c>
      <c r="Z85" s="335" t="s">
        <v>679</v>
      </c>
      <c r="AA85" s="336" t="s">
        <v>679</v>
      </c>
      <c r="AB85" s="200" t="s">
        <v>679</v>
      </c>
      <c r="AC85" s="202"/>
      <c r="AD85" s="200" t="s">
        <v>679</v>
      </c>
      <c r="AE85" s="202"/>
      <c r="AF85" s="200" t="s">
        <v>679</v>
      </c>
      <c r="AG85" s="202"/>
      <c r="AH85" s="200" t="s">
        <v>679</v>
      </c>
      <c r="AI85" s="202"/>
      <c r="AJ85" s="200" t="s">
        <v>679</v>
      </c>
      <c r="AK85" s="202"/>
      <c r="AL85" s="335" t="s">
        <v>679</v>
      </c>
      <c r="AM85" s="336" t="s">
        <v>679</v>
      </c>
      <c r="AN85" s="335" t="s">
        <v>679</v>
      </c>
      <c r="AO85" s="336" t="s">
        <v>679</v>
      </c>
      <c r="AP85" s="200" t="s">
        <v>679</v>
      </c>
      <c r="AQ85" s="202"/>
      <c r="AR85" s="200" t="s">
        <v>679</v>
      </c>
      <c r="AS85" s="202"/>
      <c r="AT85" s="200" t="s">
        <v>679</v>
      </c>
      <c r="AU85" s="202"/>
      <c r="AV85" s="200" t="s">
        <v>679</v>
      </c>
      <c r="AW85" s="202"/>
      <c r="AX85" s="200" t="s">
        <v>679</v>
      </c>
      <c r="AY85" s="202"/>
      <c r="AZ85" s="198"/>
      <c r="BA85" s="199"/>
      <c r="BB85" s="198"/>
      <c r="BC85" s="199"/>
      <c r="BD85" s="179"/>
      <c r="BE85" s="147"/>
      <c r="BF85" s="179"/>
      <c r="BG85" s="147"/>
      <c r="BH85" s="179"/>
      <c r="BI85" s="147"/>
      <c r="BJ85" s="179"/>
      <c r="BK85" s="147"/>
      <c r="BL85" s="179"/>
      <c r="BM85" s="147"/>
      <c r="BN85" s="198">
        <f t="shared" si="2"/>
        <v>18</v>
      </c>
      <c r="BO85" s="199">
        <f t="shared" si="3"/>
        <v>0</v>
      </c>
    </row>
    <row r="86" spans="1:67" ht="16.5">
      <c r="A86" s="169" t="s">
        <v>134</v>
      </c>
      <c r="B86" s="169" t="s">
        <v>135</v>
      </c>
      <c r="C86" s="175" t="s">
        <v>140</v>
      </c>
      <c r="D86" s="205" t="s">
        <v>679</v>
      </c>
      <c r="E86" s="205" t="s">
        <v>679</v>
      </c>
      <c r="F86" s="204" t="s">
        <v>679</v>
      </c>
      <c r="G86" s="205" t="s">
        <v>679</v>
      </c>
      <c r="H86" s="204" t="s">
        <v>679</v>
      </c>
      <c r="I86" s="205" t="s">
        <v>679</v>
      </c>
      <c r="J86" s="339" t="s">
        <v>679</v>
      </c>
      <c r="K86" s="340" t="s">
        <v>679</v>
      </c>
      <c r="L86" s="339" t="s">
        <v>679</v>
      </c>
      <c r="M86" s="340" t="s">
        <v>679</v>
      </c>
      <c r="N86" s="204" t="s">
        <v>679</v>
      </c>
      <c r="O86" s="205" t="s">
        <v>679</v>
      </c>
      <c r="P86" s="204" t="s">
        <v>679</v>
      </c>
      <c r="Q86" s="205" t="s">
        <v>679</v>
      </c>
      <c r="R86" s="204" t="s">
        <v>679</v>
      </c>
      <c r="S86" s="205" t="s">
        <v>679</v>
      </c>
      <c r="T86" s="204" t="s">
        <v>679</v>
      </c>
      <c r="U86" s="205" t="s">
        <v>679</v>
      </c>
      <c r="V86" s="204" t="s">
        <v>679</v>
      </c>
      <c r="W86" s="205" t="s">
        <v>679</v>
      </c>
      <c r="X86" s="339" t="s">
        <v>679</v>
      </c>
      <c r="Y86" s="340" t="s">
        <v>679</v>
      </c>
      <c r="Z86" s="339" t="s">
        <v>679</v>
      </c>
      <c r="AA86" s="340" t="s">
        <v>679</v>
      </c>
      <c r="AB86" s="204" t="s">
        <v>679</v>
      </c>
      <c r="AC86" s="205" t="s">
        <v>679</v>
      </c>
      <c r="AD86" s="204" t="s">
        <v>679</v>
      </c>
      <c r="AE86" s="205" t="s">
        <v>679</v>
      </c>
      <c r="AF86" s="204" t="s">
        <v>679</v>
      </c>
      <c r="AG86" s="205" t="s">
        <v>679</v>
      </c>
      <c r="AH86" s="204" t="s">
        <v>679</v>
      </c>
      <c r="AI86" s="205" t="s">
        <v>679</v>
      </c>
      <c r="AJ86" s="204" t="s">
        <v>679</v>
      </c>
      <c r="AK86" s="205" t="s">
        <v>679</v>
      </c>
      <c r="AL86" s="339" t="s">
        <v>679</v>
      </c>
      <c r="AM86" s="340" t="s">
        <v>679</v>
      </c>
      <c r="AN86" s="339" t="s">
        <v>679</v>
      </c>
      <c r="AO86" s="340" t="s">
        <v>679</v>
      </c>
      <c r="AP86" s="204" t="s">
        <v>679</v>
      </c>
      <c r="AQ86" s="205" t="s">
        <v>679</v>
      </c>
      <c r="AR86" s="204" t="s">
        <v>679</v>
      </c>
      <c r="AS86" s="205" t="s">
        <v>679</v>
      </c>
      <c r="AT86" s="204" t="s">
        <v>679</v>
      </c>
      <c r="AU86" s="205" t="s">
        <v>679</v>
      </c>
      <c r="AV86" s="204" t="s">
        <v>679</v>
      </c>
      <c r="AW86" s="205" t="s">
        <v>679</v>
      </c>
      <c r="AX86" s="204" t="s">
        <v>679</v>
      </c>
      <c r="AY86" s="205" t="s">
        <v>679</v>
      </c>
      <c r="AZ86" s="196"/>
      <c r="BA86" s="197"/>
      <c r="BB86" s="196"/>
      <c r="BC86" s="197"/>
      <c r="BD86" s="181"/>
      <c r="BE86" s="180"/>
      <c r="BF86" s="181"/>
      <c r="BG86" s="180"/>
      <c r="BH86" s="181"/>
      <c r="BI86" s="180"/>
      <c r="BJ86" s="181"/>
      <c r="BK86" s="180"/>
      <c r="BL86" s="181"/>
      <c r="BM86" s="180"/>
      <c r="BN86" s="198">
        <f t="shared" si="2"/>
        <v>19</v>
      </c>
      <c r="BO86" s="199">
        <f t="shared" si="3"/>
        <v>18</v>
      </c>
    </row>
    <row r="87" spans="1:67" ht="16.5">
      <c r="A87" s="170" t="s">
        <v>134</v>
      </c>
      <c r="B87" s="170" t="s">
        <v>141</v>
      </c>
      <c r="C87" s="172" t="s">
        <v>142</v>
      </c>
      <c r="D87" s="203">
        <v>0.40069444444444446</v>
      </c>
      <c r="E87" s="203">
        <v>0.67152777777777772</v>
      </c>
      <c r="F87" s="201">
        <v>0.34930555555555554</v>
      </c>
      <c r="G87" s="203">
        <v>0.64375000000000004</v>
      </c>
      <c r="H87" s="201">
        <v>0.3576388888888889</v>
      </c>
      <c r="I87" s="202"/>
      <c r="J87" s="335" t="s">
        <v>679</v>
      </c>
      <c r="K87" s="336" t="s">
        <v>679</v>
      </c>
      <c r="L87" s="335" t="s">
        <v>679</v>
      </c>
      <c r="M87" s="336" t="s">
        <v>679</v>
      </c>
      <c r="N87" s="201">
        <v>0.38333333333333336</v>
      </c>
      <c r="O87" s="203">
        <v>0.65972222222222221</v>
      </c>
      <c r="P87" s="201">
        <v>0.37847222222222221</v>
      </c>
      <c r="Q87" s="203">
        <v>0.65694444444444444</v>
      </c>
      <c r="R87" s="201">
        <v>0.36180555555555555</v>
      </c>
      <c r="S87" s="203">
        <v>0.66805555555555551</v>
      </c>
      <c r="T87" s="201">
        <v>0.39305555555555555</v>
      </c>
      <c r="U87" s="203">
        <v>0.65347222222222223</v>
      </c>
      <c r="V87" s="201">
        <v>0.35</v>
      </c>
      <c r="W87" s="203">
        <v>0.75763888888888886</v>
      </c>
      <c r="X87" s="335" t="s">
        <v>679</v>
      </c>
      <c r="Y87" s="336" t="s">
        <v>679</v>
      </c>
      <c r="Z87" s="335" t="s">
        <v>679</v>
      </c>
      <c r="AA87" s="336" t="s">
        <v>679</v>
      </c>
      <c r="AB87" s="201">
        <v>0.40277777777777779</v>
      </c>
      <c r="AC87" s="203">
        <v>0.68055555555555558</v>
      </c>
      <c r="AD87" s="201">
        <v>0.40138888888888891</v>
      </c>
      <c r="AE87" s="203">
        <v>0.65208333333333335</v>
      </c>
      <c r="AF87" s="201">
        <v>0.39166666666666666</v>
      </c>
      <c r="AG87" s="203">
        <v>0.65972222222222221</v>
      </c>
      <c r="AH87" s="201">
        <v>0.40902777777777777</v>
      </c>
      <c r="AI87" s="203">
        <v>0.66319444444444442</v>
      </c>
      <c r="AJ87" s="200" t="s">
        <v>679</v>
      </c>
      <c r="AK87" s="202"/>
      <c r="AL87" s="335" t="s">
        <v>679</v>
      </c>
      <c r="AM87" s="336" t="s">
        <v>679</v>
      </c>
      <c r="AN87" s="335" t="s">
        <v>679</v>
      </c>
      <c r="AO87" s="336" t="s">
        <v>679</v>
      </c>
      <c r="AP87" s="201">
        <v>0.39166666666666666</v>
      </c>
      <c r="AQ87" s="203">
        <v>0.67708333333333337</v>
      </c>
      <c r="AR87" s="201">
        <v>0.38750000000000001</v>
      </c>
      <c r="AS87" s="203">
        <v>0.65486111111111112</v>
      </c>
      <c r="AT87" s="201">
        <v>0.41666666666666669</v>
      </c>
      <c r="AU87" s="203">
        <v>0.68263888888888891</v>
      </c>
      <c r="AV87" s="201">
        <v>0.42430555555555555</v>
      </c>
      <c r="AW87" s="202"/>
      <c r="AX87" s="200" t="s">
        <v>679</v>
      </c>
      <c r="AY87" s="202"/>
      <c r="AZ87" s="198"/>
      <c r="BA87" s="199"/>
      <c r="BB87" s="198"/>
      <c r="BC87" s="199"/>
      <c r="BD87" s="179"/>
      <c r="BE87" s="147"/>
      <c r="BF87" s="179"/>
      <c r="BG87" s="147"/>
      <c r="BH87" s="179"/>
      <c r="BI87" s="147"/>
      <c r="BJ87" s="179"/>
      <c r="BK87" s="147"/>
      <c r="BL87" s="179"/>
      <c r="BM87" s="147"/>
      <c r="BN87" s="198">
        <f t="shared" si="2"/>
        <v>19</v>
      </c>
      <c r="BO87" s="199">
        <f t="shared" si="3"/>
        <v>14</v>
      </c>
    </row>
    <row r="88" spans="1:67" ht="16.5">
      <c r="A88" s="170" t="s">
        <v>134</v>
      </c>
      <c r="B88" s="170" t="s">
        <v>141</v>
      </c>
      <c r="C88" s="172" t="s">
        <v>143</v>
      </c>
      <c r="D88" s="202"/>
      <c r="E88" s="202"/>
      <c r="F88" s="200" t="s">
        <v>679</v>
      </c>
      <c r="G88" s="202"/>
      <c r="H88" s="200" t="s">
        <v>679</v>
      </c>
      <c r="I88" s="202"/>
      <c r="J88" s="335" t="s">
        <v>679</v>
      </c>
      <c r="K88" s="336" t="s">
        <v>679</v>
      </c>
      <c r="L88" s="335" t="s">
        <v>679</v>
      </c>
      <c r="M88" s="336" t="s">
        <v>679</v>
      </c>
      <c r="N88" s="200" t="s">
        <v>679</v>
      </c>
      <c r="O88" s="202"/>
      <c r="P88" s="200" t="s">
        <v>679</v>
      </c>
      <c r="Q88" s="202"/>
      <c r="R88" s="200" t="s">
        <v>679</v>
      </c>
      <c r="S88" s="202"/>
      <c r="T88" s="200" t="s">
        <v>679</v>
      </c>
      <c r="U88" s="202"/>
      <c r="V88" s="200" t="s">
        <v>679</v>
      </c>
      <c r="W88" s="202"/>
      <c r="X88" s="335" t="s">
        <v>679</v>
      </c>
      <c r="Y88" s="336" t="s">
        <v>679</v>
      </c>
      <c r="Z88" s="335" t="s">
        <v>679</v>
      </c>
      <c r="AA88" s="336" t="s">
        <v>679</v>
      </c>
      <c r="AB88" s="200" t="s">
        <v>679</v>
      </c>
      <c r="AC88" s="202"/>
      <c r="AD88" s="200" t="s">
        <v>679</v>
      </c>
      <c r="AE88" s="202"/>
      <c r="AF88" s="200" t="s">
        <v>679</v>
      </c>
      <c r="AG88" s="202"/>
      <c r="AH88" s="200" t="s">
        <v>679</v>
      </c>
      <c r="AI88" s="202"/>
      <c r="AJ88" s="200" t="s">
        <v>679</v>
      </c>
      <c r="AK88" s="202"/>
      <c r="AL88" s="335" t="s">
        <v>679</v>
      </c>
      <c r="AM88" s="336" t="s">
        <v>679</v>
      </c>
      <c r="AN88" s="335" t="s">
        <v>679</v>
      </c>
      <c r="AO88" s="336" t="s">
        <v>679</v>
      </c>
      <c r="AP88" s="200" t="s">
        <v>679</v>
      </c>
      <c r="AQ88" s="202"/>
      <c r="AR88" s="200" t="s">
        <v>679</v>
      </c>
      <c r="AS88" s="202"/>
      <c r="AT88" s="200" t="s">
        <v>679</v>
      </c>
      <c r="AU88" s="202"/>
      <c r="AV88" s="200" t="s">
        <v>679</v>
      </c>
      <c r="AW88" s="202"/>
      <c r="AX88" s="200" t="s">
        <v>679</v>
      </c>
      <c r="AY88" s="202"/>
      <c r="AZ88" s="198"/>
      <c r="BA88" s="199"/>
      <c r="BB88" s="198"/>
      <c r="BC88" s="199"/>
      <c r="BD88" s="179"/>
      <c r="BE88" s="147"/>
      <c r="BF88" s="179"/>
      <c r="BG88" s="147"/>
      <c r="BH88" s="179"/>
      <c r="BI88" s="147"/>
      <c r="BJ88" s="179"/>
      <c r="BK88" s="147"/>
      <c r="BL88" s="179"/>
      <c r="BM88" s="147"/>
      <c r="BN88" s="198">
        <f t="shared" si="2"/>
        <v>18</v>
      </c>
      <c r="BO88" s="199">
        <f t="shared" si="3"/>
        <v>0</v>
      </c>
    </row>
    <row r="89" spans="1:67" ht="16.5">
      <c r="A89" s="169" t="s">
        <v>134</v>
      </c>
      <c r="B89" s="169" t="s">
        <v>141</v>
      </c>
      <c r="C89" s="175" t="s">
        <v>144</v>
      </c>
      <c r="D89" s="205" t="s">
        <v>679</v>
      </c>
      <c r="E89" s="205" t="s">
        <v>679</v>
      </c>
      <c r="F89" s="204" t="s">
        <v>679</v>
      </c>
      <c r="G89" s="205" t="s">
        <v>679</v>
      </c>
      <c r="H89" s="204" t="s">
        <v>679</v>
      </c>
      <c r="I89" s="205" t="s">
        <v>679</v>
      </c>
      <c r="J89" s="339" t="s">
        <v>679</v>
      </c>
      <c r="K89" s="340" t="s">
        <v>679</v>
      </c>
      <c r="L89" s="339" t="s">
        <v>679</v>
      </c>
      <c r="M89" s="340" t="s">
        <v>679</v>
      </c>
      <c r="N89" s="204" t="s">
        <v>679</v>
      </c>
      <c r="O89" s="205" t="s">
        <v>679</v>
      </c>
      <c r="P89" s="204" t="s">
        <v>679</v>
      </c>
      <c r="Q89" s="205" t="s">
        <v>679</v>
      </c>
      <c r="R89" s="204" t="s">
        <v>679</v>
      </c>
      <c r="S89" s="205" t="s">
        <v>679</v>
      </c>
      <c r="T89" s="204" t="s">
        <v>679</v>
      </c>
      <c r="U89" s="205" t="s">
        <v>679</v>
      </c>
      <c r="V89" s="204" t="s">
        <v>679</v>
      </c>
      <c r="W89" s="205" t="s">
        <v>679</v>
      </c>
      <c r="X89" s="339" t="s">
        <v>679</v>
      </c>
      <c r="Y89" s="340" t="s">
        <v>679</v>
      </c>
      <c r="Z89" s="339" t="s">
        <v>679</v>
      </c>
      <c r="AA89" s="340" t="s">
        <v>679</v>
      </c>
      <c r="AB89" s="204" t="s">
        <v>679</v>
      </c>
      <c r="AC89" s="205" t="s">
        <v>679</v>
      </c>
      <c r="AD89" s="204" t="s">
        <v>679</v>
      </c>
      <c r="AE89" s="205" t="s">
        <v>679</v>
      </c>
      <c r="AF89" s="204" t="s">
        <v>679</v>
      </c>
      <c r="AG89" s="205" t="s">
        <v>679</v>
      </c>
      <c r="AH89" s="204" t="s">
        <v>679</v>
      </c>
      <c r="AI89" s="205" t="s">
        <v>679</v>
      </c>
      <c r="AJ89" s="204" t="s">
        <v>679</v>
      </c>
      <c r="AK89" s="205" t="s">
        <v>679</v>
      </c>
      <c r="AL89" s="339" t="s">
        <v>679</v>
      </c>
      <c r="AM89" s="340" t="s">
        <v>679</v>
      </c>
      <c r="AN89" s="339" t="s">
        <v>679</v>
      </c>
      <c r="AO89" s="340" t="s">
        <v>679</v>
      </c>
      <c r="AP89" s="204" t="s">
        <v>679</v>
      </c>
      <c r="AQ89" s="205" t="s">
        <v>679</v>
      </c>
      <c r="AR89" s="204" t="s">
        <v>679</v>
      </c>
      <c r="AS89" s="205" t="s">
        <v>679</v>
      </c>
      <c r="AT89" s="204" t="s">
        <v>679</v>
      </c>
      <c r="AU89" s="205" t="s">
        <v>679</v>
      </c>
      <c r="AV89" s="204" t="s">
        <v>679</v>
      </c>
      <c r="AW89" s="205" t="s">
        <v>679</v>
      </c>
      <c r="AX89" s="204" t="s">
        <v>679</v>
      </c>
      <c r="AY89" s="205" t="s">
        <v>679</v>
      </c>
      <c r="AZ89" s="196"/>
      <c r="BA89" s="197"/>
      <c r="BB89" s="196"/>
      <c r="BC89" s="197"/>
      <c r="BD89" s="181"/>
      <c r="BE89" s="180"/>
      <c r="BF89" s="181"/>
      <c r="BG89" s="180"/>
      <c r="BH89" s="181"/>
      <c r="BI89" s="180"/>
      <c r="BJ89" s="181"/>
      <c r="BK89" s="180"/>
      <c r="BL89" s="181"/>
      <c r="BM89" s="180"/>
      <c r="BN89" s="198">
        <f t="shared" si="2"/>
        <v>19</v>
      </c>
      <c r="BO89" s="199">
        <f t="shared" si="3"/>
        <v>18</v>
      </c>
    </row>
    <row r="90" spans="1:67" ht="16.5">
      <c r="A90" s="169" t="s">
        <v>134</v>
      </c>
      <c r="B90" s="169" t="s">
        <v>145</v>
      </c>
      <c r="C90" s="175" t="s">
        <v>146</v>
      </c>
      <c r="D90" s="205" t="s">
        <v>679</v>
      </c>
      <c r="E90" s="205" t="s">
        <v>679</v>
      </c>
      <c r="F90" s="204" t="s">
        <v>679</v>
      </c>
      <c r="G90" s="205" t="s">
        <v>679</v>
      </c>
      <c r="H90" s="204" t="s">
        <v>679</v>
      </c>
      <c r="I90" s="205" t="s">
        <v>679</v>
      </c>
      <c r="J90" s="339" t="s">
        <v>679</v>
      </c>
      <c r="K90" s="340" t="s">
        <v>679</v>
      </c>
      <c r="L90" s="339" t="s">
        <v>679</v>
      </c>
      <c r="M90" s="340" t="s">
        <v>679</v>
      </c>
      <c r="N90" s="204" t="s">
        <v>679</v>
      </c>
      <c r="O90" s="205" t="s">
        <v>679</v>
      </c>
      <c r="P90" s="204" t="s">
        <v>679</v>
      </c>
      <c r="Q90" s="205" t="s">
        <v>679</v>
      </c>
      <c r="R90" s="206">
        <v>0.40555555555555556</v>
      </c>
      <c r="S90" s="207">
        <v>0.65277777777777779</v>
      </c>
      <c r="T90" s="206">
        <v>0.36388888888888887</v>
      </c>
      <c r="U90" s="205" t="s">
        <v>679</v>
      </c>
      <c r="V90" s="206">
        <v>0.38055555555555554</v>
      </c>
      <c r="W90" s="207">
        <v>0.66874999999999996</v>
      </c>
      <c r="X90" s="339" t="s">
        <v>679</v>
      </c>
      <c r="Y90" s="340" t="s">
        <v>679</v>
      </c>
      <c r="Z90" s="339" t="s">
        <v>679</v>
      </c>
      <c r="AA90" s="340" t="s">
        <v>679</v>
      </c>
      <c r="AB90" s="204" t="s">
        <v>679</v>
      </c>
      <c r="AC90" s="205" t="s">
        <v>679</v>
      </c>
      <c r="AD90" s="206">
        <v>0.39791666666666664</v>
      </c>
      <c r="AE90" s="207">
        <v>0.6694444444444444</v>
      </c>
      <c r="AF90" s="204" t="s">
        <v>679</v>
      </c>
      <c r="AG90" s="205" t="s">
        <v>679</v>
      </c>
      <c r="AH90" s="204" t="s">
        <v>679</v>
      </c>
      <c r="AI90" s="205" t="s">
        <v>679</v>
      </c>
      <c r="AJ90" s="206">
        <v>0.38333333333333336</v>
      </c>
      <c r="AK90" s="205" t="s">
        <v>679</v>
      </c>
      <c r="AL90" s="339" t="s">
        <v>679</v>
      </c>
      <c r="AM90" s="340" t="s">
        <v>679</v>
      </c>
      <c r="AN90" s="339" t="s">
        <v>679</v>
      </c>
      <c r="AO90" s="340" t="s">
        <v>679</v>
      </c>
      <c r="AP90" s="206">
        <v>0.37986111111111109</v>
      </c>
      <c r="AQ90" s="207">
        <v>0.69027777777777777</v>
      </c>
      <c r="AR90" s="206">
        <v>0.38333333333333336</v>
      </c>
      <c r="AS90" s="207">
        <v>0.65416666666666667</v>
      </c>
      <c r="AT90" s="206">
        <v>0.36527777777777776</v>
      </c>
      <c r="AU90" s="207">
        <v>0.66111111111111109</v>
      </c>
      <c r="AV90" s="204" t="s">
        <v>679</v>
      </c>
      <c r="AW90" s="205" t="s">
        <v>679</v>
      </c>
      <c r="AX90" s="204" t="s">
        <v>679</v>
      </c>
      <c r="AY90" s="205" t="s">
        <v>679</v>
      </c>
      <c r="AZ90" s="196"/>
      <c r="BA90" s="197"/>
      <c r="BB90" s="196"/>
      <c r="BC90" s="197"/>
      <c r="BD90" s="181"/>
      <c r="BE90" s="180"/>
      <c r="BF90" s="181"/>
      <c r="BG90" s="180"/>
      <c r="BH90" s="181"/>
      <c r="BI90" s="180"/>
      <c r="BJ90" s="181"/>
      <c r="BK90" s="180"/>
      <c r="BL90" s="181"/>
      <c r="BM90" s="180"/>
      <c r="BN90" s="198">
        <f t="shared" si="2"/>
        <v>19</v>
      </c>
      <c r="BO90" s="199">
        <f t="shared" si="3"/>
        <v>18</v>
      </c>
    </row>
    <row r="91" spans="1:67" ht="16.5">
      <c r="A91" s="169" t="s">
        <v>147</v>
      </c>
      <c r="B91" s="169" t="s">
        <v>148</v>
      </c>
      <c r="C91" s="175" t="s">
        <v>149</v>
      </c>
      <c r="D91" s="207">
        <v>0.35972222222222222</v>
      </c>
      <c r="E91" s="207">
        <v>0.64166666666666672</v>
      </c>
      <c r="F91" s="206">
        <v>0.35416666666666669</v>
      </c>
      <c r="G91" s="207">
        <v>0.63611111111111107</v>
      </c>
      <c r="H91" s="206">
        <v>0.3125</v>
      </c>
      <c r="I91" s="207">
        <v>0.64583333333333337</v>
      </c>
      <c r="J91" s="339" t="s">
        <v>679</v>
      </c>
      <c r="K91" s="340" t="s">
        <v>679</v>
      </c>
      <c r="L91" s="339" t="s">
        <v>679</v>
      </c>
      <c r="M91" s="340" t="s">
        <v>679</v>
      </c>
      <c r="N91" s="206">
        <v>0.38263888888888886</v>
      </c>
      <c r="O91" s="207">
        <v>0.64444444444444449</v>
      </c>
      <c r="P91" s="206">
        <v>0.35</v>
      </c>
      <c r="Q91" s="207">
        <v>0.64444444444444449</v>
      </c>
      <c r="R91" s="206">
        <v>0.32013888888888886</v>
      </c>
      <c r="S91" s="207">
        <v>0.67291666666666672</v>
      </c>
      <c r="T91" s="206">
        <v>0.36805555555555558</v>
      </c>
      <c r="U91" s="207">
        <v>0.64027777777777772</v>
      </c>
      <c r="V91" s="206">
        <v>0.35208333333333336</v>
      </c>
      <c r="W91" s="207">
        <v>0.63680555555555551</v>
      </c>
      <c r="X91" s="339" t="s">
        <v>679</v>
      </c>
      <c r="Y91" s="340" t="s">
        <v>679</v>
      </c>
      <c r="Z91" s="339" t="s">
        <v>679</v>
      </c>
      <c r="AA91" s="340" t="s">
        <v>679</v>
      </c>
      <c r="AB91" s="206">
        <v>0.3576388888888889</v>
      </c>
      <c r="AC91" s="207">
        <v>0.64930555555555558</v>
      </c>
      <c r="AD91" s="206">
        <v>0.35972222222222222</v>
      </c>
      <c r="AE91" s="207">
        <v>0.62847222222222221</v>
      </c>
      <c r="AF91" s="206">
        <v>0.42638888888888887</v>
      </c>
      <c r="AG91" s="207">
        <v>0.74097222222222225</v>
      </c>
      <c r="AH91" s="206">
        <v>0.35902777777777778</v>
      </c>
      <c r="AI91" s="207">
        <v>0.62430555555555556</v>
      </c>
      <c r="AJ91" s="206">
        <v>0.35208333333333336</v>
      </c>
      <c r="AK91" s="207">
        <v>0.64375000000000004</v>
      </c>
      <c r="AL91" s="339" t="s">
        <v>679</v>
      </c>
      <c r="AM91" s="340" t="s">
        <v>679</v>
      </c>
      <c r="AN91" s="339" t="s">
        <v>679</v>
      </c>
      <c r="AO91" s="340" t="s">
        <v>679</v>
      </c>
      <c r="AP91" s="206">
        <v>0.3611111111111111</v>
      </c>
      <c r="AQ91" s="207">
        <v>0.66597222222222219</v>
      </c>
      <c r="AR91" s="206">
        <v>0.35416666666666669</v>
      </c>
      <c r="AS91" s="207">
        <v>0.65694444444444444</v>
      </c>
      <c r="AT91" s="206">
        <v>0.35625000000000001</v>
      </c>
      <c r="AU91" s="207">
        <v>0.65277777777777779</v>
      </c>
      <c r="AV91" s="206">
        <v>0.33888888888888891</v>
      </c>
      <c r="AW91" s="205" t="s">
        <v>679</v>
      </c>
      <c r="AX91" s="204" t="s">
        <v>679</v>
      </c>
      <c r="AY91" s="205" t="s">
        <v>679</v>
      </c>
      <c r="AZ91" s="196"/>
      <c r="BA91" s="197"/>
      <c r="BB91" s="196"/>
      <c r="BC91" s="197"/>
      <c r="BD91" s="181"/>
      <c r="BE91" s="180"/>
      <c r="BF91" s="181"/>
      <c r="BG91" s="180"/>
      <c r="BH91" s="181"/>
      <c r="BI91" s="180"/>
      <c r="BJ91" s="181"/>
      <c r="BK91" s="180"/>
      <c r="BL91" s="181"/>
      <c r="BM91" s="180"/>
      <c r="BN91" s="198">
        <f t="shared" si="2"/>
        <v>19</v>
      </c>
      <c r="BO91" s="199">
        <f t="shared" si="3"/>
        <v>18</v>
      </c>
    </row>
    <row r="92" spans="1:67" ht="16.5">
      <c r="A92" s="169" t="s">
        <v>147</v>
      </c>
      <c r="B92" s="169"/>
      <c r="C92" s="175" t="s">
        <v>195</v>
      </c>
      <c r="D92" s="207">
        <v>0.34583333333333333</v>
      </c>
      <c r="E92" s="207">
        <v>0.66319444444444442</v>
      </c>
      <c r="F92" s="206">
        <v>0.37986111111111109</v>
      </c>
      <c r="G92" s="207">
        <v>0.67638888888888893</v>
      </c>
      <c r="H92" s="206">
        <v>0.35972222222222222</v>
      </c>
      <c r="I92" s="207">
        <v>0.6430555555555556</v>
      </c>
      <c r="J92" s="342">
        <v>0.41388888888888886</v>
      </c>
      <c r="K92" s="340" t="s">
        <v>679</v>
      </c>
      <c r="L92" s="339" t="s">
        <v>679</v>
      </c>
      <c r="M92" s="340" t="s">
        <v>679</v>
      </c>
      <c r="N92" s="206">
        <v>0.38680555555555557</v>
      </c>
      <c r="O92" s="207">
        <v>0.69166666666666665</v>
      </c>
      <c r="P92" s="206">
        <v>0.35625000000000001</v>
      </c>
      <c r="Q92" s="207">
        <v>0.64375000000000004</v>
      </c>
      <c r="R92" s="206">
        <v>0.3972222222222222</v>
      </c>
      <c r="S92" s="207">
        <v>0.67777777777777781</v>
      </c>
      <c r="T92" s="206">
        <v>0.35069444444444442</v>
      </c>
      <c r="U92" s="205" t="s">
        <v>679</v>
      </c>
      <c r="V92" s="206">
        <v>0.375</v>
      </c>
      <c r="W92" s="207">
        <v>0.66527777777777775</v>
      </c>
      <c r="X92" s="339" t="s">
        <v>679</v>
      </c>
      <c r="Y92" s="340" t="s">
        <v>679</v>
      </c>
      <c r="Z92" s="339" t="s">
        <v>679</v>
      </c>
      <c r="AA92" s="340" t="s">
        <v>679</v>
      </c>
      <c r="AB92" s="204" t="s">
        <v>679</v>
      </c>
      <c r="AC92" s="205" t="s">
        <v>679</v>
      </c>
      <c r="AD92" s="204" t="s">
        <v>679</v>
      </c>
      <c r="AE92" s="205" t="s">
        <v>679</v>
      </c>
      <c r="AF92" s="204" t="s">
        <v>679</v>
      </c>
      <c r="AG92" s="205" t="s">
        <v>679</v>
      </c>
      <c r="AH92" s="204" t="s">
        <v>679</v>
      </c>
      <c r="AI92" s="205" t="s">
        <v>679</v>
      </c>
      <c r="AJ92" s="204" t="s">
        <v>679</v>
      </c>
      <c r="AK92" s="205" t="s">
        <v>679</v>
      </c>
      <c r="AL92" s="339" t="s">
        <v>679</v>
      </c>
      <c r="AM92" s="340" t="s">
        <v>679</v>
      </c>
      <c r="AN92" s="339" t="s">
        <v>679</v>
      </c>
      <c r="AO92" s="340" t="s">
        <v>679</v>
      </c>
      <c r="AP92" s="204" t="s">
        <v>679</v>
      </c>
      <c r="AQ92" s="205" t="s">
        <v>679</v>
      </c>
      <c r="AR92" s="204" t="s">
        <v>679</v>
      </c>
      <c r="AS92" s="205" t="s">
        <v>679</v>
      </c>
      <c r="AT92" s="204" t="s">
        <v>679</v>
      </c>
      <c r="AU92" s="205" t="s">
        <v>679</v>
      </c>
      <c r="AV92" s="204" t="s">
        <v>679</v>
      </c>
      <c r="AW92" s="205" t="s">
        <v>679</v>
      </c>
      <c r="AX92" s="204" t="s">
        <v>679</v>
      </c>
      <c r="AY92" s="205" t="s">
        <v>679</v>
      </c>
      <c r="AZ92" s="196"/>
      <c r="BA92" s="197"/>
      <c r="BB92" s="196"/>
      <c r="BC92" s="197"/>
      <c r="BD92" s="181"/>
      <c r="BE92" s="180"/>
      <c r="BF92" s="181"/>
      <c r="BG92" s="180"/>
      <c r="BH92" s="181"/>
      <c r="BI92" s="180"/>
      <c r="BJ92" s="181"/>
      <c r="BK92" s="180"/>
      <c r="BL92" s="181"/>
      <c r="BM92" s="180"/>
      <c r="BN92" s="198">
        <f t="shared" si="2"/>
        <v>19</v>
      </c>
      <c r="BO92" s="199">
        <f t="shared" si="3"/>
        <v>18</v>
      </c>
    </row>
    <row r="93" spans="1:67" ht="16.5">
      <c r="A93" s="169" t="s">
        <v>147</v>
      </c>
      <c r="B93" s="169" t="s">
        <v>642</v>
      </c>
      <c r="C93" s="175" t="s">
        <v>643</v>
      </c>
      <c r="D93" s="207">
        <v>0.38333333333333336</v>
      </c>
      <c r="E93" s="207">
        <v>0.66111111111111109</v>
      </c>
      <c r="F93" s="206">
        <v>0.37916666666666665</v>
      </c>
      <c r="G93" s="207">
        <v>0.76111111111111107</v>
      </c>
      <c r="H93" s="206">
        <v>0.36388888888888887</v>
      </c>
      <c r="I93" s="207">
        <v>0.64513888888888893</v>
      </c>
      <c r="J93" s="342">
        <v>0.51388888888888884</v>
      </c>
      <c r="K93" s="340" t="s">
        <v>679</v>
      </c>
      <c r="L93" s="339" t="s">
        <v>679</v>
      </c>
      <c r="M93" s="340" t="s">
        <v>679</v>
      </c>
      <c r="N93" s="206">
        <v>0.38750000000000001</v>
      </c>
      <c r="O93" s="207">
        <v>0.77083333333333337</v>
      </c>
      <c r="P93" s="206">
        <v>0.36041666666666666</v>
      </c>
      <c r="Q93" s="207">
        <v>0.64652777777777781</v>
      </c>
      <c r="R93" s="206">
        <v>0.35347222222222224</v>
      </c>
      <c r="S93" s="207">
        <v>0.64236111111111116</v>
      </c>
      <c r="T93" s="206">
        <v>0.35902777777777778</v>
      </c>
      <c r="U93" s="205" t="s">
        <v>679</v>
      </c>
      <c r="V93" s="206">
        <v>0.36249999999999999</v>
      </c>
      <c r="W93" s="207">
        <v>0.68819444444444444</v>
      </c>
      <c r="X93" s="339" t="s">
        <v>679</v>
      </c>
      <c r="Y93" s="340" t="s">
        <v>679</v>
      </c>
      <c r="Z93" s="339" t="s">
        <v>679</v>
      </c>
      <c r="AA93" s="340" t="s">
        <v>679</v>
      </c>
      <c r="AB93" s="206">
        <v>0.36041666666666666</v>
      </c>
      <c r="AC93" s="207">
        <v>0.64166666666666672</v>
      </c>
      <c r="AD93" s="206">
        <v>0.34791666666666665</v>
      </c>
      <c r="AE93" s="207">
        <v>0.75</v>
      </c>
      <c r="AF93" s="206">
        <v>0.44513888888888886</v>
      </c>
      <c r="AG93" s="207">
        <v>0.77500000000000002</v>
      </c>
      <c r="AH93" s="206">
        <v>0.36666666666666664</v>
      </c>
      <c r="AI93" s="207">
        <v>0.80763888888888891</v>
      </c>
      <c r="AJ93" s="206">
        <v>0.48819444444444443</v>
      </c>
      <c r="AK93" s="207">
        <v>0.74722222222222223</v>
      </c>
      <c r="AL93" s="339" t="s">
        <v>679</v>
      </c>
      <c r="AM93" s="340" t="s">
        <v>679</v>
      </c>
      <c r="AN93" s="339" t="s">
        <v>679</v>
      </c>
      <c r="AO93" s="340" t="s">
        <v>679</v>
      </c>
      <c r="AP93" s="206">
        <v>0.35625000000000001</v>
      </c>
      <c r="AQ93" s="207">
        <v>0.6333333333333333</v>
      </c>
      <c r="AR93" s="206">
        <v>0.35069444444444442</v>
      </c>
      <c r="AS93" s="207">
        <v>0.6333333333333333</v>
      </c>
      <c r="AT93" s="206">
        <v>0.34444444444444444</v>
      </c>
      <c r="AU93" s="207">
        <v>0.86944444444444446</v>
      </c>
      <c r="AV93" s="206">
        <v>0.37430555555555556</v>
      </c>
      <c r="AW93" s="205" t="s">
        <v>679</v>
      </c>
      <c r="AX93" s="204" t="s">
        <v>679</v>
      </c>
      <c r="AY93" s="205" t="s">
        <v>679</v>
      </c>
      <c r="AZ93" s="196"/>
      <c r="BA93" s="197"/>
      <c r="BB93" s="196"/>
      <c r="BC93" s="197"/>
      <c r="BD93" s="181"/>
      <c r="BE93" s="180"/>
      <c r="BF93" s="181"/>
      <c r="BG93" s="180"/>
      <c r="BH93" s="181"/>
      <c r="BI93" s="180"/>
      <c r="BJ93" s="181"/>
      <c r="BK93" s="180"/>
      <c r="BL93" s="181"/>
      <c r="BM93" s="180"/>
      <c r="BN93" s="198">
        <f t="shared" si="2"/>
        <v>19</v>
      </c>
      <c r="BO93" s="199">
        <f t="shared" si="3"/>
        <v>18</v>
      </c>
    </row>
    <row r="94" spans="1:67" ht="16.5">
      <c r="A94" s="169" t="s">
        <v>150</v>
      </c>
      <c r="B94" s="169" t="s">
        <v>151</v>
      </c>
      <c r="C94" s="176" t="s">
        <v>152</v>
      </c>
      <c r="D94" s="207">
        <v>0.40069444444444446</v>
      </c>
      <c r="E94" s="207">
        <v>0.73750000000000004</v>
      </c>
      <c r="F94" s="206">
        <v>0.44305555555555554</v>
      </c>
      <c r="G94" s="207">
        <v>0.71666666666666667</v>
      </c>
      <c r="H94" s="206">
        <v>0.37916666666666665</v>
      </c>
      <c r="I94" s="207">
        <v>0.67222222222222228</v>
      </c>
      <c r="J94" s="339" t="s">
        <v>679</v>
      </c>
      <c r="K94" s="340" t="s">
        <v>679</v>
      </c>
      <c r="L94" s="339" t="s">
        <v>679</v>
      </c>
      <c r="M94" s="340" t="s">
        <v>679</v>
      </c>
      <c r="N94" s="206">
        <v>0.49583333333333335</v>
      </c>
      <c r="O94" s="207">
        <v>0.7104166666666667</v>
      </c>
      <c r="P94" s="206">
        <v>0.41805555555555557</v>
      </c>
      <c r="Q94" s="207">
        <v>0.68194444444444446</v>
      </c>
      <c r="R94" s="206">
        <v>0.47499999999999998</v>
      </c>
      <c r="S94" s="207">
        <v>0.80208333333333337</v>
      </c>
      <c r="T94" s="206">
        <v>0.47916666666666669</v>
      </c>
      <c r="U94" s="205" t="s">
        <v>679</v>
      </c>
      <c r="V94" s="206">
        <v>0.46597222222222223</v>
      </c>
      <c r="W94" s="207">
        <v>0.78611111111111109</v>
      </c>
      <c r="X94" s="339" t="s">
        <v>679</v>
      </c>
      <c r="Y94" s="340" t="s">
        <v>679</v>
      </c>
      <c r="Z94" s="339" t="s">
        <v>679</v>
      </c>
      <c r="AA94" s="340" t="s">
        <v>679</v>
      </c>
      <c r="AB94" s="206">
        <v>0.48055555555555557</v>
      </c>
      <c r="AC94" s="207">
        <v>0.81527777777777777</v>
      </c>
      <c r="AD94" s="206">
        <v>0.40694444444444444</v>
      </c>
      <c r="AE94" s="207">
        <v>0.59236111111111112</v>
      </c>
      <c r="AF94" s="206">
        <v>0.46319444444444446</v>
      </c>
      <c r="AG94" s="207">
        <v>0.75486111111111109</v>
      </c>
      <c r="AH94" s="206">
        <v>0.46388888888888891</v>
      </c>
      <c r="AI94" s="205" t="s">
        <v>679</v>
      </c>
      <c r="AJ94" s="206">
        <v>0.44791666666666669</v>
      </c>
      <c r="AK94" s="205" t="s">
        <v>679</v>
      </c>
      <c r="AL94" s="339" t="s">
        <v>679</v>
      </c>
      <c r="AM94" s="340" t="s">
        <v>679</v>
      </c>
      <c r="AN94" s="339" t="s">
        <v>679</v>
      </c>
      <c r="AO94" s="340" t="s">
        <v>679</v>
      </c>
      <c r="AP94" s="206">
        <v>0.46458333333333335</v>
      </c>
      <c r="AQ94" s="205" t="s">
        <v>679</v>
      </c>
      <c r="AR94" s="206">
        <v>0.44791666666666669</v>
      </c>
      <c r="AS94" s="207">
        <v>0.74861111111111112</v>
      </c>
      <c r="AT94" s="206">
        <v>0.47361111111111109</v>
      </c>
      <c r="AU94" s="207">
        <v>0.65694444444444444</v>
      </c>
      <c r="AV94" s="206">
        <v>0.39791666666666664</v>
      </c>
      <c r="AW94" s="205" t="s">
        <v>679</v>
      </c>
      <c r="AX94" s="204" t="s">
        <v>679</v>
      </c>
      <c r="AY94" s="205" t="s">
        <v>679</v>
      </c>
      <c r="AZ94" s="196"/>
      <c r="BA94" s="197"/>
      <c r="BB94" s="196"/>
      <c r="BC94" s="197"/>
      <c r="BD94" s="181"/>
      <c r="BE94" s="180"/>
      <c r="BF94" s="181"/>
      <c r="BG94" s="180"/>
      <c r="BH94" s="181"/>
      <c r="BI94" s="180"/>
      <c r="BJ94" s="181"/>
      <c r="BK94" s="180"/>
      <c r="BL94" s="181"/>
      <c r="BM94" s="180"/>
      <c r="BN94" s="198">
        <f t="shared" si="2"/>
        <v>19</v>
      </c>
      <c r="BO94" s="199">
        <f t="shared" si="3"/>
        <v>18</v>
      </c>
    </row>
    <row r="95" spans="1:67" ht="16.5">
      <c r="A95" s="170" t="s">
        <v>150</v>
      </c>
      <c r="B95" s="177" t="s">
        <v>198</v>
      </c>
      <c r="C95" s="172" t="s">
        <v>153</v>
      </c>
      <c r="D95" s="202"/>
      <c r="E95" s="202"/>
      <c r="F95" s="200" t="s">
        <v>679</v>
      </c>
      <c r="G95" s="202"/>
      <c r="H95" s="200" t="s">
        <v>679</v>
      </c>
      <c r="I95" s="202"/>
      <c r="J95" s="335" t="s">
        <v>679</v>
      </c>
      <c r="K95" s="336" t="s">
        <v>679</v>
      </c>
      <c r="L95" s="335" t="s">
        <v>679</v>
      </c>
      <c r="M95" s="336" t="s">
        <v>679</v>
      </c>
      <c r="N95" s="200" t="s">
        <v>679</v>
      </c>
      <c r="O95" s="202"/>
      <c r="P95" s="200" t="s">
        <v>679</v>
      </c>
      <c r="Q95" s="202"/>
      <c r="R95" s="200" t="s">
        <v>679</v>
      </c>
      <c r="S95" s="202"/>
      <c r="T95" s="200" t="s">
        <v>679</v>
      </c>
      <c r="U95" s="202"/>
      <c r="V95" s="200" t="s">
        <v>679</v>
      </c>
      <c r="W95" s="202"/>
      <c r="X95" s="335" t="s">
        <v>679</v>
      </c>
      <c r="Y95" s="336" t="s">
        <v>679</v>
      </c>
      <c r="Z95" s="335" t="s">
        <v>679</v>
      </c>
      <c r="AA95" s="336" t="s">
        <v>679</v>
      </c>
      <c r="AB95" s="200" t="s">
        <v>679</v>
      </c>
      <c r="AC95" s="202"/>
      <c r="AD95" s="200" t="s">
        <v>679</v>
      </c>
      <c r="AE95" s="202"/>
      <c r="AF95" s="200" t="s">
        <v>679</v>
      </c>
      <c r="AG95" s="202"/>
      <c r="AH95" s="200" t="s">
        <v>679</v>
      </c>
      <c r="AI95" s="202"/>
      <c r="AJ95" s="200" t="s">
        <v>679</v>
      </c>
      <c r="AK95" s="202"/>
      <c r="AL95" s="335" t="s">
        <v>679</v>
      </c>
      <c r="AM95" s="336" t="s">
        <v>679</v>
      </c>
      <c r="AN95" s="335" t="s">
        <v>679</v>
      </c>
      <c r="AO95" s="336" t="s">
        <v>679</v>
      </c>
      <c r="AP95" s="200" t="s">
        <v>679</v>
      </c>
      <c r="AQ95" s="202"/>
      <c r="AR95" s="200" t="s">
        <v>679</v>
      </c>
      <c r="AS95" s="202"/>
      <c r="AT95" s="200" t="s">
        <v>679</v>
      </c>
      <c r="AU95" s="202"/>
      <c r="AV95" s="200" t="s">
        <v>679</v>
      </c>
      <c r="AW95" s="202"/>
      <c r="AX95" s="200" t="s">
        <v>679</v>
      </c>
      <c r="AY95" s="202"/>
      <c r="AZ95" s="198"/>
      <c r="BA95" s="199"/>
      <c r="BB95" s="198"/>
      <c r="BC95" s="199"/>
      <c r="BD95" s="179"/>
      <c r="BE95" s="147"/>
      <c r="BF95" s="179"/>
      <c r="BG95" s="147"/>
      <c r="BH95" s="179"/>
      <c r="BI95" s="147"/>
      <c r="BJ95" s="179"/>
      <c r="BK95" s="147"/>
      <c r="BL95" s="179"/>
      <c r="BM95" s="147"/>
      <c r="BN95" s="198">
        <f t="shared" si="2"/>
        <v>18</v>
      </c>
      <c r="BO95" s="199">
        <f t="shared" si="3"/>
        <v>0</v>
      </c>
    </row>
    <row r="96" spans="1:67" ht="16.5">
      <c r="A96" s="169" t="s">
        <v>150</v>
      </c>
      <c r="B96" s="178" t="s">
        <v>198</v>
      </c>
      <c r="C96" s="175" t="s">
        <v>154</v>
      </c>
      <c r="D96" s="207">
        <v>0.41458333333333336</v>
      </c>
      <c r="E96" s="207">
        <v>0.71597222222222223</v>
      </c>
      <c r="F96" s="206">
        <v>0.43819444444444444</v>
      </c>
      <c r="G96" s="207">
        <v>0.6645833333333333</v>
      </c>
      <c r="H96" s="206">
        <v>0.46736111111111112</v>
      </c>
      <c r="I96" s="207">
        <v>0.65972222222222221</v>
      </c>
      <c r="J96" s="339" t="s">
        <v>679</v>
      </c>
      <c r="K96" s="340" t="s">
        <v>679</v>
      </c>
      <c r="L96" s="339" t="s">
        <v>679</v>
      </c>
      <c r="M96" s="340" t="s">
        <v>679</v>
      </c>
      <c r="N96" s="206">
        <v>0.49930555555555556</v>
      </c>
      <c r="O96" s="207">
        <v>0.67708333333333337</v>
      </c>
      <c r="P96" s="206">
        <v>0.3972222222222222</v>
      </c>
      <c r="Q96" s="207">
        <v>0.75347222222222221</v>
      </c>
      <c r="R96" s="206">
        <v>0.42222222222222222</v>
      </c>
      <c r="S96" s="207">
        <v>0.71805555555555556</v>
      </c>
      <c r="T96" s="206">
        <v>0.39861111111111114</v>
      </c>
      <c r="U96" s="205" t="s">
        <v>679</v>
      </c>
      <c r="V96" s="206">
        <v>0.39861111111111114</v>
      </c>
      <c r="W96" s="207">
        <v>0.72847222222222219</v>
      </c>
      <c r="X96" s="339" t="s">
        <v>679</v>
      </c>
      <c r="Y96" s="340" t="s">
        <v>679</v>
      </c>
      <c r="Z96" s="339" t="s">
        <v>679</v>
      </c>
      <c r="AA96" s="340" t="s">
        <v>679</v>
      </c>
      <c r="AB96" s="206">
        <v>0.48333333333333334</v>
      </c>
      <c r="AC96" s="207">
        <v>0.64513888888888893</v>
      </c>
      <c r="AD96" s="206">
        <v>0.42083333333333334</v>
      </c>
      <c r="AE96" s="207">
        <v>0.74930555555555556</v>
      </c>
      <c r="AF96" s="206">
        <v>0.42291666666666666</v>
      </c>
      <c r="AG96" s="207">
        <v>0.68680555555555556</v>
      </c>
      <c r="AH96" s="206">
        <v>0.47013888888888888</v>
      </c>
      <c r="AI96" s="207">
        <v>0.68472222222222223</v>
      </c>
      <c r="AJ96" s="206">
        <v>0.41319444444444442</v>
      </c>
      <c r="AK96" s="207">
        <v>0.68194444444444446</v>
      </c>
      <c r="AL96" s="339" t="s">
        <v>679</v>
      </c>
      <c r="AM96" s="340" t="s">
        <v>679</v>
      </c>
      <c r="AN96" s="339" t="s">
        <v>679</v>
      </c>
      <c r="AO96" s="340" t="s">
        <v>679</v>
      </c>
      <c r="AP96" s="206">
        <v>0.43611111111111112</v>
      </c>
      <c r="AQ96" s="205" t="s">
        <v>679</v>
      </c>
      <c r="AR96" s="206">
        <v>0.43541666666666667</v>
      </c>
      <c r="AS96" s="207">
        <v>0.73055555555555551</v>
      </c>
      <c r="AT96" s="206">
        <v>0.45347222222222222</v>
      </c>
      <c r="AU96" s="207">
        <v>0.66388888888888886</v>
      </c>
      <c r="AV96" s="206">
        <v>0.40069444444444446</v>
      </c>
      <c r="AW96" s="205" t="s">
        <v>679</v>
      </c>
      <c r="AX96" s="204" t="s">
        <v>679</v>
      </c>
      <c r="AY96" s="205" t="s">
        <v>679</v>
      </c>
      <c r="AZ96" s="196"/>
      <c r="BA96" s="197"/>
      <c r="BB96" s="196"/>
      <c r="BC96" s="197"/>
      <c r="BD96" s="181"/>
      <c r="BE96" s="180"/>
      <c r="BF96" s="181"/>
      <c r="BG96" s="180"/>
      <c r="BH96" s="181"/>
      <c r="BI96" s="180"/>
      <c r="BJ96" s="181"/>
      <c r="BK96" s="180"/>
      <c r="BL96" s="181"/>
      <c r="BM96" s="180"/>
      <c r="BN96" s="198">
        <f t="shared" si="2"/>
        <v>19</v>
      </c>
      <c r="BO96" s="199">
        <f t="shared" si="3"/>
        <v>18</v>
      </c>
    </row>
    <row r="97" spans="1:67" ht="16.5">
      <c r="A97" s="169" t="s">
        <v>150</v>
      </c>
      <c r="B97" s="169" t="s">
        <v>155</v>
      </c>
      <c r="C97" s="175" t="s">
        <v>156</v>
      </c>
      <c r="D97" s="207">
        <v>0.38333333333333336</v>
      </c>
      <c r="E97" s="207">
        <v>0.64097222222222228</v>
      </c>
      <c r="F97" s="206">
        <v>0.40277777777777779</v>
      </c>
      <c r="G97" s="207">
        <v>0.63611111111111107</v>
      </c>
      <c r="H97" s="206">
        <v>0.38819444444444445</v>
      </c>
      <c r="I97" s="207">
        <v>0.64930555555555558</v>
      </c>
      <c r="J97" s="339" t="s">
        <v>679</v>
      </c>
      <c r="K97" s="340" t="s">
        <v>679</v>
      </c>
      <c r="L97" s="339" t="s">
        <v>679</v>
      </c>
      <c r="M97" s="340" t="s">
        <v>679</v>
      </c>
      <c r="N97" s="206">
        <v>0.4</v>
      </c>
      <c r="O97" s="207">
        <v>0.63194444444444442</v>
      </c>
      <c r="P97" s="206">
        <v>0.40694444444444444</v>
      </c>
      <c r="Q97" s="207">
        <v>0.6430555555555556</v>
      </c>
      <c r="R97" s="206">
        <v>0.4</v>
      </c>
      <c r="S97" s="207">
        <v>0.64513888888888893</v>
      </c>
      <c r="T97" s="206">
        <v>0.39652777777777776</v>
      </c>
      <c r="U97" s="207">
        <v>0.65277777777777779</v>
      </c>
      <c r="V97" s="206">
        <v>0.39097222222222222</v>
      </c>
      <c r="W97" s="207">
        <v>0.66249999999999998</v>
      </c>
      <c r="X97" s="339" t="s">
        <v>679</v>
      </c>
      <c r="Y97" s="340" t="s">
        <v>679</v>
      </c>
      <c r="Z97" s="339" t="s">
        <v>679</v>
      </c>
      <c r="AA97" s="340" t="s">
        <v>679</v>
      </c>
      <c r="AB97" s="206">
        <v>0.40277777777777779</v>
      </c>
      <c r="AC97" s="207">
        <v>0.64652777777777781</v>
      </c>
      <c r="AD97" s="206">
        <v>0.39513888888888887</v>
      </c>
      <c r="AE97" s="207">
        <v>0.65972222222222221</v>
      </c>
      <c r="AF97" s="206">
        <v>0.38819444444444445</v>
      </c>
      <c r="AG97" s="207">
        <v>0.65208333333333335</v>
      </c>
      <c r="AH97" s="206">
        <v>0.39166666666666666</v>
      </c>
      <c r="AI97" s="207">
        <v>0.68194444444444446</v>
      </c>
      <c r="AJ97" s="206">
        <v>0.44722222222222224</v>
      </c>
      <c r="AK97" s="207">
        <v>0.63888888888888884</v>
      </c>
      <c r="AL97" s="339" t="s">
        <v>679</v>
      </c>
      <c r="AM97" s="340" t="s">
        <v>679</v>
      </c>
      <c r="AN97" s="339" t="s">
        <v>679</v>
      </c>
      <c r="AO97" s="340" t="s">
        <v>679</v>
      </c>
      <c r="AP97" s="206">
        <v>0.39097222222222222</v>
      </c>
      <c r="AQ97" s="207">
        <v>0.63958333333333328</v>
      </c>
      <c r="AR97" s="206">
        <v>0.39444444444444443</v>
      </c>
      <c r="AS97" s="207">
        <v>0.50347222222222221</v>
      </c>
      <c r="AT97" s="206">
        <v>0.38958333333333334</v>
      </c>
      <c r="AU97" s="207">
        <v>0.66111111111111109</v>
      </c>
      <c r="AV97" s="206">
        <v>0.39166666666666666</v>
      </c>
      <c r="AW97" s="205" t="s">
        <v>679</v>
      </c>
      <c r="AX97" s="204" t="s">
        <v>679</v>
      </c>
      <c r="AY97" s="205" t="s">
        <v>679</v>
      </c>
      <c r="AZ97" s="196"/>
      <c r="BA97" s="197"/>
      <c r="BB97" s="196"/>
      <c r="BC97" s="197"/>
      <c r="BD97" s="181"/>
      <c r="BE97" s="180"/>
      <c r="BF97" s="181"/>
      <c r="BG97" s="180"/>
      <c r="BH97" s="181"/>
      <c r="BI97" s="180"/>
      <c r="BJ97" s="181"/>
      <c r="BK97" s="180"/>
      <c r="BL97" s="181"/>
      <c r="BM97" s="180"/>
      <c r="BN97" s="198">
        <f t="shared" si="2"/>
        <v>19</v>
      </c>
      <c r="BO97" s="199">
        <f t="shared" si="3"/>
        <v>18</v>
      </c>
    </row>
    <row r="98" spans="1:67" ht="16.5">
      <c r="A98" s="170" t="s">
        <v>150</v>
      </c>
      <c r="B98" s="170" t="s">
        <v>157</v>
      </c>
      <c r="C98" s="172" t="s">
        <v>158</v>
      </c>
      <c r="D98" s="203">
        <v>0.48125000000000001</v>
      </c>
      <c r="E98" s="203">
        <v>0.81736111111111109</v>
      </c>
      <c r="F98" s="201">
        <v>0.49027777777777776</v>
      </c>
      <c r="G98" s="203">
        <v>0.65</v>
      </c>
      <c r="H98" s="201">
        <v>0.48125000000000001</v>
      </c>
      <c r="I98" s="202"/>
      <c r="J98" s="335" t="s">
        <v>679</v>
      </c>
      <c r="K98" s="336" t="s">
        <v>679</v>
      </c>
      <c r="L98" s="335" t="s">
        <v>679</v>
      </c>
      <c r="M98" s="336" t="s">
        <v>679</v>
      </c>
      <c r="N98" s="201">
        <v>0.49305555555555558</v>
      </c>
      <c r="O98" s="203">
        <v>0.71180555555555558</v>
      </c>
      <c r="P98" s="200" t="s">
        <v>679</v>
      </c>
      <c r="Q98" s="203">
        <v>0.75069444444444444</v>
      </c>
      <c r="R98" s="200" t="s">
        <v>679</v>
      </c>
      <c r="S98" s="202"/>
      <c r="T98" s="201">
        <v>0.49791666666666667</v>
      </c>
      <c r="U98" s="202"/>
      <c r="V98" s="201">
        <v>0.44791666666666669</v>
      </c>
      <c r="W98" s="202"/>
      <c r="X98" s="335" t="s">
        <v>679</v>
      </c>
      <c r="Y98" s="336" t="s">
        <v>679</v>
      </c>
      <c r="Z98" s="335" t="s">
        <v>679</v>
      </c>
      <c r="AA98" s="336" t="s">
        <v>679</v>
      </c>
      <c r="AB98" s="201">
        <v>0.4236111111111111</v>
      </c>
      <c r="AC98" s="203">
        <v>0.71250000000000002</v>
      </c>
      <c r="AD98" s="201">
        <v>0.46388888888888891</v>
      </c>
      <c r="AE98" s="202"/>
      <c r="AF98" s="200" t="s">
        <v>679</v>
      </c>
      <c r="AG98" s="202"/>
      <c r="AH98" s="200" t="s">
        <v>679</v>
      </c>
      <c r="AI98" s="203">
        <v>0.68333333333333335</v>
      </c>
      <c r="AJ98" s="200" t="s">
        <v>679</v>
      </c>
      <c r="AK98" s="202"/>
      <c r="AL98" s="335" t="s">
        <v>679</v>
      </c>
      <c r="AM98" s="336" t="s">
        <v>679</v>
      </c>
      <c r="AN98" s="335" t="s">
        <v>679</v>
      </c>
      <c r="AO98" s="336" t="s">
        <v>679</v>
      </c>
      <c r="AP98" s="201">
        <v>0.48888888888888887</v>
      </c>
      <c r="AQ98" s="202"/>
      <c r="AR98" s="200" t="s">
        <v>679</v>
      </c>
      <c r="AS98" s="203">
        <v>0.52847222222222223</v>
      </c>
      <c r="AT98" s="200" t="s">
        <v>679</v>
      </c>
      <c r="AU98" s="203">
        <v>0.50624999999999998</v>
      </c>
      <c r="AV98" s="200" t="s">
        <v>679</v>
      </c>
      <c r="AW98" s="202"/>
      <c r="AX98" s="200" t="s">
        <v>679</v>
      </c>
      <c r="AY98" s="202"/>
      <c r="AZ98" s="198"/>
      <c r="BA98" s="199"/>
      <c r="BB98" s="198"/>
      <c r="BC98" s="199"/>
      <c r="BD98" s="179"/>
      <c r="BE98" s="147"/>
      <c r="BF98" s="179"/>
      <c r="BG98" s="147"/>
      <c r="BH98" s="179"/>
      <c r="BI98" s="147"/>
      <c r="BJ98" s="179"/>
      <c r="BK98" s="147"/>
      <c r="BL98" s="179"/>
      <c r="BM98" s="147"/>
      <c r="BN98" s="198">
        <f t="shared" si="2"/>
        <v>19</v>
      </c>
      <c r="BO98" s="199">
        <f t="shared" si="3"/>
        <v>8</v>
      </c>
    </row>
    <row r="99" spans="1:67" ht="16.5">
      <c r="A99" s="169" t="s">
        <v>150</v>
      </c>
      <c r="B99" s="169" t="s">
        <v>157</v>
      </c>
      <c r="C99" s="175" t="s">
        <v>159</v>
      </c>
      <c r="D99" s="207">
        <v>0.48125000000000001</v>
      </c>
      <c r="E99" s="207">
        <v>0.77569444444444446</v>
      </c>
      <c r="F99" s="206">
        <v>0.49027777777777776</v>
      </c>
      <c r="G99" s="205" t="s">
        <v>679</v>
      </c>
      <c r="H99" s="206">
        <v>0.48125000000000001</v>
      </c>
      <c r="I99" s="205" t="s">
        <v>679</v>
      </c>
      <c r="J99" s="339" t="s">
        <v>679</v>
      </c>
      <c r="K99" s="340" t="s">
        <v>679</v>
      </c>
      <c r="L99" s="339" t="s">
        <v>679</v>
      </c>
      <c r="M99" s="340" t="s">
        <v>679</v>
      </c>
      <c r="N99" s="206">
        <v>0.49305555555555558</v>
      </c>
      <c r="O99" s="205" t="s">
        <v>679</v>
      </c>
      <c r="P99" s="204" t="s">
        <v>679</v>
      </c>
      <c r="Q99" s="205" t="s">
        <v>679</v>
      </c>
      <c r="R99" s="204" t="s">
        <v>679</v>
      </c>
      <c r="S99" s="205" t="s">
        <v>679</v>
      </c>
      <c r="T99" s="206">
        <v>0.49791666666666667</v>
      </c>
      <c r="U99" s="205" t="s">
        <v>679</v>
      </c>
      <c r="V99" s="206">
        <v>0.44791666666666669</v>
      </c>
      <c r="W99" s="205" t="s">
        <v>679</v>
      </c>
      <c r="X99" s="339" t="s">
        <v>679</v>
      </c>
      <c r="Y99" s="340" t="s">
        <v>679</v>
      </c>
      <c r="Z99" s="339" t="s">
        <v>679</v>
      </c>
      <c r="AA99" s="340" t="s">
        <v>679</v>
      </c>
      <c r="AB99" s="206">
        <v>0.4236111111111111</v>
      </c>
      <c r="AC99" s="207">
        <v>0.71250000000000002</v>
      </c>
      <c r="AD99" s="206">
        <v>0.46388888888888891</v>
      </c>
      <c r="AE99" s="205" t="s">
        <v>679</v>
      </c>
      <c r="AF99" s="204" t="s">
        <v>679</v>
      </c>
      <c r="AG99" s="205" t="s">
        <v>679</v>
      </c>
      <c r="AH99" s="204" t="s">
        <v>679</v>
      </c>
      <c r="AI99" s="207">
        <v>0.68333333333333335</v>
      </c>
      <c r="AJ99" s="204" t="s">
        <v>679</v>
      </c>
      <c r="AK99" s="205" t="s">
        <v>679</v>
      </c>
      <c r="AL99" s="339" t="s">
        <v>679</v>
      </c>
      <c r="AM99" s="340" t="s">
        <v>679</v>
      </c>
      <c r="AN99" s="339" t="s">
        <v>679</v>
      </c>
      <c r="AO99" s="340" t="s">
        <v>679</v>
      </c>
      <c r="AP99" s="206">
        <v>0.48888888888888887</v>
      </c>
      <c r="AQ99" s="205" t="s">
        <v>679</v>
      </c>
      <c r="AR99" s="204" t="s">
        <v>679</v>
      </c>
      <c r="AS99" s="207">
        <v>0.52847222222222223</v>
      </c>
      <c r="AT99" s="204" t="s">
        <v>679</v>
      </c>
      <c r="AU99" s="207">
        <v>0.50624999999999998</v>
      </c>
      <c r="AV99" s="204" t="s">
        <v>679</v>
      </c>
      <c r="AW99" s="205" t="s">
        <v>679</v>
      </c>
      <c r="AX99" s="204" t="s">
        <v>679</v>
      </c>
      <c r="AY99" s="205" t="s">
        <v>679</v>
      </c>
      <c r="AZ99" s="196"/>
      <c r="BA99" s="197"/>
      <c r="BB99" s="196"/>
      <c r="BC99" s="197"/>
      <c r="BD99" s="181"/>
      <c r="BE99" s="180"/>
      <c r="BF99" s="181"/>
      <c r="BG99" s="180"/>
      <c r="BH99" s="181"/>
      <c r="BI99" s="180"/>
      <c r="BJ99" s="181"/>
      <c r="BK99" s="180"/>
      <c r="BL99" s="181"/>
      <c r="BM99" s="180"/>
      <c r="BN99" s="198">
        <f t="shared" si="2"/>
        <v>19</v>
      </c>
      <c r="BO99" s="199">
        <f t="shared" si="3"/>
        <v>18</v>
      </c>
    </row>
    <row r="100" spans="1:67" ht="16.5">
      <c r="A100" s="170" t="s">
        <v>150</v>
      </c>
      <c r="B100" s="170" t="s">
        <v>162</v>
      </c>
      <c r="C100" s="172" t="s">
        <v>161</v>
      </c>
      <c r="D100" s="202"/>
      <c r="E100" s="202"/>
      <c r="F100" s="200" t="s">
        <v>679</v>
      </c>
      <c r="G100" s="202"/>
      <c r="H100" s="200" t="s">
        <v>679</v>
      </c>
      <c r="I100" s="202"/>
      <c r="J100" s="335" t="s">
        <v>679</v>
      </c>
      <c r="K100" s="336" t="s">
        <v>679</v>
      </c>
      <c r="L100" s="335" t="s">
        <v>679</v>
      </c>
      <c r="M100" s="336" t="s">
        <v>679</v>
      </c>
      <c r="N100" s="200" t="s">
        <v>679</v>
      </c>
      <c r="O100" s="202"/>
      <c r="P100" s="200" t="s">
        <v>679</v>
      </c>
      <c r="Q100" s="202"/>
      <c r="R100" s="200" t="s">
        <v>679</v>
      </c>
      <c r="S100" s="202"/>
      <c r="T100" s="200" t="s">
        <v>679</v>
      </c>
      <c r="U100" s="202"/>
      <c r="V100" s="200" t="s">
        <v>679</v>
      </c>
      <c r="W100" s="202"/>
      <c r="X100" s="335" t="s">
        <v>679</v>
      </c>
      <c r="Y100" s="336" t="s">
        <v>679</v>
      </c>
      <c r="Z100" s="335" t="s">
        <v>679</v>
      </c>
      <c r="AA100" s="336" t="s">
        <v>679</v>
      </c>
      <c r="AB100" s="200" t="s">
        <v>679</v>
      </c>
      <c r="AC100" s="202"/>
      <c r="AD100" s="200" t="s">
        <v>679</v>
      </c>
      <c r="AE100" s="202"/>
      <c r="AF100" s="200" t="s">
        <v>679</v>
      </c>
      <c r="AG100" s="202"/>
      <c r="AH100" s="200" t="s">
        <v>679</v>
      </c>
      <c r="AI100" s="202"/>
      <c r="AJ100" s="200" t="s">
        <v>679</v>
      </c>
      <c r="AK100" s="202"/>
      <c r="AL100" s="335" t="s">
        <v>679</v>
      </c>
      <c r="AM100" s="336" t="s">
        <v>679</v>
      </c>
      <c r="AN100" s="335" t="s">
        <v>679</v>
      </c>
      <c r="AO100" s="336" t="s">
        <v>679</v>
      </c>
      <c r="AP100" s="200" t="s">
        <v>679</v>
      </c>
      <c r="AQ100" s="202"/>
      <c r="AR100" s="200" t="s">
        <v>679</v>
      </c>
      <c r="AS100" s="202"/>
      <c r="AT100" s="200" t="s">
        <v>679</v>
      </c>
      <c r="AU100" s="202"/>
      <c r="AV100" s="200" t="s">
        <v>679</v>
      </c>
      <c r="AW100" s="202"/>
      <c r="AX100" s="200" t="s">
        <v>679</v>
      </c>
      <c r="AY100" s="202"/>
      <c r="AZ100" s="198"/>
      <c r="BA100" s="199"/>
      <c r="BB100" s="198"/>
      <c r="BC100" s="199"/>
      <c r="BD100" s="179"/>
      <c r="BE100" s="147"/>
      <c r="BF100" s="179"/>
      <c r="BG100" s="147"/>
      <c r="BH100" s="179"/>
      <c r="BI100" s="147"/>
      <c r="BJ100" s="179"/>
      <c r="BK100" s="147"/>
      <c r="BL100" s="179"/>
      <c r="BM100" s="147"/>
      <c r="BN100" s="198">
        <f t="shared" si="2"/>
        <v>18</v>
      </c>
      <c r="BO100" s="199">
        <f t="shared" si="3"/>
        <v>0</v>
      </c>
    </row>
    <row r="101" spans="1:67" ht="16.5">
      <c r="A101" s="169" t="s">
        <v>150</v>
      </c>
      <c r="B101" s="169" t="s">
        <v>162</v>
      </c>
      <c r="C101" s="175" t="s">
        <v>163</v>
      </c>
      <c r="D101" s="205" t="s">
        <v>679</v>
      </c>
      <c r="E101" s="205" t="s">
        <v>679</v>
      </c>
      <c r="F101" s="204" t="s">
        <v>679</v>
      </c>
      <c r="G101" s="205" t="s">
        <v>679</v>
      </c>
      <c r="H101" s="204" t="s">
        <v>679</v>
      </c>
      <c r="I101" s="205" t="s">
        <v>679</v>
      </c>
      <c r="J101" s="339" t="s">
        <v>679</v>
      </c>
      <c r="K101" s="340" t="s">
        <v>679</v>
      </c>
      <c r="L101" s="339" t="s">
        <v>679</v>
      </c>
      <c r="M101" s="340" t="s">
        <v>679</v>
      </c>
      <c r="N101" s="204" t="s">
        <v>679</v>
      </c>
      <c r="O101" s="351" t="s">
        <v>679</v>
      </c>
      <c r="P101" s="204" t="s">
        <v>679</v>
      </c>
      <c r="Q101" s="351" t="s">
        <v>679</v>
      </c>
      <c r="R101" s="204" t="s">
        <v>679</v>
      </c>
      <c r="S101" s="205" t="s">
        <v>679</v>
      </c>
      <c r="T101" s="204" t="s">
        <v>679</v>
      </c>
      <c r="U101" s="205" t="s">
        <v>679</v>
      </c>
      <c r="V101" s="206">
        <v>0.46180555555555558</v>
      </c>
      <c r="W101" s="207">
        <v>0.64513888888888893</v>
      </c>
      <c r="X101" s="339" t="s">
        <v>679</v>
      </c>
      <c r="Y101" s="340" t="s">
        <v>679</v>
      </c>
      <c r="Z101" s="339" t="s">
        <v>679</v>
      </c>
      <c r="AA101" s="340" t="s">
        <v>679</v>
      </c>
      <c r="AB101" s="206">
        <v>0.40486111111111112</v>
      </c>
      <c r="AC101" s="207">
        <v>0.62708333333333333</v>
      </c>
      <c r="AD101" s="206">
        <v>0.41597222222222224</v>
      </c>
      <c r="AE101" s="207">
        <v>0.6479166666666667</v>
      </c>
      <c r="AF101" s="352">
        <v>0.44166666666666665</v>
      </c>
      <c r="AG101" s="207">
        <v>0.65763888888888888</v>
      </c>
      <c r="AH101" s="206">
        <v>0.41458333333333336</v>
      </c>
      <c r="AI101" s="207">
        <v>0.51041666666666663</v>
      </c>
      <c r="AJ101" s="206">
        <v>0.34166666666666667</v>
      </c>
      <c r="AK101" s="207">
        <v>0.66388888888888886</v>
      </c>
      <c r="AL101" s="339" t="s">
        <v>679</v>
      </c>
      <c r="AM101" s="340" t="s">
        <v>679</v>
      </c>
      <c r="AN101" s="339" t="s">
        <v>679</v>
      </c>
      <c r="AO101" s="340" t="s">
        <v>679</v>
      </c>
      <c r="AP101" s="206">
        <v>0.41249999999999998</v>
      </c>
      <c r="AQ101" s="207">
        <v>0.72638888888888886</v>
      </c>
      <c r="AR101" s="206">
        <v>0.38750000000000001</v>
      </c>
      <c r="AS101" s="207">
        <v>0.62916666666666665</v>
      </c>
      <c r="AT101" s="206">
        <v>0.45069444444444445</v>
      </c>
      <c r="AU101" s="207">
        <v>0.50138888888888888</v>
      </c>
      <c r="AV101" s="206">
        <v>0.37986111111111109</v>
      </c>
      <c r="AW101" s="205" t="s">
        <v>679</v>
      </c>
      <c r="AX101" s="204" t="s">
        <v>679</v>
      </c>
      <c r="AY101" s="205" t="s">
        <v>679</v>
      </c>
      <c r="AZ101" s="196"/>
      <c r="BA101" s="197"/>
      <c r="BB101" s="196"/>
      <c r="BC101" s="197"/>
      <c r="BD101" s="181"/>
      <c r="BE101" s="180"/>
      <c r="BF101" s="181"/>
      <c r="BG101" s="180"/>
      <c r="BH101" s="181"/>
      <c r="BI101" s="180"/>
      <c r="BJ101" s="181"/>
      <c r="BK101" s="180"/>
      <c r="BL101" s="181"/>
      <c r="BM101" s="180"/>
      <c r="BN101" s="198">
        <f t="shared" si="2"/>
        <v>19</v>
      </c>
      <c r="BO101" s="199">
        <f t="shared" si="3"/>
        <v>18</v>
      </c>
    </row>
    <row r="104" spans="1:67">
      <c r="A104" s="186"/>
      <c r="B104" s="190" t="s">
        <v>714</v>
      </c>
    </row>
    <row r="105" spans="1:67">
      <c r="A105" s="187"/>
      <c r="B105" s="191" t="s">
        <v>715</v>
      </c>
    </row>
    <row r="106" spans="1:67">
      <c r="A106" s="188"/>
      <c r="B106" s="191" t="s">
        <v>716</v>
      </c>
    </row>
    <row r="107" spans="1:67">
      <c r="A107" s="189"/>
      <c r="B107" s="192" t="s">
        <v>717</v>
      </c>
    </row>
  </sheetData>
  <mergeCells count="36">
    <mergeCell ref="BD1:BE1"/>
    <mergeCell ref="BF1:BG1"/>
    <mergeCell ref="BH1:BI1"/>
    <mergeCell ref="AT1:AU1"/>
    <mergeCell ref="AV1:AW1"/>
    <mergeCell ref="AX1:AY1"/>
    <mergeCell ref="AZ1:BA1"/>
    <mergeCell ref="BB1:BC1"/>
    <mergeCell ref="BN1:BN2"/>
    <mergeCell ref="BO1:BO2"/>
    <mergeCell ref="AR1:AS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BJ1:BK1"/>
    <mergeCell ref="BL1:BM1"/>
    <mergeCell ref="T1:U1"/>
    <mergeCell ref="A1:A2"/>
    <mergeCell ref="B1:B2"/>
    <mergeCell ref="C1:C2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Enrique Cuellar Ruiz</dc:creator>
  <cp:keywords/>
  <dc:description/>
  <cp:lastModifiedBy/>
  <cp:revision/>
  <dcterms:created xsi:type="dcterms:W3CDTF">2026-01-06T23:05:18Z</dcterms:created>
  <dcterms:modified xsi:type="dcterms:W3CDTF">2026-07-27T17:52:29Z</dcterms:modified>
  <cp:category/>
  <cp:contentStatus/>
</cp:coreProperties>
</file>